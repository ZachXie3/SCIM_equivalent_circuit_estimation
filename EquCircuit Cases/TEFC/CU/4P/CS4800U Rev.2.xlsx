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G:\DESPRO\BASE MV DESIGNS\New 5010_5810 TEFC\"/>
    </mc:Choice>
  </mc:AlternateContent>
  <xr:revisionPtr revIDLastSave="0" documentId="13_ncr:1_{D79C00E6-F04F-4B79-993B-DD0AD83BF210}" xr6:coauthVersionLast="47" xr6:coauthVersionMax="47" xr10:uidLastSave="{00000000-0000-0000-0000-000000000000}"/>
  <bookViews>
    <workbookView xWindow="28680" yWindow="-120" windowWidth="29040" windowHeight="15720" activeTab="5" xr2:uid="{00000000-000D-0000-FFFF-FFFF00000000}"/>
  </bookViews>
  <sheets>
    <sheet name="DesignSheet" sheetId="2" r:id="rId1"/>
    <sheet name="Data Sheet" sheetId="3" r:id="rId2"/>
    <sheet name="LoginSheet" sheetId="4" r:id="rId3"/>
    <sheet name="StallTime" sheetId="5" r:id="rId4"/>
    <sheet name="Performance Data Sheet" sheetId="9" r:id="rId5"/>
    <sheet name="STCurve" sheetId="6" r:id="rId6"/>
    <sheet name="Thermdam" sheetId="7" r:id="rId7"/>
    <sheet name="Performance" sheetId="8" r:id="rId8"/>
  </sheets>
  <definedNames>
    <definedName name="_Regression_Int" localSheetId="4" hidden="1">1</definedName>
    <definedName name="_xlnm.Print_Area" localSheetId="1">'Data Sheet'!$A$1:$K$46</definedName>
    <definedName name="_xlnm.Print_Area" localSheetId="0">DesignSheet!$A$1:$J$69</definedName>
    <definedName name="_xlnm.Print_Area" localSheetId="2">LoginSheet!$A$1:$N$79</definedName>
    <definedName name="_xlnm.Print_Area" localSheetId="7">Performance!$A$1:$F$43</definedName>
    <definedName name="_xlnm.Print_Area" localSheetId="4">'Performance Data Sheet'!$A$1:$M$44</definedName>
    <definedName name="_xlnm.Print_Area" localSheetId="3">StallTime!$A$1:$G$40</definedName>
    <definedName name="_xlnm.Print_Area" localSheetId="5">STCurve!$A$1:$F$43</definedName>
    <definedName name="_xlnm.Print_Area" localSheetId="6">Thermdam!$A$1:$F$43</definedName>
    <definedName name="Print_Area_MI">'Performance Data Sheet'!$A$10:$N$42</definedName>
    <definedName name="Z_852987ED_B4F5_11D1_ABEC_0000832EB49E_.wvu.PrintArea" localSheetId="7" hidden="1">Performance!$A$1:$F$43</definedName>
    <definedName name="Z_852987ED_B4F5_11D1_ABEC_0000832EB49E_.wvu.PrintArea" localSheetId="5" hidden="1">STCurve!$A$1:$F$43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2" l="1"/>
  <c r="B10" i="7"/>
  <c r="F9" i="7"/>
  <c r="B9" i="7"/>
  <c r="F8" i="7"/>
  <c r="F7" i="7"/>
  <c r="D7" i="7"/>
  <c r="B7" i="7"/>
  <c r="F6" i="7"/>
  <c r="B6" i="7"/>
  <c r="C15" i="8"/>
  <c r="C13" i="8"/>
  <c r="C12" i="8"/>
  <c r="B10" i="8"/>
  <c r="F9" i="8"/>
  <c r="B9" i="8"/>
  <c r="F8" i="8"/>
  <c r="F7" i="8"/>
  <c r="D7" i="8"/>
  <c r="B7" i="8"/>
  <c r="F6" i="8"/>
  <c r="B6" i="8"/>
  <c r="D43" i="8"/>
  <c r="F39" i="8"/>
  <c r="C39" i="8"/>
  <c r="D43" i="7"/>
  <c r="F39" i="7"/>
  <c r="C39" i="7"/>
  <c r="F39" i="6"/>
  <c r="D43" i="6"/>
  <c r="C39" i="6"/>
  <c r="C12" i="6"/>
  <c r="F6" i="6"/>
  <c r="D7" i="6"/>
  <c r="F9" i="6"/>
  <c r="F7" i="6"/>
  <c r="B7" i="6"/>
  <c r="B6" i="6"/>
  <c r="E81" i="7" l="1"/>
  <c r="E80" i="7"/>
  <c r="F59" i="8"/>
  <c r="E59" i="8"/>
  <c r="F58" i="8"/>
  <c r="E58" i="8"/>
  <c r="F57" i="8"/>
  <c r="E57" i="8"/>
  <c r="F56" i="8"/>
  <c r="E56" i="8"/>
  <c r="F55" i="8"/>
  <c r="E55" i="8"/>
  <c r="F54" i="8"/>
  <c r="O47" i="8"/>
  <c r="N47" i="8"/>
  <c r="O46" i="8"/>
  <c r="N46" i="8"/>
  <c r="O45" i="8"/>
  <c r="N45" i="8"/>
  <c r="O44" i="8"/>
  <c r="N44" i="8"/>
  <c r="O43" i="8"/>
  <c r="N43" i="8"/>
  <c r="O42" i="8"/>
  <c r="N42" i="8"/>
  <c r="O41" i="8"/>
  <c r="N41" i="8"/>
  <c r="O40" i="8"/>
  <c r="N40" i="8"/>
  <c r="O39" i="8"/>
  <c r="N39" i="8"/>
  <c r="O38" i="8"/>
  <c r="N38" i="8"/>
  <c r="O37" i="8"/>
  <c r="N37" i="8"/>
  <c r="C15" i="7"/>
  <c r="C15" i="6"/>
  <c r="C13" i="7"/>
  <c r="C13" i="6"/>
  <c r="C12" i="7"/>
  <c r="F8" i="6"/>
  <c r="B10" i="6"/>
  <c r="B9" i="6"/>
  <c r="C76" i="7" l="1"/>
  <c r="C77" i="7" s="1"/>
  <c r="C78" i="7" s="1"/>
  <c r="B76" i="7"/>
  <c r="C75" i="7"/>
  <c r="C74" i="7"/>
  <c r="B74" i="7"/>
  <c r="A69" i="7"/>
  <c r="A70" i="7" s="1"/>
  <c r="E68" i="7"/>
  <c r="D66" i="7"/>
  <c r="F50" i="7"/>
  <c r="M28" i="3"/>
  <c r="M18" i="3"/>
  <c r="M52" i="2"/>
  <c r="M41" i="2"/>
  <c r="L41" i="2"/>
  <c r="M40" i="2"/>
  <c r="L40" i="2"/>
  <c r="M39" i="2"/>
  <c r="N39" i="2" s="1"/>
  <c r="L39" i="2"/>
  <c r="M38" i="2"/>
  <c r="N38" i="2" s="1"/>
  <c r="L38" i="2"/>
  <c r="M33" i="2"/>
  <c r="M32" i="2"/>
  <c r="M31" i="2"/>
  <c r="M30" i="2"/>
  <c r="M29" i="2"/>
  <c r="M50" i="2"/>
  <c r="M49" i="2"/>
  <c r="M48" i="2"/>
  <c r="M46" i="2"/>
  <c r="M47" i="2"/>
  <c r="B70" i="7" l="1"/>
  <c r="A71" i="7"/>
  <c r="C70" i="7"/>
  <c r="C69" i="7"/>
  <c r="B69" i="7"/>
  <c r="B75" i="7" s="1"/>
  <c r="N40" i="2"/>
  <c r="N41" i="2"/>
  <c r="M53" i="2"/>
  <c r="C71" i="7" l="1"/>
  <c r="B71" i="7"/>
  <c r="A72" i="7"/>
  <c r="A73" i="7" l="1"/>
  <c r="B73" i="7" s="1"/>
  <c r="B7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00000000-0006-0000-0100-000001000000}">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00000000-0006-0000-0100-000002000000}">
      <text>
        <r>
          <rPr>
            <b/>
            <sz val="8"/>
            <color indexed="81"/>
            <rFont val="Tahoma"/>
            <family val="2"/>
          </rPr>
          <t>Choose Steel Type
from list or input name</t>
        </r>
      </text>
    </comment>
    <comment ref="D21" authorId="0" shapeId="0" xr:uid="{00000000-0006-0000-0100-000003000000}">
      <text>
        <r>
          <rPr>
            <b/>
            <sz val="8"/>
            <color indexed="81"/>
            <rFont val="Tahoma"/>
            <family val="2"/>
          </rPr>
          <t>Choose Method of coil connection from list!</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L22" authorId="0" shapeId="0" xr:uid="{00000000-0006-0000-0400-000001000000}">
      <text>
        <r>
          <rPr>
            <b/>
            <sz val="8"/>
            <color indexed="81"/>
            <rFont val="Tahoma"/>
            <family val="2"/>
          </rPr>
          <t>Pick bearings from list!</t>
        </r>
      </text>
    </comment>
  </commentList>
</comments>
</file>

<file path=xl/sharedStrings.xml><?xml version="1.0" encoding="utf-8"?>
<sst xmlns="http://schemas.openxmlformats.org/spreadsheetml/2006/main" count="960" uniqueCount="730">
  <si>
    <t>Calc. Code:</t>
  </si>
  <si>
    <t>File:</t>
  </si>
  <si>
    <t>Date:</t>
  </si>
  <si>
    <t>Time:</t>
  </si>
  <si>
    <t>Pole</t>
  </si>
  <si>
    <t>RPM</t>
  </si>
  <si>
    <t>Voltage</t>
  </si>
  <si>
    <t>Frequency</t>
  </si>
  <si>
    <t>FLSpeed</t>
  </si>
  <si>
    <t>FLSlip</t>
  </si>
  <si>
    <t xml:space="preserve">Frame </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</si>
  <si>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</si>
  <si>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</si>
  <si>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</si>
  <si>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</si>
  <si>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</si>
  <si>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</si>
  <si>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</si>
  <si>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</si>
  <si>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</si>
  <si>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</si>
  <si>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</si>
  <si>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</si>
  <si>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</si>
  <si>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</si>
  <si>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Cross Section Area</t>
  </si>
  <si>
    <t>Mean Value</t>
  </si>
  <si>
    <t>Core Length</t>
  </si>
  <si>
    <t>Eff.T.W.St.</t>
  </si>
  <si>
    <t>WS</t>
  </si>
  <si>
    <t>OD</t>
  </si>
  <si>
    <t>Coil Pitch</t>
  </si>
  <si>
    <t>Eff.T.W.Rt.</t>
  </si>
  <si>
    <t>ID</t>
  </si>
  <si>
    <t>Slot Fill</t>
  </si>
  <si>
    <t xml:space="preserve">St.Carter Fac. </t>
  </si>
  <si>
    <t>IS</t>
  </si>
  <si>
    <t>Core Depth</t>
  </si>
  <si>
    <t>Con./Slot</t>
  </si>
  <si>
    <t xml:space="preserve"> </t>
  </si>
  <si>
    <t>Rt.Carter Fac.</t>
  </si>
  <si>
    <t>Eff.Core L.</t>
  </si>
  <si>
    <t>Wire Size 1</t>
  </si>
  <si>
    <t>Carter Factor</t>
  </si>
  <si>
    <t>Volts / Turn</t>
  </si>
  <si>
    <t>Slot Data</t>
  </si>
  <si>
    <t>Wire Size 2</t>
  </si>
  <si>
    <t>Short. Factor</t>
  </si>
  <si>
    <t>Number</t>
  </si>
  <si>
    <t>// Circuits</t>
  </si>
  <si>
    <t>Distrib. Factor</t>
  </si>
  <si>
    <t>AC</t>
  </si>
  <si>
    <t>Kind</t>
  </si>
  <si>
    <t>Connection</t>
  </si>
  <si>
    <t>Wind. Factor</t>
  </si>
  <si>
    <t>Skew</t>
  </si>
  <si>
    <t>MCL</t>
  </si>
  <si>
    <t>Reactance</t>
  </si>
  <si>
    <t>Depth</t>
  </si>
  <si>
    <t>No.Cond./Ph.</t>
  </si>
  <si>
    <t>Running</t>
  </si>
  <si>
    <t>Start</t>
  </si>
  <si>
    <t>Width</t>
  </si>
  <si>
    <t>Stator Slot</t>
  </si>
  <si>
    <t>Opening</t>
  </si>
  <si>
    <t>Rotor Slot</t>
  </si>
  <si>
    <t>Tip Depth</t>
  </si>
  <si>
    <t>Material</t>
  </si>
  <si>
    <t>Zigzag</t>
  </si>
  <si>
    <t>T.Min.Wid.</t>
  </si>
  <si>
    <t>Spec.Resist.</t>
  </si>
  <si>
    <t>Coil End</t>
  </si>
  <si>
    <t>Low. R.</t>
  </si>
  <si>
    <t>Spec.Gravity</t>
  </si>
  <si>
    <t>Belt Leakage</t>
  </si>
  <si>
    <t>Up. R.</t>
  </si>
  <si>
    <t>Weight (kg)</t>
  </si>
  <si>
    <t>Total Resist.</t>
  </si>
  <si>
    <t>Wedge Dep.</t>
  </si>
  <si>
    <t>Wire 1</t>
  </si>
  <si>
    <t>Total React.</t>
  </si>
  <si>
    <t>Duct</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</si>
  <si>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</si>
  <si>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</si>
  <si>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</si>
  <si>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</si>
  <si>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</si>
  <si>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</si>
  <si>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</si>
  <si>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</si>
  <si>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</si>
  <si>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</si>
  <si>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</si>
  <si>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</si>
  <si>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</si>
  <si>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</si>
  <si>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</si>
  <si>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</si>
  <si>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</si>
  <si>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Second.Core</t>
  </si>
  <si>
    <t>Total</t>
  </si>
  <si>
    <t>Core Loss</t>
  </si>
  <si>
    <t>Flux / Pole</t>
  </si>
  <si>
    <t>C.L.C.</t>
  </si>
  <si>
    <t>NoLoad</t>
  </si>
  <si>
    <t>S.F.C.</t>
  </si>
  <si>
    <t>Load Characteristics</t>
  </si>
  <si>
    <t>No Load Loss</t>
  </si>
  <si>
    <t>W.Loss</t>
  </si>
  <si>
    <t>Load (%)</t>
  </si>
  <si>
    <t>Primary Loss</t>
  </si>
  <si>
    <t>S.Loss</t>
  </si>
  <si>
    <t>Current (A)</t>
  </si>
  <si>
    <t>Second. Loss</t>
  </si>
  <si>
    <t>Total C.Loss</t>
  </si>
  <si>
    <t xml:space="preserve">Efficiency </t>
  </si>
  <si>
    <t>Frict.&amp; Wind.</t>
  </si>
  <si>
    <t>P.F.</t>
  </si>
  <si>
    <t>Starting Data</t>
  </si>
  <si>
    <t>Slip</t>
  </si>
  <si>
    <t>PF</t>
  </si>
  <si>
    <t xml:space="preserve">LRA </t>
  </si>
  <si>
    <t>%</t>
  </si>
  <si>
    <t>L (Inv., MH)</t>
  </si>
  <si>
    <t>LRT (kg.m)</t>
  </si>
  <si>
    <t>(No Load)</t>
  </si>
  <si>
    <t>Design Parameters (Full Load)</t>
  </si>
  <si>
    <t>Magnetic Pull  &amp; Thrust</t>
  </si>
  <si>
    <t>BDT (kW)</t>
  </si>
  <si>
    <t>IM/IW</t>
  </si>
  <si>
    <t>I*R1/E</t>
  </si>
  <si>
    <t>Rosenberg</t>
  </si>
  <si>
    <t>IW*X/E</t>
  </si>
  <si>
    <t>I*R2/E</t>
  </si>
  <si>
    <t>Schwisky</t>
  </si>
  <si>
    <t>Amps</t>
  </si>
  <si>
    <t>SUM</t>
  </si>
  <si>
    <t>Friction/OP.</t>
  </si>
  <si>
    <t>Tsurumi</t>
  </si>
  <si>
    <t>Max. Output</t>
  </si>
  <si>
    <t>IH/I</t>
  </si>
  <si>
    <t>Thrust (1mm)</t>
  </si>
  <si>
    <t>Efficiency</t>
  </si>
  <si>
    <t>Thrust (3 mm)</t>
  </si>
  <si>
    <t>Miscellaneous Data</t>
  </si>
  <si>
    <t>Slot Number</t>
  </si>
  <si>
    <t>Slit Width</t>
  </si>
  <si>
    <t>T.M.Wid.Low.</t>
  </si>
  <si>
    <t>Watt Rad.</t>
  </si>
  <si>
    <t>Coil Cur. Density</t>
  </si>
  <si>
    <t>Slit Depth</t>
  </si>
  <si>
    <t>Cal.T.W.Up.</t>
  </si>
  <si>
    <t>L.S.Up.Wid.</t>
  </si>
  <si>
    <t>Cal.M.T.Wid.</t>
  </si>
  <si>
    <t>Bar Cur. Den.</t>
  </si>
  <si>
    <t>L.S.Low.Wid.</t>
  </si>
  <si>
    <t>Up. Sl. Wid.</t>
  </si>
  <si>
    <t>L.S.Depth</t>
  </si>
  <si>
    <t>X2S</t>
  </si>
  <si>
    <t>IMC</t>
  </si>
  <si>
    <t>ER Cur. Den.</t>
  </si>
  <si>
    <t>Up. Sl. Dep.</t>
  </si>
  <si>
    <t>T.M.Wid.Up.</t>
  </si>
  <si>
    <t>X3S</t>
  </si>
  <si>
    <t>Coil Pitch Ct.</t>
  </si>
  <si>
    <t>Torque (%)</t>
  </si>
  <si>
    <t>Res.     (20°C)</t>
  </si>
  <si>
    <t>(115°C)</t>
  </si>
  <si>
    <t xml:space="preserve">                              TOSHIBA INTERNATIONAL CORPORATION</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</si>
  <si>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</si>
  <si>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</si>
  <si>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</si>
  <si>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HP</t>
  </si>
  <si>
    <t>Form</t>
  </si>
  <si>
    <t xml:space="preserve">             3-PHASE SQUIRREL CAGE INDUCTION MOTOR DESIGN SHEET</t>
  </si>
  <si>
    <t>-</t>
  </si>
  <si>
    <t>Temperature</t>
  </si>
  <si>
    <t>Current</t>
  </si>
  <si>
    <t>Eff.</t>
  </si>
  <si>
    <t>PF.</t>
  </si>
  <si>
    <r>
      <t>HP</t>
    </r>
    <r>
      <rPr>
        <vertAlign val="superscript"/>
        <sz val="10"/>
        <rFont val="Arial"/>
        <family val="2"/>
      </rPr>
      <t>0.95</t>
    </r>
  </si>
  <si>
    <r>
      <t>HP</t>
    </r>
    <r>
      <rPr>
        <vertAlign val="superscript"/>
        <sz val="10"/>
        <rFont val="Arial"/>
        <family val="2"/>
      </rPr>
      <t>1.5</t>
    </r>
  </si>
  <si>
    <r>
      <t>(RPM/1000)</t>
    </r>
    <r>
      <rPr>
        <vertAlign val="superscript"/>
        <sz val="10"/>
        <rFont val="Arial"/>
        <family val="2"/>
      </rPr>
      <t>2.4</t>
    </r>
  </si>
  <si>
    <r>
      <t>(RPM/1000)</t>
    </r>
    <r>
      <rPr>
        <vertAlign val="superscript"/>
        <sz val="10"/>
        <rFont val="Arial"/>
        <family val="2"/>
      </rPr>
      <t>1.8</t>
    </r>
  </si>
  <si>
    <t>A</t>
  </si>
  <si>
    <t>k</t>
  </si>
  <si>
    <t>Load Inertia</t>
  </si>
  <si>
    <t>125RPM</t>
  </si>
  <si>
    <t>100RPM</t>
  </si>
  <si>
    <t>75RPM</t>
  </si>
  <si>
    <t>50RPM</t>
  </si>
  <si>
    <t>25RPM</t>
  </si>
  <si>
    <t>Hz</t>
  </si>
  <si>
    <t>FCW4</t>
  </si>
  <si>
    <t>5811US</t>
  </si>
  <si>
    <t>Open</t>
  </si>
  <si>
    <t>Rectang</t>
  </si>
  <si>
    <t>8.89 - 8.89</t>
  </si>
  <si>
    <t>2.80 - 2.00</t>
  </si>
  <si>
    <t>Magnetic</t>
  </si>
  <si>
    <t>1 ~ 14</t>
  </si>
  <si>
    <t>(.064"x.182")x2</t>
  </si>
  <si>
    <t>Wye</t>
  </si>
  <si>
    <t>CU</t>
  </si>
  <si>
    <t>Special</t>
  </si>
  <si>
    <t>ERD1: 308.4</t>
  </si>
  <si>
    <t>EBL: 63.5</t>
  </si>
  <si>
    <t>ERT: 46.00</t>
  </si>
  <si>
    <t>ERH: 43.00</t>
  </si>
  <si>
    <t>(10 x 35)</t>
  </si>
  <si>
    <t>LB:  -</t>
  </si>
  <si>
    <t>LER:  -</t>
  </si>
  <si>
    <t>Single Cage Data</t>
  </si>
  <si>
    <t>UB: 350.0</t>
  </si>
  <si>
    <t>UER: 1978.0</t>
  </si>
  <si>
    <t>(Coeff.: 0.0905)</t>
  </si>
  <si>
    <t>Skew R.: 0.00</t>
  </si>
  <si>
    <t>G:\DESPRO\RAT FILES\CS4800.rat</t>
  </si>
  <si>
    <t>2-2-2-0-1-2</t>
  </si>
  <si>
    <t>B.L.-1  P.F.-1</t>
  </si>
  <si>
    <t>6427.2 / 6166.9</t>
  </si>
  <si>
    <t>4217.5 / 3779.9</t>
  </si>
  <si>
    <t>16889.1 / 11580.0</t>
  </si>
  <si>
    <t>9300.0 / 8444.6</t>
  </si>
  <si>
    <t>7400.2 / 2901.1</t>
  </si>
  <si>
    <t>793.4 / 311.0</t>
  </si>
  <si>
    <t>6606.7 / 2590.1</t>
  </si>
  <si>
    <t>1.75 / 0.69</t>
  </si>
  <si>
    <t>74 / 74</t>
  </si>
  <si>
    <t>Temp. Rise @ 100%:</t>
  </si>
  <si>
    <t>Stray Loss</t>
  </si>
  <si>
    <t>0.894 / 0.893</t>
  </si>
  <si>
    <t>0.939 / 0.937</t>
  </si>
  <si>
    <t>0.952 / 0.950</t>
  </si>
  <si>
    <t>0.957 / 0.955</t>
  </si>
  <si>
    <t>0.958 / 0.956</t>
  </si>
  <si>
    <t>0.738 / 0.730</t>
  </si>
  <si>
    <t>0.876 / 0.866</t>
  </si>
  <si>
    <t>0.908 / 0.898</t>
  </si>
  <si>
    <t>0.913 / 0.903</t>
  </si>
  <si>
    <t>0.907 / 0.896</t>
  </si>
  <si>
    <t>32.62 / 33.05</t>
  </si>
  <si>
    <t>52.37 / 53.06</t>
  </si>
  <si>
    <t>74.72 / 75.70</t>
  </si>
  <si>
    <t>98.57 / 99.87</t>
  </si>
  <si>
    <t>123.99 / 125.62</t>
  </si>
  <si>
    <t>3.42 / 3.46</t>
  </si>
  <si>
    <t>UB: 3.08 / 3.12</t>
  </si>
  <si>
    <t>UER: 2.17 / 2.20</t>
  </si>
  <si>
    <t>1797.0 / 1798.0</t>
  </si>
  <si>
    <t>1794.1 / 1795.1</t>
  </si>
  <si>
    <t>1791.2 / 1792.2</t>
  </si>
  <si>
    <t>1788.0 / 1789.0</t>
  </si>
  <si>
    <t>1784.9 / 1785.9</t>
  </si>
  <si>
    <t>0.0017 / 0.0011</t>
  </si>
  <si>
    <t>0.0033 / 0.0027</t>
  </si>
  <si>
    <t>0.0049 / 0.0044</t>
  </si>
  <si>
    <t>0.0067 / 0.0061</t>
  </si>
  <si>
    <t>0.0084 / 0.0078</t>
  </si>
  <si>
    <t>19.805 / 22.048</t>
  </si>
  <si>
    <t>1.067 / 1.188</t>
  </si>
  <si>
    <t>19.83 / 22.08</t>
  </si>
  <si>
    <t>464.2 / 675.9</t>
  </si>
  <si>
    <t>470.9 / 685.7</t>
  </si>
  <si>
    <t>188.6 / 261.4</t>
  </si>
  <si>
    <t>58.0 / 80.4</t>
  </si>
  <si>
    <t>220.7 / 234.3</t>
  </si>
  <si>
    <t>Correlated to: CS4800_EXP2_Fan550_Lab324.dat</t>
  </si>
  <si>
    <t>TOSHIBA INTERNATIONAL CORPORATION</t>
  </si>
  <si>
    <t>INDUCTION MOTOR DATA SHEET</t>
  </si>
  <si>
    <t>HRW / Model Number:</t>
  </si>
  <si>
    <t>Motor Type Selection</t>
  </si>
  <si>
    <t>Electrical Steel Table</t>
  </si>
  <si>
    <t>Motor Parameters</t>
  </si>
  <si>
    <t>PERFORMANCE</t>
  </si>
  <si>
    <t>DESIGN</t>
  </si>
  <si>
    <t>TEST</t>
  </si>
  <si>
    <t>EPACT</t>
  </si>
  <si>
    <t>M22 - 26Ga.</t>
  </si>
  <si>
    <t>NCB1 - 26Ga.</t>
  </si>
  <si>
    <t>NL &amp; Impedance Test</t>
  </si>
  <si>
    <t>EQP-III</t>
  </si>
  <si>
    <t>M36 - 26Ga.</t>
  </si>
  <si>
    <t>No load amps</t>
  </si>
  <si>
    <t>Exp.Prf.</t>
  </si>
  <si>
    <t>Stack length</t>
  </si>
  <si>
    <t>No load watts</t>
  </si>
  <si>
    <t>Exp.Prf.-EQPIII</t>
  </si>
  <si>
    <t>M43 - 26Ga.</t>
  </si>
  <si>
    <t>Number of turns per coil</t>
  </si>
  <si>
    <t>Impedance amps</t>
  </si>
  <si>
    <t>f</t>
  </si>
  <si>
    <t>Prem. Eff.</t>
  </si>
  <si>
    <t>M45 - 26Ga.</t>
  </si>
  <si>
    <t>Wire 1 (size &amp; number)</t>
  </si>
  <si>
    <t>Impedance volts</t>
  </si>
  <si>
    <t>Standard Eff.</t>
  </si>
  <si>
    <t>M54 - 26Ga.</t>
  </si>
  <si>
    <t>Wire 2 (size &amp; number)</t>
  </si>
  <si>
    <t>Impedance watts</t>
  </si>
  <si>
    <t>OWP</t>
  </si>
  <si>
    <t>TIPA Lam</t>
  </si>
  <si>
    <r>
      <t xml:space="preserve">Slot fill - </t>
    </r>
    <r>
      <rPr>
        <i/>
        <sz val="9"/>
        <color indexed="8"/>
        <rFont val="Times New Roman"/>
        <family val="1"/>
      </rPr>
      <t>circle/square method (%)</t>
    </r>
  </si>
  <si>
    <t>Temperature Rise (°C)</t>
  </si>
  <si>
    <t>Dry Kiln</t>
  </si>
  <si>
    <t>Winding</t>
  </si>
  <si>
    <t>80/115</t>
  </si>
  <si>
    <t>Allowance for ins. depth</t>
  </si>
  <si>
    <t xml:space="preserve">Bearing  PS/OS </t>
  </si>
  <si>
    <t>Allowance for ins. width</t>
  </si>
  <si>
    <t>Slot/Wire arrangement</t>
  </si>
  <si>
    <t>Nameplate Data</t>
  </si>
  <si>
    <t>Effective cross section for coil</t>
  </si>
  <si>
    <t>FLC (A)</t>
  </si>
  <si>
    <t>Coil grouping</t>
  </si>
  <si>
    <t>Coil pitch (slot number)</t>
  </si>
  <si>
    <t>CODE</t>
  </si>
  <si>
    <t>Method of coil connection</t>
  </si>
  <si>
    <t>S. F.</t>
  </si>
  <si>
    <t>Method of Connection</t>
  </si>
  <si>
    <t>Resistance per phase @ 20 °C</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</si>
  <si>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</si>
  <si>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</si>
  <si>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</si>
  <si>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</si>
  <si>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</si>
  <si>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</si>
  <si>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</si>
  <si>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</si>
  <si>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</si>
  <si>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</si>
  <si>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</si>
  <si>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</si>
  <si>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Stator Slot Shape                                          (Reference)</t>
  </si>
  <si>
    <t>Performance</t>
  </si>
  <si>
    <t>LRC (A)</t>
  </si>
  <si>
    <t>LRT (%)</t>
  </si>
  <si>
    <t>BDT (%)</t>
  </si>
  <si>
    <t>SLIP (%)</t>
  </si>
  <si>
    <t>IEEE-B</t>
  </si>
  <si>
    <t>Eff. (%)</t>
  </si>
  <si>
    <t>Rotor Slot Shape                                          (Reference)</t>
  </si>
  <si>
    <t>PF (%)</t>
  </si>
  <si>
    <t>Losses (Watts)</t>
  </si>
  <si>
    <t>Core</t>
  </si>
  <si>
    <t>F &amp; W</t>
  </si>
  <si>
    <t xml:space="preserve">Stray </t>
  </si>
  <si>
    <t>End Ring                                                      (Reference)</t>
  </si>
  <si>
    <t>Note</t>
  </si>
  <si>
    <t>Approved</t>
  </si>
  <si>
    <t>Design</t>
  </si>
  <si>
    <t>Date</t>
  </si>
  <si>
    <t>P</t>
  </si>
  <si>
    <t>T</t>
  </si>
  <si>
    <t>L</t>
  </si>
  <si>
    <t>PROJECT HISTORY</t>
  </si>
  <si>
    <t>E</t>
  </si>
  <si>
    <t>D</t>
  </si>
  <si>
    <t>I</t>
  </si>
  <si>
    <t>Y</t>
  </si>
  <si>
    <t>H</t>
  </si>
  <si>
    <t>R</t>
  </si>
  <si>
    <t>M</t>
  </si>
  <si>
    <t>F</t>
  </si>
  <si>
    <t>C</t>
  </si>
  <si>
    <t>U</t>
  </si>
  <si>
    <t>N</t>
  </si>
  <si>
    <t>S</t>
  </si>
  <si>
    <t>V</t>
  </si>
  <si>
    <t>DATE</t>
  </si>
  <si>
    <t>PROJECT</t>
  </si>
  <si>
    <t>SMART NUMBER</t>
  </si>
  <si>
    <t>QTY</t>
  </si>
  <si>
    <t>CUSTOMER</t>
  </si>
  <si>
    <t>REMARKS</t>
  </si>
  <si>
    <t>LIMIT CODE</t>
  </si>
  <si>
    <t>REVISION HISTORY</t>
  </si>
  <si>
    <t>REV</t>
  </si>
  <si>
    <t>INIT</t>
  </si>
  <si>
    <t>CS4800</t>
  </si>
  <si>
    <t>Type: TIKE - Form: FCW4 - 4 Pole - 800 HP - 4000 V - 60 Hz - 5811US - Class F</t>
  </si>
  <si>
    <t>21 x 2</t>
  </si>
  <si>
    <t>2 x Wye</t>
  </si>
  <si>
    <t xml:space="preserve"> - </t>
  </si>
  <si>
    <t>74 / 98</t>
  </si>
  <si>
    <t>346 / 2339</t>
  </si>
  <si>
    <t>G</t>
  </si>
  <si>
    <t>312 / 220</t>
  </si>
  <si>
    <t>S-T Curve Data (Custom Values)</t>
  </si>
  <si>
    <t>Current (%)</t>
  </si>
  <si>
    <t>Current(%)</t>
  </si>
  <si>
    <t>8004FTQL11E-C</t>
  </si>
  <si>
    <t xml:space="preserve"> -</t>
  </si>
  <si>
    <t>TEFC-4P-800HP CuBar, Sleeve Brgs.</t>
  </si>
  <si>
    <t>LINK:</t>
  </si>
  <si>
    <t>CS4800_EXP2.rat with CS4800_EXP2_Fan550_Lab324.dat</t>
  </si>
  <si>
    <t>QC Limits: CS4800</t>
  </si>
  <si>
    <t>Outer Fan OD: 550 mm</t>
  </si>
  <si>
    <t>NEW ROTOR SLOT DIE</t>
  </si>
  <si>
    <t>Rev.2 Updated Performance data per test report</t>
  </si>
  <si>
    <t>Lab # 324</t>
  </si>
  <si>
    <t>A. Gracia  11/3/10</t>
  </si>
  <si>
    <t>Rev.1 The file ID was changed from CF to CS</t>
  </si>
  <si>
    <t>for sleeve bearing design.</t>
  </si>
  <si>
    <t>A. Gracia  04/15/10</t>
  </si>
  <si>
    <t>S. Hernandez</t>
  </si>
  <si>
    <t>A. Gracia</t>
  </si>
  <si>
    <t>Load</t>
  </si>
  <si>
    <t>Load Type:</t>
  </si>
  <si>
    <t>Load Inertia:</t>
  </si>
  <si>
    <t>Accel. Time:</t>
  </si>
  <si>
    <t>Rated Torque:</t>
  </si>
  <si>
    <t>Fan / Pump</t>
  </si>
  <si>
    <t>474.6 kg.m²</t>
  </si>
  <si>
    <t>Acceleration Data (FV V)</t>
  </si>
  <si>
    <t>14.1 (s)</t>
  </si>
  <si>
    <t>325.1 kg.m</t>
  </si>
  <si>
    <t>Rating:</t>
  </si>
  <si>
    <t>Starting Performance</t>
  </si>
  <si>
    <t>Motor</t>
  </si>
  <si>
    <t xml:space="preserve">Load </t>
  </si>
  <si>
    <t>Accel.</t>
  </si>
  <si>
    <t xml:space="preserve"> Line</t>
  </si>
  <si>
    <t>Stator</t>
  </si>
  <si>
    <t>Rotor</t>
  </si>
  <si>
    <t>Speed Increment</t>
  </si>
  <si>
    <t>Time (s)</t>
  </si>
  <si>
    <t>kW / s</t>
  </si>
  <si>
    <t>Energy</t>
  </si>
  <si>
    <t>First Start</t>
  </si>
  <si>
    <t>Second Start</t>
  </si>
  <si>
    <t>Stator Winding Rise</t>
  </si>
  <si>
    <t>Rotor Bar Rise</t>
  </si>
  <si>
    <t>End Ring Rise</t>
  </si>
  <si>
    <t>Locked Rotor Thermal Capability</t>
  </si>
  <si>
    <t>Cold Condition</t>
  </si>
  <si>
    <t>Rate of Rise</t>
  </si>
  <si>
    <t>Power</t>
  </si>
  <si>
    <t>Rise Limit</t>
  </si>
  <si>
    <t>Max Time</t>
  </si>
  <si>
    <t>Stator Copper</t>
  </si>
  <si>
    <t>160°C</t>
  </si>
  <si>
    <t>Rotor Bar</t>
  </si>
  <si>
    <t>260°C</t>
  </si>
  <si>
    <t>Rotor ER</t>
  </si>
  <si>
    <t>180°C</t>
  </si>
  <si>
    <t>Hot Condition</t>
  </si>
  <si>
    <t>Hot Temp.</t>
  </si>
  <si>
    <t>Ambient</t>
  </si>
  <si>
    <t>Max.Time</t>
  </si>
  <si>
    <t>40°C</t>
  </si>
  <si>
    <t>=    200°C</t>
  </si>
  <si>
    <t>=    300°C</t>
  </si>
  <si>
    <t>=    220°C</t>
  </si>
  <si>
    <t>Cold Stall Time:</t>
  </si>
  <si>
    <t>Hot Stall Time:</t>
  </si>
  <si>
    <t>4 Pole - 800.0 HP - 1800 RPM - 4000 V - 60 Hz</t>
  </si>
  <si>
    <t>0~188</t>
  </si>
  <si>
    <t>188~375</t>
  </si>
  <si>
    <t>375~563</t>
  </si>
  <si>
    <t>563~750</t>
  </si>
  <si>
    <t>750~938</t>
  </si>
  <si>
    <t>938~1125</t>
  </si>
  <si>
    <t>1125~1313</t>
  </si>
  <si>
    <t>1313~1501</t>
  </si>
  <si>
    <t>1501~1594</t>
  </si>
  <si>
    <t>1594~1688</t>
  </si>
  <si>
    <t>1688~1782</t>
  </si>
  <si>
    <t>1782~1796</t>
  </si>
  <si>
    <t>1796~1800</t>
  </si>
  <si>
    <t>Load Type: Fan / Pump - 2815.4 lb-ft²</t>
  </si>
  <si>
    <t>80.0</t>
  </si>
  <si>
    <t>80.2</t>
  </si>
  <si>
    <t>80.4</t>
  </si>
  <si>
    <t>80.8</t>
  </si>
  <si>
    <t>81.5</t>
  </si>
  <si>
    <t>82.7</t>
  </si>
  <si>
    <t>84.7</t>
  </si>
  <si>
    <t>89.1</t>
  </si>
  <si>
    <t>97.5</t>
  </si>
  <si>
    <t>115.6</t>
  </si>
  <si>
    <t>179.2</t>
  </si>
  <si>
    <t>184.9</t>
  </si>
  <si>
    <t>119.9</t>
  </si>
  <si>
    <t>22.4</t>
  </si>
  <si>
    <t>11.3</t>
  </si>
  <si>
    <t>7.0</t>
  </si>
  <si>
    <t>7.6</t>
  </si>
  <si>
    <t>12.3</t>
  </si>
  <si>
    <t>20.2</t>
  </si>
  <si>
    <t>31.4</t>
  </si>
  <si>
    <t>47.7</t>
  </si>
  <si>
    <t>63.9</t>
  </si>
  <si>
    <t>77.1</t>
  </si>
  <si>
    <t>90.9</t>
  </si>
  <si>
    <t>98.8</t>
  </si>
  <si>
    <t>99.8</t>
  </si>
  <si>
    <t>1.456</t>
  </si>
  <si>
    <t>1.219</t>
  </si>
  <si>
    <t>1.144</t>
  </si>
  <si>
    <t>1.147</t>
  </si>
  <si>
    <t>1.214</t>
  </si>
  <si>
    <t>1.346</t>
  </si>
  <si>
    <t>1.576</t>
  </si>
  <si>
    <t>2.029</t>
  </si>
  <si>
    <t>1.250</t>
  </si>
  <si>
    <t>1.091</t>
  </si>
  <si>
    <t>0.476</t>
  </si>
  <si>
    <t>0.075</t>
  </si>
  <si>
    <t>0.080</t>
  </si>
  <si>
    <t>674.0</t>
  </si>
  <si>
    <t>669.6</t>
  </si>
  <si>
    <t>664.2</t>
  </si>
  <si>
    <t>657.7</t>
  </si>
  <si>
    <t>649.7</t>
  </si>
  <si>
    <t>639.6</t>
  </si>
  <si>
    <t>627.2</t>
  </si>
  <si>
    <t>611.7</t>
  </si>
  <si>
    <t>597.0</t>
  </si>
  <si>
    <t>580.2</t>
  </si>
  <si>
    <t>533.5</t>
  </si>
  <si>
    <t>338.1</t>
  </si>
  <si>
    <t>99.2</t>
  </si>
  <si>
    <t>440.0</t>
  </si>
  <si>
    <t>364.1</t>
  </si>
  <si>
    <t>336.9</t>
  </si>
  <si>
    <t>332.0</t>
  </si>
  <si>
    <t>343.5</t>
  </si>
  <si>
    <t>370.6</t>
  </si>
  <si>
    <t>419.0</t>
  </si>
  <si>
    <t>516.3</t>
  </si>
  <si>
    <t>300.6</t>
  </si>
  <si>
    <t>252.0</t>
  </si>
  <si>
    <t>102.0</t>
  </si>
  <si>
    <t>0.5</t>
  </si>
  <si>
    <t>643.2</t>
  </si>
  <si>
    <t>483.1</t>
  </si>
  <si>
    <t>401.6</t>
  </si>
  <si>
    <t>351.0</t>
  </si>
  <si>
    <t>317.0</t>
  </si>
  <si>
    <t>291.8</t>
  </si>
  <si>
    <t>272.0</t>
  </si>
  <si>
    <t>260.6</t>
  </si>
  <si>
    <t>211.6</t>
  </si>
  <si>
    <t>141.4</t>
  </si>
  <si>
    <t>41.9</t>
  </si>
  <si>
    <t>12.4</t>
  </si>
  <si>
    <t>21.5</t>
  </si>
  <si>
    <t>3790 kW / s</t>
  </si>
  <si>
    <t>3061 kW / s</t>
  </si>
  <si>
    <t>388 kW / s</t>
  </si>
  <si>
    <t>48°C</t>
  </si>
  <si>
    <t>52°C</t>
  </si>
  <si>
    <t>26°C</t>
  </si>
  <si>
    <t>96°C</t>
  </si>
  <si>
    <t>104°C</t>
  </si>
  <si>
    <t>Acceleration Time:  14.1 s</t>
  </si>
  <si>
    <t>4.6°C / s</t>
  </si>
  <si>
    <t>7.2°C / s</t>
  </si>
  <si>
    <t>3.6°C / s</t>
  </si>
  <si>
    <t>359.3 kW</t>
  </si>
  <si>
    <t>423.7 kW</t>
  </si>
  <si>
    <t>53.7 kW</t>
  </si>
  <si>
    <t>35.0 s</t>
  </si>
  <si>
    <t>36.0 s</t>
  </si>
  <si>
    <t>50.1 s</t>
  </si>
  <si>
    <t>74°C    +</t>
  </si>
  <si>
    <t>100°C    +</t>
  </si>
  <si>
    <t>86°C    +</t>
  </si>
  <si>
    <t>160°C   +</t>
  </si>
  <si>
    <t>80°C   +</t>
  </si>
  <si>
    <t>18.8 s</t>
  </si>
  <si>
    <t>22.2 s</t>
  </si>
  <si>
    <t>22.3 s</t>
  </si>
  <si>
    <t>46.8 s</t>
  </si>
  <si>
    <t>20.8 s</t>
  </si>
  <si>
    <t>Speed Torque/Current Curve</t>
  </si>
  <si>
    <t>Model #:</t>
  </si>
  <si>
    <t>FLAmps:</t>
  </si>
  <si>
    <t>Enclosure:</t>
  </si>
  <si>
    <t>Voltage:</t>
  </si>
  <si>
    <t>Frame:</t>
  </si>
  <si>
    <t>Pole:</t>
  </si>
  <si>
    <t>Frequency:</t>
  </si>
  <si>
    <t>3 PH / 60 Hz</t>
  </si>
  <si>
    <t>Ins. Class:</t>
  </si>
  <si>
    <t>HP:</t>
  </si>
  <si>
    <t>Rotor Inertia:</t>
  </si>
  <si>
    <t>FLRPM:</t>
  </si>
  <si>
    <t>Locked Rotor Amps:</t>
  </si>
  <si>
    <t>Locked Rotor Torque:</t>
  </si>
  <si>
    <t>Starting at:</t>
  </si>
  <si>
    <t>Breakdown Torque:</t>
  </si>
  <si>
    <t>Comments:</t>
  </si>
  <si>
    <t>D.E.Curve #:</t>
  </si>
  <si>
    <t>Prepared by:</t>
  </si>
  <si>
    <t>Checked by:</t>
  </si>
  <si>
    <t>423.0 lb-ft²</t>
  </si>
  <si>
    <t>2815.4 lb-ft²</t>
  </si>
  <si>
    <t>Third Start</t>
  </si>
  <si>
    <t>144°C</t>
  </si>
  <si>
    <t>156°C</t>
  </si>
  <si>
    <t>78°C</t>
  </si>
  <si>
    <t>Thermal Limit &amp; Acceleration Curves</t>
  </si>
  <si>
    <t>Design Values (For Reference Only)</t>
  </si>
  <si>
    <t>Cold</t>
  </si>
  <si>
    <t>Hot</t>
  </si>
  <si>
    <t>CURRENT (%)</t>
  </si>
  <si>
    <t>Accel. Time</t>
  </si>
  <si>
    <t>Performance Curve</t>
  </si>
  <si>
    <t>Input Watts</t>
  </si>
  <si>
    <t>INDEX</t>
  </si>
  <si>
    <t>MPCF-1033</t>
  </si>
  <si>
    <t>Industrial Division / Houston Motor Plant</t>
  </si>
  <si>
    <t>SHEET NO.</t>
  </si>
  <si>
    <t>1 of 1</t>
  </si>
  <si>
    <t>ISSUED</t>
  </si>
  <si>
    <t>7/31/13</t>
  </si>
  <si>
    <t>SUPERSEDES</t>
  </si>
  <si>
    <t>11/8/96</t>
  </si>
  <si>
    <t>REVISION</t>
  </si>
  <si>
    <t>SQUIRREL CAGE INDUCTION MOTOR</t>
  </si>
  <si>
    <t>WRITTEN BY</t>
  </si>
  <si>
    <t>MDC</t>
  </si>
  <si>
    <t>PERFORMANCE SPECIFICATIONS</t>
  </si>
  <si>
    <t>APPROVED BY</t>
  </si>
  <si>
    <t>PAA</t>
  </si>
  <si>
    <t>CUSTOMER:</t>
  </si>
  <si>
    <t>TIC SR No.:</t>
  </si>
  <si>
    <t>MOTOR NAMEPLATE DATA</t>
  </si>
  <si>
    <t>H.P.:</t>
  </si>
  <si>
    <t>VOLTS:</t>
  </si>
  <si>
    <t>3 PH /</t>
  </si>
  <si>
    <t>60 Hz</t>
  </si>
  <si>
    <t>S. RPM:</t>
  </si>
  <si>
    <t>FRAME:</t>
  </si>
  <si>
    <t>ENCL:</t>
  </si>
  <si>
    <t>FLAMPS:</t>
  </si>
  <si>
    <t>FORM:</t>
  </si>
  <si>
    <t>S.F.:</t>
  </si>
  <si>
    <t>NEMA DESIGN:</t>
  </si>
  <si>
    <t>B</t>
  </si>
  <si>
    <t>INSUL CLASS:</t>
  </si>
  <si>
    <t>TYPE:</t>
  </si>
  <si>
    <t>TIKE</t>
  </si>
  <si>
    <t>AMB.:</t>
  </si>
  <si>
    <t>CODE:</t>
  </si>
  <si>
    <t>DUTY:</t>
  </si>
  <si>
    <t>Cont.</t>
  </si>
  <si>
    <t>MODEL No.:</t>
  </si>
  <si>
    <t>kW:</t>
  </si>
  <si>
    <t>NOM. EFF.:</t>
  </si>
  <si>
    <t>MIN. EFF.:</t>
  </si>
  <si>
    <t>P.F.:</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</si>
  <si>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</si>
  <si>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</si>
  <si>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</si>
  <si>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</si>
  <si>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</si>
  <si>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</si>
  <si>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</si>
  <si>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</si>
  <si>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</si>
  <si>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</si>
  <si>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</si>
  <si>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</si>
  <si>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</si>
  <si>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</si>
  <si>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</si>
  <si>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</si>
  <si>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THE DECLARED LOCKED ROTOR CURRENT HAS A TOLERANCE OF 20%</t>
  </si>
  <si>
    <t>* TEMPERATURE RISE WILL BE CONSISTENT WITH INSULATION, AMBIENT AND SERVICE FACTOR AS</t>
  </si>
  <si>
    <t>DEFINED BY NEMA-MG-12 OR -20</t>
  </si>
  <si>
    <t>** BEARINGS ARE THE ONLY RECOMMENDED SPARE PART(S).</t>
  </si>
  <si>
    <t>CERTIFIED BY:</t>
  </si>
  <si>
    <t>DATE:</t>
  </si>
  <si>
    <t>6205ZZ</t>
  </si>
  <si>
    <t>TEFC</t>
  </si>
  <si>
    <t>6206UU</t>
  </si>
  <si>
    <t>ODP</t>
  </si>
  <si>
    <t>6207ZZ</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</si>
  <si>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</si>
  <si>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</si>
  <si>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</si>
  <si>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</si>
  <si>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</si>
  <si>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</si>
  <si>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</si>
  <si>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</si>
  <si>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</si>
  <si>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</si>
  <si>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</si>
  <si>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</si>
  <si>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</si>
  <si>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</si>
  <si>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</si>
  <si>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</si>
  <si>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</si>
  <si>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</si>
  <si>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</si>
  <si>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</si>
  <si>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</si>
  <si>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</si>
  <si>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</si>
  <si>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</si>
  <si>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</si>
  <si>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</si>
  <si>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</si>
  <si>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</si>
  <si>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</si>
  <si>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</si>
  <si>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</si>
  <si>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</si>
  <si>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</si>
  <si>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</si>
  <si>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</si>
  <si>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</si>
  <si>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ADJUSTED</t>
  </si>
  <si>
    <t>ORIGINAL</t>
  </si>
  <si>
    <t>SYNC SPEED</t>
  </si>
  <si>
    <t>NEW SPEED LOWER RANGE</t>
  </si>
  <si>
    <t>NEW kW UPPER RANGE</t>
  </si>
  <si>
    <t>SPEED</t>
  </si>
  <si>
    <t>KW</t>
  </si>
  <si>
    <t>JCI INDUSTRIES</t>
  </si>
  <si>
    <t>2210056.1</t>
  </si>
  <si>
    <t>5811UZ</t>
  </si>
  <si>
    <t>GP-10035342</t>
  </si>
  <si>
    <t>JERRY R</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</si>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</sst>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
    <numFmt numFmtId="166" formatCode="0.000"/>
    <numFmt numFmtId="167" formatCode="0.0"/>
    <numFmt numFmtId="168" formatCode="0.0%"/>
    <numFmt numFmtId="169" formatCode=".0000"/>
    <numFmt numFmtId="170" formatCode="mm/dd/yy"/>
    <numFmt numFmtId="171" formatCode="0.00_);\(0.00\)"/>
    <numFmt numFmtId="172" formatCode="General_)"/>
  </numFmts>
  <fonts count="80">
    <font>
      <sz val="10"/>
      <name val="Arial"/>
    </font>
    <font>
      <sz val="10"/>
      <name val="Arial"/>
      <family val="2"/>
    </font>
    <font>
      <sz val="10"/>
      <name val="Times New Roman"/>
      <family val="1"/>
    </font>
    <font>
      <i/>
      <sz val="10"/>
      <name val="Times New Roman"/>
      <family val="1"/>
    </font>
    <font>
      <b/>
      <i/>
      <sz val="10"/>
      <name val="Times New Roman"/>
      <family val="1"/>
    </font>
    <font>
      <sz val="8"/>
      <name val="Times New Roman"/>
      <family val="1"/>
    </font>
    <font>
      <b/>
      <sz val="14"/>
      <name val="Times New Roman"/>
      <family val="1"/>
    </font>
    <font>
      <i/>
      <sz val="10"/>
      <name val="Times New Roman"/>
      <family val="1"/>
    </font>
    <font>
      <sz val="8"/>
      <name val="Arial"/>
      <family val="2"/>
    </font>
    <font>
      <sz val="10"/>
      <name val="Times New Roman"/>
      <family val="1"/>
    </font>
    <font>
      <i/>
      <sz val="9"/>
      <name val="Times New Roman"/>
      <family val="1"/>
    </font>
    <font>
      <b/>
      <i/>
      <sz val="10"/>
      <name val="Times New Roman"/>
      <family val="1"/>
    </font>
    <font>
      <i/>
      <sz val="10"/>
      <name val="Times New Roman"/>
      <family val="1"/>
    </font>
    <font>
      <i/>
      <vertAlign val="superscript"/>
      <sz val="10"/>
      <name val="Times New Roman"/>
      <family val="1"/>
    </font>
    <font>
      <b/>
      <sz val="10"/>
      <name val="Times New Roman"/>
      <family val="1"/>
    </font>
    <font>
      <vertAlign val="superscript"/>
      <sz val="10"/>
      <name val="Arial"/>
      <family val="2"/>
    </font>
    <font>
      <b/>
      <sz val="10"/>
      <color indexed="12"/>
      <name val="Arial"/>
      <family val="2"/>
    </font>
    <font>
      <sz val="12"/>
      <name val="Arial"/>
      <family val="2"/>
    </font>
    <font>
      <sz val="10"/>
      <color indexed="10"/>
      <name val="Arial"/>
      <family val="2"/>
    </font>
    <font>
      <sz val="10"/>
      <color indexed="8"/>
      <name val="Times New Roman"/>
      <family val="1"/>
    </font>
    <font>
      <sz val="10"/>
      <color rgb="FFFF0000"/>
      <name val="Arial"/>
      <family val="2"/>
    </font>
    <font>
      <sz val="10"/>
      <color theme="1"/>
      <name val="Times New Roman"/>
      <family val="1"/>
    </font>
    <font>
      <sz val="10"/>
      <color theme="3"/>
      <name val="Times New Roman"/>
      <family val="1"/>
    </font>
    <font>
      <sz val="12"/>
      <name val="Univers (W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u/>
      <sz val="10"/>
      <color indexed="8"/>
      <name val="Univers (W1)"/>
    </font>
    <font>
      <sz val="10"/>
      <color indexed="8"/>
      <name val="Univers"/>
      <family val="2"/>
    </font>
    <font>
      <sz val="10"/>
      <color indexed="8"/>
      <name val="WP Greek Century"/>
      <charset val="2"/>
    </font>
    <font>
      <b/>
      <i/>
      <sz val="12"/>
      <color indexed="8"/>
      <name val="Brush Script MT"/>
      <family val="4"/>
    </font>
    <font>
      <b/>
      <sz val="8"/>
      <color indexed="81"/>
      <name val="Tahoma"/>
      <family val="2"/>
    </font>
    <font>
      <sz val="8"/>
      <color indexed="81"/>
      <name val="Tahoma"/>
      <family val="2"/>
    </font>
    <font>
      <sz val="10"/>
      <name val="Arial"/>
      <family val="2"/>
    </font>
    <font>
      <b/>
      <sz val="10"/>
      <name val="Arial"/>
      <family val="2"/>
    </font>
    <font>
      <b/>
      <sz val="14"/>
      <name val="Arial"/>
      <family val="2"/>
    </font>
    <font>
      <b/>
      <sz val="12"/>
      <name val="Arial"/>
      <family val="2"/>
    </font>
    <font>
      <b/>
      <i/>
      <sz val="12"/>
      <color indexed="8"/>
      <name val="Arial"/>
      <family val="2"/>
    </font>
    <font>
      <sz val="12"/>
      <name val="Times New Roman"/>
      <family val="1"/>
    </font>
    <font>
      <b/>
      <i/>
      <sz val="14"/>
      <name val="Times New Roman"/>
      <family val="1"/>
    </font>
    <font>
      <b/>
      <i/>
      <sz val="12"/>
      <name val="Times New Roman"/>
      <family val="1"/>
    </font>
    <font>
      <sz val="14"/>
      <name val="Times New Roman"/>
      <family val="1"/>
    </font>
    <font>
      <b/>
      <u/>
      <sz val="22"/>
      <name val="Times New Roman"/>
      <family val="1"/>
    </font>
    <font>
      <b/>
      <u/>
      <sz val="16"/>
      <name val="Times New Roman"/>
      <family val="1"/>
    </font>
    <font>
      <i/>
      <sz val="12"/>
      <name val="Times New Roman"/>
      <family val="1"/>
    </font>
    <font>
      <b/>
      <i/>
      <u/>
      <sz val="14"/>
      <name val="Times New Roman"/>
      <family val="1"/>
    </font>
    <font>
      <sz val="10"/>
      <color indexed="9"/>
      <name val="Arial"/>
      <family val="2"/>
    </font>
    <font>
      <sz val="10"/>
      <color indexed="8"/>
      <name val="Arial"/>
      <family val="2"/>
    </font>
    <font>
      <sz val="12"/>
      <name val="Helv"/>
    </font>
    <font>
      <sz val="14"/>
      <name val="Univers (W1)"/>
      <family val="2"/>
    </font>
    <font>
      <sz val="8"/>
      <name val="Univers (W1)"/>
      <family val="2"/>
    </font>
    <font>
      <sz val="10"/>
      <name val="Univers (W1)"/>
      <family val="2"/>
    </font>
    <font>
      <sz val="12"/>
      <name val="Univers (W1)"/>
      <family val="2"/>
    </font>
    <font>
      <sz val="15"/>
      <name val="Univers (W1)"/>
      <family val="2"/>
    </font>
    <font>
      <sz val="12"/>
      <name val="Script"/>
      <family val="4"/>
      <charset val="255"/>
    </font>
    <font>
      <sz val="9"/>
      <name val="Univers (W1)"/>
      <family val="2"/>
    </font>
    <font>
      <sz val="13"/>
      <name val="Univers (W1)"/>
      <family val="2"/>
    </font>
    <font>
      <b/>
      <sz val="10"/>
      <name val="Univers (W1)"/>
      <family val="2"/>
    </font>
    <font>
      <b/>
      <sz val="13"/>
      <name val="Univers (W1)"/>
      <family val="2"/>
    </font>
    <font>
      <sz val="12"/>
      <name val="Lucida Handwriting"/>
      <family val="4"/>
    </font>
  </fonts>
  <fills count="8">
    <fill>
      <patternFill patternType="none"/>
    </fill>
    <fill>
      <patternFill patternType="gray125"/>
    </fill>
    <fill>
      <patternFill patternType="solid">
        <fgColor rgb="FFFFFF99"/>
        <bgColor indexed="64"/>
      </patternFill>
    </fill>
    <fill>
      <patternFill patternType="solid">
        <fgColor theme="6" tint="0.59996337778862885"/>
        <bgColor indexed="64"/>
      </patternFill>
    </fill>
    <fill>
      <patternFill patternType="solid">
        <fgColor theme="9" tint="0.59996337778862885"/>
        <bgColor indexed="64"/>
      </patternFill>
    </fill>
    <fill>
      <patternFill patternType="solid">
        <fgColor indexed="9"/>
        <bgColor indexed="64"/>
      </patternFill>
    </fill>
    <fill>
      <patternFill patternType="solid">
        <fgColor theme="6" tint="0.59999389629810485"/>
        <bgColor indexed="64"/>
      </patternFill>
    </fill>
    <fill>
      <patternFill patternType="solid">
        <fgColor theme="9" tint="0.59999389629810485"/>
        <bgColor indexed="64"/>
      </patternFill>
    </fill>
  </fills>
  <borders count="1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style="thin">
        <color indexed="64"/>
      </left>
      <right/>
      <top/>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right style="thin">
        <color indexed="64"/>
      </right>
      <top/>
      <bottom/>
      <diagonal/>
    </border>
    <border>
      <left style="medium">
        <color indexed="64"/>
      </left>
      <right/>
      <top/>
      <bottom style="thin">
        <color indexed="64"/>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hair">
        <color indexed="23"/>
      </left>
      <right style="medium">
        <color indexed="64"/>
      </right>
      <top style="hair">
        <color indexed="23"/>
      </top>
      <bottom style="hair">
        <color indexed="55"/>
      </bottom>
      <diagonal/>
    </border>
    <border>
      <left style="hair">
        <color indexed="23"/>
      </left>
      <right style="medium">
        <color indexed="64"/>
      </right>
      <top/>
      <bottom style="hair">
        <color indexed="23"/>
      </bottom>
      <diagonal/>
    </border>
    <border>
      <left style="hair">
        <color indexed="23"/>
      </left>
      <right style="medium">
        <color indexed="64"/>
      </right>
      <top style="hair">
        <color indexed="23"/>
      </top>
      <bottom style="thin">
        <color indexed="64"/>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medium">
        <color indexed="64"/>
      </left>
      <right/>
      <top style="dotted">
        <color indexed="64"/>
      </top>
      <bottom style="dashed">
        <color indexed="64"/>
      </bottom>
      <diagonal/>
    </border>
    <border>
      <left/>
      <right/>
      <top style="dotted">
        <color indexed="64"/>
      </top>
      <bottom style="dashed">
        <color indexed="64"/>
      </bottom>
      <diagonal/>
    </border>
    <border>
      <left/>
      <right style="medium">
        <color indexed="64"/>
      </right>
      <top style="dott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right/>
      <top/>
      <bottom style="thin">
        <color indexed="8"/>
      </bottom>
      <diagonal/>
    </border>
  </borders>
  <cellStyleXfs count="6">
    <xf numFmtId="0" fontId="0" fillId="0" borderId="0"/>
    <xf numFmtId="0" fontId="23" fillId="0" borderId="0"/>
    <xf numFmtId="0" fontId="23" fillId="0" borderId="0"/>
    <xf numFmtId="0" fontId="53" fillId="0" borderId="0"/>
    <xf numFmtId="0" fontId="1" fillId="0" borderId="0"/>
    <xf numFmtId="172" fontId="68" fillId="0" borderId="0"/>
  </cellStyleXfs>
  <cellXfs count="681">
    <xf numFmtId="0" fontId="0" fillId="0" borderId="0" xfId="0"/>
    <xf numFmtId="0" fontId="2" fillId="0" borderId="0" xfId="0" applyFont="1"/>
    <xf numFmtId="0" fontId="0" fillId="0" borderId="0" xfId="0" applyAlignment="1">
      <alignment horizontal="centerContinuous"/>
    </xf>
    <xf numFmtId="0" fontId="3" fillId="0" borderId="1" xfId="0" applyFont="1" applyBorder="1" applyAlignment="1">
      <alignment horizontal="center"/>
    </xf>
    <xf numFmtId="0" fontId="4" fillId="0" borderId="2" xfId="0" applyFont="1" applyBorder="1"/>
    <xf numFmtId="0" fontId="3" fillId="0" borderId="3" xfId="0" applyFont="1" applyBorder="1"/>
    <xf numFmtId="0" fontId="2" fillId="0" borderId="3" xfId="0" applyFont="1" applyBorder="1"/>
    <xf numFmtId="0" fontId="2" fillId="0" borderId="4" xfId="0" applyFont="1" applyBorder="1"/>
    <xf numFmtId="0" fontId="3" fillId="0" borderId="1"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4" fillId="0" borderId="5" xfId="0" applyFont="1" applyBorder="1" applyAlignment="1">
      <alignment horizontal="center"/>
    </xf>
    <xf numFmtId="0" fontId="4" fillId="0" borderId="6" xfId="0" applyFont="1" applyBorder="1"/>
    <xf numFmtId="0" fontId="2" fillId="0" borderId="7" xfId="0" applyFont="1" applyBorder="1"/>
    <xf numFmtId="0" fontId="2" fillId="0" borderId="8" xfId="0" applyFont="1" applyBorder="1"/>
    <xf numFmtId="0" fontId="3" fillId="0" borderId="9" xfId="0" applyFont="1" applyBorder="1" applyAlignment="1">
      <alignment horizontal="center"/>
    </xf>
    <xf numFmtId="0" fontId="3" fillId="0" borderId="4" xfId="0" applyFont="1" applyBorder="1"/>
    <xf numFmtId="0" fontId="2" fillId="0" borderId="0" xfId="0" applyFont="1" applyAlignment="1">
      <alignment horizontal="centerContinuous"/>
    </xf>
    <xf numFmtId="0" fontId="2" fillId="0" borderId="7" xfId="0" applyFont="1" applyBorder="1" applyAlignment="1">
      <alignment horizontal="centerContinuous"/>
    </xf>
    <xf numFmtId="0" fontId="2" fillId="0" borderId="10" xfId="0" applyFont="1" applyBorder="1"/>
    <xf numFmtId="0" fontId="3" fillId="0" borderId="11" xfId="0" applyFont="1" applyBorder="1" applyAlignment="1">
      <alignment horizontal="right"/>
    </xf>
    <xf numFmtId="0" fontId="3" fillId="0" borderId="7" xfId="0" applyFont="1" applyBorder="1" applyAlignment="1">
      <alignment horizontal="centerContinuous"/>
    </xf>
    <xf numFmtId="0" fontId="4" fillId="0" borderId="12"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2" xfId="0" applyFont="1" applyBorder="1" applyAlignment="1">
      <alignment horizontal="right"/>
    </xf>
    <xf numFmtId="0" fontId="2" fillId="0" borderId="14" xfId="0" applyFont="1" applyBorder="1"/>
    <xf numFmtId="0" fontId="4" fillId="0" borderId="15" xfId="0" applyFont="1" applyBorder="1"/>
    <xf numFmtId="0" fontId="2" fillId="0" borderId="14" xfId="0" applyFont="1" applyBorder="1" applyAlignment="1">
      <alignment horizontal="centerContinuous"/>
    </xf>
    <xf numFmtId="0" fontId="2" fillId="0" borderId="16" xfId="0" applyFont="1" applyBorder="1" applyAlignment="1">
      <alignment horizontal="centerContinuous"/>
    </xf>
    <xf numFmtId="0" fontId="3" fillId="0" borderId="9" xfId="0" applyFont="1" applyBorder="1" applyAlignment="1">
      <alignment horizontal="centerContinuous"/>
    </xf>
    <xf numFmtId="0" fontId="5" fillId="0" borderId="0" xfId="0" applyFont="1"/>
    <xf numFmtId="0" fontId="6" fillId="0" borderId="0" xfId="0" applyFont="1" applyAlignment="1">
      <alignment horizontal="centerContinuous"/>
    </xf>
    <xf numFmtId="0" fontId="2" fillId="0" borderId="17" xfId="0" applyFont="1" applyBorder="1" applyAlignment="1">
      <alignment horizontal="right"/>
    </xf>
    <xf numFmtId="0" fontId="3" fillId="0" borderId="18" xfId="0" applyFont="1" applyBorder="1" applyAlignment="1">
      <alignment horizontal="right"/>
    </xf>
    <xf numFmtId="0" fontId="3" fillId="0" borderId="19" xfId="0" applyFont="1" applyBorder="1" applyAlignment="1">
      <alignment horizontal="right"/>
    </xf>
    <xf numFmtId="0" fontId="3" fillId="0" borderId="20" xfId="0" applyFont="1" applyBorder="1" applyAlignment="1">
      <alignment horizontal="right"/>
    </xf>
    <xf numFmtId="0" fontId="2" fillId="0" borderId="21" xfId="0" applyFont="1" applyBorder="1"/>
    <xf numFmtId="0" fontId="3" fillId="0" borderId="22" xfId="0" applyFont="1" applyBorder="1" applyAlignment="1">
      <alignment horizontal="center"/>
    </xf>
    <xf numFmtId="0" fontId="3" fillId="0" borderId="10" xfId="0" applyFont="1" applyBorder="1" applyAlignment="1">
      <alignment horizontal="center"/>
    </xf>
    <xf numFmtId="0" fontId="2" fillId="0" borderId="13" xfId="0" applyFont="1" applyBorder="1"/>
    <xf numFmtId="0" fontId="4" fillId="0" borderId="0" xfId="0" applyFont="1"/>
    <xf numFmtId="0" fontId="7" fillId="0" borderId="0" xfId="0" applyFont="1" applyAlignment="1">
      <alignment horizontal="left"/>
    </xf>
    <xf numFmtId="0" fontId="3" fillId="0" borderId="0" xfId="0" applyFont="1" applyAlignment="1">
      <alignment horizontal="left"/>
    </xf>
    <xf numFmtId="0" fontId="5" fillId="0" borderId="21" xfId="0" applyFont="1" applyBorder="1"/>
    <xf numFmtId="0" fontId="5" fillId="0" borderId="23" xfId="0" applyFont="1" applyBorder="1"/>
    <xf numFmtId="0" fontId="5" fillId="0" borderId="24" xfId="0" applyFont="1" applyBorder="1"/>
    <xf numFmtId="0" fontId="3" fillId="0" borderId="0" xfId="0" applyFont="1" applyAlignment="1">
      <alignment horizontal="right"/>
    </xf>
    <xf numFmtId="0" fontId="2" fillId="0" borderId="25" xfId="0" applyFont="1" applyBorder="1" applyAlignment="1">
      <alignment horizontal="center"/>
    </xf>
    <xf numFmtId="0" fontId="2" fillId="0" borderId="1" xfId="0" applyFont="1" applyBorder="1" applyAlignment="1">
      <alignment horizontal="center"/>
    </xf>
    <xf numFmtId="0" fontId="2" fillId="0" borderId="9" xfId="0" applyFont="1" applyBorder="1" applyAlignment="1">
      <alignment horizontal="center"/>
    </xf>
    <xf numFmtId="0" fontId="2" fillId="0" borderId="0" xfId="0" applyFont="1" applyAlignment="1">
      <alignment horizontal="center"/>
    </xf>
    <xf numFmtId="0" fontId="2" fillId="0" borderId="11"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2" fillId="0" borderId="30" xfId="0" applyFont="1" applyBorder="1" applyAlignment="1">
      <alignment horizontal="center"/>
    </xf>
    <xf numFmtId="0" fontId="2" fillId="0" borderId="21" xfId="0" applyFont="1" applyBorder="1" applyAlignment="1">
      <alignment horizontal="center"/>
    </xf>
    <xf numFmtId="0" fontId="2" fillId="0" borderId="24" xfId="0" applyFont="1" applyBorder="1" applyAlignment="1">
      <alignment horizontal="center"/>
    </xf>
    <xf numFmtId="0" fontId="2" fillId="0" borderId="29" xfId="0" applyFont="1" applyBorder="1" applyAlignment="1">
      <alignment horizontal="centerContinuous"/>
    </xf>
    <xf numFmtId="0" fontId="2" fillId="0" borderId="31" xfId="0" applyFont="1" applyBorder="1" applyAlignment="1">
      <alignment horizontal="right"/>
    </xf>
    <xf numFmtId="0" fontId="3" fillId="0" borderId="26" xfId="0" applyFont="1" applyBorder="1" applyAlignment="1">
      <alignment horizontal="right"/>
    </xf>
    <xf numFmtId="0" fontId="3" fillId="0" borderId="30" xfId="0" applyFont="1" applyBorder="1" applyAlignment="1">
      <alignment horizontal="right"/>
    </xf>
    <xf numFmtId="0" fontId="3" fillId="0" borderId="28" xfId="0" applyFont="1" applyBorder="1" applyAlignment="1">
      <alignment horizontal="right"/>
    </xf>
    <xf numFmtId="165" fontId="2" fillId="0" borderId="1" xfId="0" applyNumberFormat="1" applyFont="1" applyBorder="1" applyAlignment="1">
      <alignment horizontal="center"/>
    </xf>
    <xf numFmtId="166" fontId="2" fillId="0" borderId="1" xfId="0" applyNumberFormat="1" applyFont="1" applyBorder="1" applyAlignment="1">
      <alignment horizontal="center"/>
    </xf>
    <xf numFmtId="2" fontId="2" fillId="0" borderId="1" xfId="0" applyNumberFormat="1" applyFont="1" applyBorder="1" applyAlignment="1">
      <alignment horizontal="center"/>
    </xf>
    <xf numFmtId="167" fontId="2" fillId="0" borderId="1" xfId="0" applyNumberFormat="1" applyFont="1" applyBorder="1" applyAlignment="1">
      <alignment horizontal="center"/>
    </xf>
    <xf numFmtId="165" fontId="2" fillId="0" borderId="9" xfId="0" applyNumberFormat="1" applyFont="1" applyBorder="1" applyAlignment="1">
      <alignment horizontal="center"/>
    </xf>
    <xf numFmtId="166" fontId="2" fillId="0" borderId="9" xfId="0" applyNumberFormat="1" applyFont="1" applyBorder="1" applyAlignment="1">
      <alignment horizontal="center"/>
    </xf>
    <xf numFmtId="2" fontId="2" fillId="0" borderId="9" xfId="0" applyNumberFormat="1" applyFont="1" applyBorder="1" applyAlignment="1">
      <alignment horizontal="center"/>
    </xf>
    <xf numFmtId="167" fontId="2" fillId="0" borderId="9" xfId="0" applyNumberFormat="1" applyFont="1" applyBorder="1" applyAlignment="1">
      <alignment horizontal="center"/>
    </xf>
    <xf numFmtId="2" fontId="2" fillId="0" borderId="16" xfId="0" applyNumberFormat="1" applyFont="1" applyBorder="1" applyAlignment="1">
      <alignment horizontal="center"/>
    </xf>
    <xf numFmtId="2" fontId="2" fillId="0" borderId="32" xfId="0" applyNumberFormat="1" applyFont="1" applyBorder="1" applyAlignment="1">
      <alignment horizontal="center"/>
    </xf>
    <xf numFmtId="166" fontId="2" fillId="0" borderId="25" xfId="0" applyNumberFormat="1" applyFont="1" applyBorder="1" applyAlignment="1">
      <alignment horizontal="center"/>
    </xf>
    <xf numFmtId="167" fontId="2" fillId="0" borderId="25" xfId="0" applyNumberFormat="1" applyFont="1" applyBorder="1" applyAlignment="1">
      <alignment horizontal="center"/>
    </xf>
    <xf numFmtId="166" fontId="2" fillId="0" borderId="11" xfId="0" applyNumberFormat="1" applyFont="1" applyBorder="1" applyAlignment="1">
      <alignment horizontal="center"/>
    </xf>
    <xf numFmtId="2" fontId="2" fillId="0" borderId="11" xfId="0" applyNumberFormat="1" applyFont="1" applyBorder="1" applyAlignment="1">
      <alignment horizontal="center"/>
    </xf>
    <xf numFmtId="166" fontId="2" fillId="0" borderId="33" xfId="0" applyNumberFormat="1" applyFont="1" applyBorder="1" applyAlignment="1">
      <alignment horizontal="center"/>
    </xf>
    <xf numFmtId="2" fontId="2" fillId="0" borderId="33" xfId="0" applyNumberFormat="1" applyFont="1" applyBorder="1" applyAlignment="1">
      <alignment horizontal="center"/>
    </xf>
    <xf numFmtId="167" fontId="2" fillId="0" borderId="33" xfId="0" applyNumberFormat="1" applyFont="1" applyBorder="1" applyAlignment="1">
      <alignment horizontal="center"/>
    </xf>
    <xf numFmtId="167" fontId="2" fillId="0" borderId="34" xfId="0" applyNumberFormat="1" applyFont="1" applyBorder="1" applyAlignment="1">
      <alignment horizontal="center"/>
    </xf>
    <xf numFmtId="167" fontId="2" fillId="0" borderId="10" xfId="0" applyNumberFormat="1" applyFont="1" applyBorder="1" applyAlignment="1">
      <alignment horizontal="center"/>
    </xf>
    <xf numFmtId="167" fontId="2" fillId="0" borderId="30" xfId="0" applyNumberFormat="1" applyFont="1" applyBorder="1" applyAlignment="1">
      <alignment horizontal="center"/>
    </xf>
    <xf numFmtId="167" fontId="2" fillId="0" borderId="35" xfId="0" applyNumberFormat="1" applyFont="1" applyBorder="1" applyAlignment="1">
      <alignment horizontal="center"/>
    </xf>
    <xf numFmtId="167" fontId="2" fillId="0" borderId="36" xfId="0" applyNumberFormat="1" applyFont="1" applyBorder="1" applyAlignment="1">
      <alignment horizontal="center"/>
    </xf>
    <xf numFmtId="167" fontId="2" fillId="0" borderId="37" xfId="0" applyNumberFormat="1" applyFont="1" applyBorder="1" applyAlignment="1">
      <alignment horizontal="center"/>
    </xf>
    <xf numFmtId="166" fontId="2" fillId="0" borderId="26" xfId="0" applyNumberFormat="1" applyFont="1" applyBorder="1" applyAlignment="1">
      <alignment horizontal="center"/>
    </xf>
    <xf numFmtId="167" fontId="2" fillId="0" borderId="38" xfId="0" applyNumberFormat="1" applyFont="1" applyBorder="1" applyAlignment="1">
      <alignment horizontal="center"/>
    </xf>
    <xf numFmtId="167" fontId="2" fillId="0" borderId="39" xfId="0" applyNumberFormat="1" applyFont="1" applyBorder="1" applyAlignment="1">
      <alignment horizontal="center"/>
    </xf>
    <xf numFmtId="167" fontId="2" fillId="0" borderId="26" xfId="0" applyNumberFormat="1" applyFont="1" applyBorder="1" applyAlignment="1">
      <alignment horizontal="center"/>
    </xf>
    <xf numFmtId="1" fontId="2" fillId="0" borderId="28" xfId="0" applyNumberFormat="1" applyFont="1" applyBorder="1" applyAlignment="1">
      <alignment horizontal="center"/>
    </xf>
    <xf numFmtId="2" fontId="2" fillId="0" borderId="21" xfId="0" applyNumberFormat="1" applyFont="1" applyBorder="1" applyAlignment="1">
      <alignment horizontal="center"/>
    </xf>
    <xf numFmtId="0" fontId="3" fillId="0" borderId="0" xfId="0" applyFont="1"/>
    <xf numFmtId="2" fontId="2" fillId="0" borderId="27" xfId="0" applyNumberFormat="1" applyFont="1" applyBorder="1" applyAlignment="1">
      <alignment horizontal="center"/>
    </xf>
    <xf numFmtId="2" fontId="9" fillId="0" borderId="40" xfId="0" applyNumberFormat="1" applyFont="1" applyBorder="1" applyAlignment="1">
      <alignment horizontal="centerContinuous"/>
    </xf>
    <xf numFmtId="0" fontId="9" fillId="0" borderId="40" xfId="0" applyFont="1" applyBorder="1" applyAlignment="1">
      <alignment horizontal="center"/>
    </xf>
    <xf numFmtId="0" fontId="9" fillId="0" borderId="29" xfId="0" applyFont="1" applyBorder="1" applyAlignment="1">
      <alignment horizontal="center"/>
    </xf>
    <xf numFmtId="0" fontId="9" fillId="0" borderId="23" xfId="0" applyFont="1" applyBorder="1" applyAlignment="1">
      <alignment horizontal="center"/>
    </xf>
    <xf numFmtId="0" fontId="3" fillId="0" borderId="3" xfId="0" applyFont="1" applyBorder="1" applyAlignment="1">
      <alignment horizontal="center"/>
    </xf>
    <xf numFmtId="0" fontId="3" fillId="0" borderId="41" xfId="0" applyFont="1" applyBorder="1" applyAlignment="1">
      <alignment horizontal="center"/>
    </xf>
    <xf numFmtId="167" fontId="2" fillId="0" borderId="42" xfId="0" applyNumberFormat="1"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0" fontId="3" fillId="0" borderId="17" xfId="0" applyFont="1" applyBorder="1" applyAlignment="1">
      <alignment horizontal="centerContinuous"/>
    </xf>
    <xf numFmtId="0" fontId="4" fillId="0" borderId="12" xfId="0" applyFont="1" applyBorder="1" applyAlignment="1">
      <alignment horizontal="left"/>
    </xf>
    <xf numFmtId="0" fontId="3" fillId="0" borderId="45" xfId="0" applyFont="1" applyBorder="1"/>
    <xf numFmtId="0" fontId="2" fillId="0" borderId="16" xfId="0" applyFont="1" applyBorder="1" applyAlignment="1">
      <alignment horizontal="center"/>
    </xf>
    <xf numFmtId="0" fontId="3" fillId="0" borderId="0" xfId="0" applyFont="1" applyAlignment="1">
      <alignment horizontal="center"/>
    </xf>
    <xf numFmtId="2" fontId="2" fillId="0" borderId="25" xfId="0" applyNumberFormat="1" applyFont="1" applyBorder="1" applyAlignment="1">
      <alignment horizontal="center"/>
    </xf>
    <xf numFmtId="0" fontId="2" fillId="0" borderId="29" xfId="0" applyFont="1" applyBorder="1" applyAlignment="1">
      <alignment horizontal="left"/>
    </xf>
    <xf numFmtId="0" fontId="2" fillId="0" borderId="21" xfId="0" applyFont="1" applyBorder="1" applyAlignment="1">
      <alignment horizontal="left"/>
    </xf>
    <xf numFmtId="0" fontId="2" fillId="0" borderId="9" xfId="0" applyFont="1" applyBorder="1" applyAlignment="1">
      <alignment horizontal="left"/>
    </xf>
    <xf numFmtId="0" fontId="2" fillId="0" borderId="30" xfId="0" applyFont="1" applyBorder="1" applyAlignment="1">
      <alignment horizontal="left"/>
    </xf>
    <xf numFmtId="0" fontId="2" fillId="0" borderId="28" xfId="0" applyFont="1" applyBorder="1" applyAlignment="1">
      <alignment horizontal="left"/>
    </xf>
    <xf numFmtId="0" fontId="5" fillId="0" borderId="12" xfId="0" applyFont="1" applyBorder="1"/>
    <xf numFmtId="0" fontId="5" fillId="0" borderId="13" xfId="0" applyFont="1" applyBorder="1"/>
    <xf numFmtId="0" fontId="5" fillId="0" borderId="14" xfId="0" applyFont="1" applyBorder="1"/>
    <xf numFmtId="0" fontId="5" fillId="0" borderId="45" xfId="0" applyFont="1" applyBorder="1"/>
    <xf numFmtId="0" fontId="5" fillId="0" borderId="46" xfId="0" applyFont="1" applyBorder="1"/>
    <xf numFmtId="0" fontId="2" fillId="0" borderId="1" xfId="0" applyFont="1" applyBorder="1" applyAlignment="1">
      <alignment horizontal="left"/>
    </xf>
    <xf numFmtId="0" fontId="3" fillId="0" borderId="0" xfId="0" applyFont="1" applyAlignment="1">
      <alignment horizontal="centerContinuous"/>
    </xf>
    <xf numFmtId="2" fontId="3" fillId="0" borderId="20" xfId="0" quotePrefix="1" applyNumberFormat="1" applyFont="1" applyBorder="1" applyAlignment="1">
      <alignment horizontal="center"/>
    </xf>
    <xf numFmtId="2" fontId="3" fillId="0" borderId="47" xfId="0" quotePrefix="1" applyNumberFormat="1" applyFont="1" applyBorder="1" applyAlignment="1">
      <alignment horizontal="center"/>
    </xf>
    <xf numFmtId="2" fontId="3" fillId="0" borderId="30" xfId="0" quotePrefix="1" applyNumberFormat="1" applyFont="1" applyBorder="1" applyAlignment="1">
      <alignment horizontal="center"/>
    </xf>
    <xf numFmtId="2" fontId="3" fillId="0" borderId="30" xfId="0" applyNumberFormat="1" applyFont="1" applyBorder="1" applyAlignment="1">
      <alignment horizontal="center"/>
    </xf>
    <xf numFmtId="166" fontId="3" fillId="0" borderId="20" xfId="0" quotePrefix="1" applyNumberFormat="1" applyFont="1" applyBorder="1" applyAlignment="1">
      <alignment horizontal="center"/>
    </xf>
    <xf numFmtId="0" fontId="10" fillId="0" borderId="0" xfId="0" applyFont="1" applyAlignment="1">
      <alignment horizontal="center"/>
    </xf>
    <xf numFmtId="0" fontId="11" fillId="0" borderId="7" xfId="0" applyFont="1" applyBorder="1" applyAlignment="1">
      <alignment horizontal="centerContinuous"/>
    </xf>
    <xf numFmtId="0" fontId="11" fillId="0" borderId="8" xfId="0" applyFont="1" applyBorder="1" applyAlignment="1">
      <alignment horizontal="centerContinuous"/>
    </xf>
    <xf numFmtId="2" fontId="2" fillId="0" borderId="48" xfId="0" applyNumberFormat="1" applyFont="1" applyBorder="1" applyAlignment="1">
      <alignment horizontal="center"/>
    </xf>
    <xf numFmtId="2" fontId="2" fillId="0" borderId="24" xfId="0" applyNumberFormat="1" applyFont="1" applyBorder="1" applyAlignment="1">
      <alignment horizontal="center"/>
    </xf>
    <xf numFmtId="0" fontId="2" fillId="0" borderId="7" xfId="0" applyFont="1" applyBorder="1" applyAlignment="1">
      <alignment horizontal="right"/>
    </xf>
    <xf numFmtId="0" fontId="3" fillId="0" borderId="49" xfId="0" applyFont="1" applyBorder="1" applyAlignment="1">
      <alignment horizontal="right"/>
    </xf>
    <xf numFmtId="167" fontId="14" fillId="0" borderId="1" xfId="0" applyNumberFormat="1" applyFont="1" applyBorder="1" applyAlignment="1">
      <alignment horizontal="center"/>
    </xf>
    <xf numFmtId="167" fontId="2" fillId="0" borderId="7" xfId="0" applyNumberFormat="1" applyFont="1" applyBorder="1" applyAlignment="1">
      <alignment horizontal="center"/>
    </xf>
    <xf numFmtId="167" fontId="2" fillId="0" borderId="8" xfId="0" applyNumberFormat="1" applyFont="1" applyBorder="1" applyAlignment="1">
      <alignment horizontal="center"/>
    </xf>
    <xf numFmtId="1" fontId="2" fillId="0" borderId="25" xfId="0" applyNumberFormat="1" applyFont="1" applyBorder="1" applyAlignment="1">
      <alignment horizontal="center"/>
    </xf>
    <xf numFmtId="0" fontId="2" fillId="0" borderId="50" xfId="0" applyFont="1" applyBorder="1"/>
    <xf numFmtId="0" fontId="1" fillId="0" borderId="45" xfId="0" applyFont="1" applyBorder="1"/>
    <xf numFmtId="0" fontId="1" fillId="0" borderId="3" xfId="0" applyFont="1" applyBorder="1"/>
    <xf numFmtId="0" fontId="1" fillId="0" borderId="13" xfId="0" applyFont="1" applyBorder="1"/>
    <xf numFmtId="49" fontId="2" fillId="0" borderId="7" xfId="0" applyNumberFormat="1" applyFont="1" applyBorder="1" applyAlignment="1">
      <alignment horizontal="center"/>
    </xf>
    <xf numFmtId="0" fontId="0" fillId="0" borderId="0" xfId="0" applyAlignment="1">
      <alignment horizontal="right"/>
    </xf>
    <xf numFmtId="2" fontId="0" fillId="0" borderId="0" xfId="0" applyNumberFormat="1" applyAlignment="1">
      <alignment horizontal="left"/>
    </xf>
    <xf numFmtId="167" fontId="0" fillId="0" borderId="0" xfId="0" applyNumberFormat="1" applyAlignment="1">
      <alignment horizontal="left"/>
    </xf>
    <xf numFmtId="0" fontId="0" fillId="0" borderId="0" xfId="0" applyAlignment="1">
      <alignment horizontal="left"/>
    </xf>
    <xf numFmtId="0" fontId="16" fillId="0" borderId="0" xfId="0" applyFont="1"/>
    <xf numFmtId="165" fontId="0" fillId="0" borderId="0" xfId="0" applyNumberFormat="1"/>
    <xf numFmtId="167" fontId="0" fillId="0" borderId="0" xfId="0" applyNumberFormat="1"/>
    <xf numFmtId="168" fontId="2" fillId="2" borderId="1" xfId="0" applyNumberFormat="1" applyFont="1" applyFill="1" applyBorder="1" applyAlignment="1">
      <alignment horizontal="center"/>
    </xf>
    <xf numFmtId="0" fontId="2" fillId="3" borderId="0" xfId="0" applyFont="1" applyFill="1"/>
    <xf numFmtId="0" fontId="17" fillId="4" borderId="0" xfId="0" applyFont="1" applyFill="1"/>
    <xf numFmtId="0" fontId="5" fillId="4" borderId="0" xfId="0" applyFont="1" applyFill="1"/>
    <xf numFmtId="0" fontId="4" fillId="0" borderId="41" xfId="0" applyFont="1" applyBorder="1" applyAlignment="1">
      <alignment horizontal="center"/>
    </xf>
    <xf numFmtId="1" fontId="2" fillId="0" borderId="44" xfId="0" applyNumberFormat="1" applyFont="1" applyBorder="1" applyAlignment="1">
      <alignment horizontal="center"/>
    </xf>
    <xf numFmtId="0" fontId="2" fillId="0" borderId="1" xfId="0" applyFont="1" applyBorder="1" applyAlignment="1">
      <alignment horizontal="centerContinuous"/>
    </xf>
    <xf numFmtId="165" fontId="2" fillId="2" borderId="0" xfId="0" applyNumberFormat="1" applyFont="1" applyFill="1" applyAlignment="1">
      <alignment horizontal="center"/>
    </xf>
    <xf numFmtId="164" fontId="2" fillId="2" borderId="1" xfId="0" applyNumberFormat="1" applyFont="1" applyFill="1" applyBorder="1" applyAlignment="1">
      <alignment horizontal="center"/>
    </xf>
    <xf numFmtId="0" fontId="12" fillId="0" borderId="47" xfId="0" applyFont="1" applyBorder="1" applyAlignment="1">
      <alignment horizontal="right"/>
    </xf>
    <xf numFmtId="0" fontId="3" fillId="0" borderId="1" xfId="0" applyFont="1" applyBorder="1"/>
    <xf numFmtId="0" fontId="3" fillId="0" borderId="11" xfId="0" applyFont="1" applyBorder="1"/>
    <xf numFmtId="2" fontId="20" fillId="0" borderId="1" xfId="0" applyNumberFormat="1" applyFont="1" applyBorder="1" applyAlignment="1">
      <alignment horizontal="center"/>
    </xf>
    <xf numFmtId="167" fontId="20" fillId="0" borderId="9" xfId="0" applyNumberFormat="1" applyFont="1" applyBorder="1" applyAlignment="1">
      <alignment horizontal="center"/>
    </xf>
    <xf numFmtId="166" fontId="20" fillId="0" borderId="11" xfId="0" applyNumberFormat="1" applyFont="1" applyBorder="1" applyAlignment="1">
      <alignment horizontal="center"/>
    </xf>
    <xf numFmtId="2" fontId="20" fillId="0" borderId="11" xfId="0" applyNumberFormat="1" applyFont="1" applyBorder="1" applyAlignment="1">
      <alignment horizontal="center"/>
    </xf>
    <xf numFmtId="167" fontId="20" fillId="0" borderId="33" xfId="0" applyNumberFormat="1" applyFont="1" applyBorder="1" applyAlignment="1">
      <alignment horizontal="center"/>
    </xf>
    <xf numFmtId="1" fontId="0" fillId="0" borderId="0" xfId="0" applyNumberFormat="1" applyAlignment="1">
      <alignment horizontal="left"/>
    </xf>
    <xf numFmtId="14" fontId="3" fillId="0" borderId="0" xfId="0" applyNumberFormat="1" applyFont="1" applyAlignment="1">
      <alignment horizontal="center"/>
    </xf>
    <xf numFmtId="19" fontId="3" fillId="0" borderId="0" xfId="0" applyNumberFormat="1" applyFont="1"/>
    <xf numFmtId="2" fontId="21" fillId="0" borderId="1" xfId="0" applyNumberFormat="1" applyFont="1" applyBorder="1" applyAlignment="1">
      <alignment horizontal="center"/>
    </xf>
    <xf numFmtId="2" fontId="21" fillId="0" borderId="9" xfId="0" applyNumberFormat="1" applyFont="1" applyBorder="1" applyAlignment="1">
      <alignment horizontal="center"/>
    </xf>
    <xf numFmtId="166" fontId="21" fillId="0" borderId="1" xfId="0" applyNumberFormat="1" applyFont="1" applyBorder="1" applyAlignment="1">
      <alignment horizontal="center"/>
    </xf>
    <xf numFmtId="166" fontId="21" fillId="0" borderId="9" xfId="0" applyNumberFormat="1" applyFont="1" applyBorder="1" applyAlignment="1">
      <alignment horizontal="center"/>
    </xf>
    <xf numFmtId="165" fontId="21" fillId="0" borderId="1" xfId="0" applyNumberFormat="1" applyFont="1" applyBorder="1" applyAlignment="1">
      <alignment horizontal="center"/>
    </xf>
    <xf numFmtId="165" fontId="21" fillId="0" borderId="9" xfId="0" applyNumberFormat="1" applyFont="1" applyBorder="1" applyAlignment="1">
      <alignment horizontal="center"/>
    </xf>
    <xf numFmtId="167" fontId="21" fillId="0" borderId="1" xfId="0" applyNumberFormat="1" applyFont="1" applyBorder="1" applyAlignment="1">
      <alignment horizontal="center"/>
    </xf>
    <xf numFmtId="167" fontId="21" fillId="0" borderId="9" xfId="0" applyNumberFormat="1" applyFont="1" applyBorder="1" applyAlignment="1">
      <alignment horizontal="center"/>
    </xf>
    <xf numFmtId="166" fontId="21" fillId="0" borderId="11" xfId="0" applyNumberFormat="1" applyFont="1" applyBorder="1" applyAlignment="1">
      <alignment horizontal="center"/>
    </xf>
    <xf numFmtId="166" fontId="22" fillId="0" borderId="31" xfId="0" applyNumberFormat="1" applyFont="1" applyBorder="1" applyAlignment="1">
      <alignment horizontal="center"/>
    </xf>
    <xf numFmtId="166" fontId="22" fillId="0" borderId="51" xfId="0" applyNumberFormat="1" applyFont="1" applyBorder="1" applyAlignment="1">
      <alignment horizontal="center"/>
    </xf>
    <xf numFmtId="166" fontId="22" fillId="0" borderId="32" xfId="0" applyNumberFormat="1" applyFont="1" applyBorder="1" applyAlignment="1">
      <alignment horizontal="center"/>
    </xf>
    <xf numFmtId="0" fontId="25" fillId="0" borderId="0" xfId="1" applyFont="1"/>
    <xf numFmtId="0" fontId="26" fillId="0" borderId="0" xfId="1" applyFont="1"/>
    <xf numFmtId="0" fontId="28" fillId="5" borderId="0" xfId="1" applyFont="1" applyFill="1" applyAlignment="1">
      <alignment horizontal="right"/>
    </xf>
    <xf numFmtId="0" fontId="29" fillId="5" borderId="0" xfId="1" applyFont="1" applyFill="1"/>
    <xf numFmtId="0" fontId="30" fillId="5" borderId="0" xfId="1" applyFont="1" applyFill="1"/>
    <xf numFmtId="0" fontId="27" fillId="5" borderId="0" xfId="1" applyFont="1" applyFill="1" applyAlignment="1">
      <alignment horizontal="center"/>
    </xf>
    <xf numFmtId="0" fontId="31" fillId="0" borderId="52" xfId="1" applyFont="1" applyBorder="1" applyAlignment="1">
      <alignment horizontal="left" vertical="center"/>
    </xf>
    <xf numFmtId="0" fontId="31" fillId="0" borderId="53" xfId="1" applyFont="1" applyBorder="1" applyAlignment="1">
      <alignment vertical="center"/>
    </xf>
    <xf numFmtId="0" fontId="23" fillId="0" borderId="53" xfId="1" applyBorder="1"/>
    <xf numFmtId="0" fontId="31" fillId="0" borderId="54" xfId="1" applyFont="1" applyBorder="1" applyAlignment="1">
      <alignment horizontal="right" vertical="center"/>
    </xf>
    <xf numFmtId="0" fontId="19" fillId="0" borderId="0" xfId="1" applyFont="1"/>
    <xf numFmtId="0" fontId="32" fillId="0" borderId="52" xfId="1" applyFont="1" applyBorder="1"/>
    <xf numFmtId="0" fontId="19" fillId="0" borderId="54" xfId="1" applyFont="1" applyBorder="1"/>
    <xf numFmtId="0" fontId="32" fillId="0" borderId="54" xfId="1" applyFont="1" applyBorder="1"/>
    <xf numFmtId="0" fontId="33" fillId="0" borderId="0" xfId="1" applyFont="1"/>
    <xf numFmtId="0" fontId="34" fillId="5" borderId="13" xfId="1" applyFont="1" applyFill="1" applyBorder="1" applyAlignment="1">
      <alignment horizontal="center"/>
    </xf>
    <xf numFmtId="0" fontId="34" fillId="5" borderId="55" xfId="1" applyFont="1" applyFill="1" applyBorder="1" applyAlignment="1">
      <alignment horizontal="center"/>
    </xf>
    <xf numFmtId="0" fontId="34" fillId="5" borderId="0" xfId="1" quotePrefix="1" applyFont="1" applyFill="1" applyAlignment="1">
      <alignment horizontal="left"/>
    </xf>
    <xf numFmtId="0" fontId="35" fillId="5" borderId="56" xfId="1" applyFont="1" applyFill="1" applyBorder="1" applyAlignment="1">
      <alignment horizontal="right"/>
    </xf>
    <xf numFmtId="0" fontId="34" fillId="5" borderId="57" xfId="1" applyFont="1" applyFill="1" applyBorder="1" applyAlignment="1">
      <alignment horizontal="center"/>
    </xf>
    <xf numFmtId="0" fontId="34" fillId="5" borderId="21" xfId="1" applyFont="1" applyFill="1" applyBorder="1" applyAlignment="1">
      <alignment horizontal="center"/>
    </xf>
    <xf numFmtId="0" fontId="32" fillId="0" borderId="45" xfId="1" applyFont="1" applyBorder="1"/>
    <xf numFmtId="0" fontId="19" fillId="0" borderId="21" xfId="1" applyFont="1" applyBorder="1"/>
    <xf numFmtId="0" fontId="32" fillId="0" borderId="21" xfId="1" applyFont="1" applyBorder="1"/>
    <xf numFmtId="0" fontId="36" fillId="5" borderId="67" xfId="1" applyFont="1" applyFill="1" applyBorder="1"/>
    <xf numFmtId="0" fontId="36" fillId="5" borderId="68" xfId="1" applyFont="1" applyFill="1" applyBorder="1"/>
    <xf numFmtId="0" fontId="39" fillId="5" borderId="68" xfId="1" applyFont="1" applyFill="1" applyBorder="1"/>
    <xf numFmtId="0" fontId="39" fillId="5" borderId="69" xfId="1" applyFont="1" applyFill="1" applyBorder="1"/>
    <xf numFmtId="167" fontId="38" fillId="5" borderId="64" xfId="1" applyNumberFormat="1" applyFont="1" applyFill="1" applyBorder="1" applyAlignment="1">
      <alignment horizontal="center"/>
    </xf>
    <xf numFmtId="0" fontId="38" fillId="5" borderId="70" xfId="1" applyFont="1" applyFill="1" applyBorder="1" applyAlignment="1">
      <alignment horizontal="center"/>
    </xf>
    <xf numFmtId="0" fontId="36" fillId="5" borderId="71" xfId="1" applyFont="1" applyFill="1" applyBorder="1"/>
    <xf numFmtId="0" fontId="36" fillId="5" borderId="72" xfId="1" applyFont="1" applyFill="1" applyBorder="1"/>
    <xf numFmtId="0" fontId="39" fillId="5" borderId="72" xfId="1" applyFont="1" applyFill="1" applyBorder="1"/>
    <xf numFmtId="0" fontId="39" fillId="5" borderId="73" xfId="1" applyFont="1" applyFill="1" applyBorder="1"/>
    <xf numFmtId="1" fontId="38" fillId="5" borderId="64" xfId="1" applyNumberFormat="1" applyFont="1" applyFill="1" applyBorder="1" applyAlignment="1">
      <alignment horizontal="center"/>
    </xf>
    <xf numFmtId="0" fontId="38" fillId="5" borderId="74" xfId="1" applyFont="1" applyFill="1" applyBorder="1" applyAlignment="1">
      <alignment horizontal="center"/>
    </xf>
    <xf numFmtId="0" fontId="40" fillId="5" borderId="68" xfId="1" applyFont="1" applyFill="1" applyBorder="1"/>
    <xf numFmtId="0" fontId="41" fillId="5" borderId="69" xfId="1" applyFont="1" applyFill="1" applyBorder="1" applyAlignment="1">
      <alignment horizontal="left"/>
    </xf>
    <xf numFmtId="0" fontId="38" fillId="5" borderId="64" xfId="1" applyFont="1" applyFill="1" applyBorder="1" applyAlignment="1">
      <alignment horizontal="center"/>
    </xf>
    <xf numFmtId="0" fontId="32" fillId="0" borderId="46" xfId="1" applyFont="1" applyBorder="1"/>
    <xf numFmtId="0" fontId="32" fillId="0" borderId="24" xfId="1" applyFont="1" applyBorder="1"/>
    <xf numFmtId="0" fontId="36" fillId="5" borderId="76" xfId="1" applyFont="1" applyFill="1" applyBorder="1"/>
    <xf numFmtId="0" fontId="36" fillId="5" borderId="77" xfId="1" applyFont="1" applyFill="1" applyBorder="1"/>
    <xf numFmtId="0" fontId="40" fillId="5" borderId="77" xfId="1" applyFont="1" applyFill="1" applyBorder="1"/>
    <xf numFmtId="0" fontId="38" fillId="5" borderId="78" xfId="1" applyFont="1" applyFill="1" applyBorder="1" applyAlignment="1">
      <alignment horizontal="center"/>
    </xf>
    <xf numFmtId="0" fontId="38" fillId="5" borderId="79" xfId="1" applyFont="1" applyFill="1" applyBorder="1" applyAlignment="1">
      <alignment horizontal="center"/>
    </xf>
    <xf numFmtId="0" fontId="36" fillId="5" borderId="63" xfId="1" quotePrefix="1" applyFont="1" applyFill="1" applyBorder="1" applyAlignment="1">
      <alignment horizontal="left"/>
    </xf>
    <xf numFmtId="0" fontId="33" fillId="0" borderId="69" xfId="1" applyFont="1" applyBorder="1"/>
    <xf numFmtId="0" fontId="19" fillId="0" borderId="24" xfId="1" applyFont="1" applyBorder="1"/>
    <xf numFmtId="0" fontId="36" fillId="5" borderId="83" xfId="1" quotePrefix="1" applyFont="1" applyFill="1" applyBorder="1" applyAlignment="1">
      <alignment horizontal="left"/>
    </xf>
    <xf numFmtId="0" fontId="36" fillId="5" borderId="59" xfId="1" applyFont="1" applyFill="1" applyBorder="1"/>
    <xf numFmtId="0" fontId="39" fillId="5" borderId="59" xfId="1" applyFont="1" applyFill="1" applyBorder="1"/>
    <xf numFmtId="0" fontId="43" fillId="5" borderId="59" xfId="1" applyFont="1" applyFill="1" applyBorder="1" applyAlignment="1">
      <alignment horizontal="right"/>
    </xf>
    <xf numFmtId="49" fontId="38" fillId="5" borderId="59" xfId="1" applyNumberFormat="1" applyFont="1" applyFill="1" applyBorder="1" applyAlignment="1">
      <alignment horizontal="center"/>
    </xf>
    <xf numFmtId="0" fontId="38" fillId="5" borderId="84" xfId="1" applyFont="1" applyFill="1" applyBorder="1" applyAlignment="1">
      <alignment horizontal="center"/>
    </xf>
    <xf numFmtId="0" fontId="36" fillId="5" borderId="64" xfId="1" applyFont="1" applyFill="1" applyBorder="1"/>
    <xf numFmtId="0" fontId="39" fillId="5" borderId="64" xfId="1" applyFont="1" applyFill="1" applyBorder="1"/>
    <xf numFmtId="0" fontId="36" fillId="5" borderId="85" xfId="1" quotePrefix="1" applyFont="1" applyFill="1" applyBorder="1" applyAlignment="1">
      <alignment horizontal="left"/>
    </xf>
    <xf numFmtId="0" fontId="36" fillId="5" borderId="78" xfId="1" applyFont="1" applyFill="1" applyBorder="1"/>
    <xf numFmtId="0" fontId="39" fillId="5" borderId="78" xfId="1" applyFont="1" applyFill="1" applyBorder="1"/>
    <xf numFmtId="0" fontId="36" fillId="5" borderId="63" xfId="1" applyFont="1" applyFill="1" applyBorder="1" applyAlignment="1">
      <alignment horizontal="left"/>
    </xf>
    <xf numFmtId="0" fontId="19" fillId="5" borderId="86" xfId="1" applyFont="1" applyFill="1" applyBorder="1"/>
    <xf numFmtId="0" fontId="19" fillId="5" borderId="69" xfId="1" applyFont="1" applyFill="1" applyBorder="1"/>
    <xf numFmtId="0" fontId="36" fillId="5" borderId="63" xfId="1" applyFont="1" applyFill="1" applyBorder="1"/>
    <xf numFmtId="0" fontId="19" fillId="5" borderId="68" xfId="1" applyFont="1" applyFill="1" applyBorder="1"/>
    <xf numFmtId="0" fontId="36" fillId="5" borderId="86" xfId="1" applyFont="1" applyFill="1" applyBorder="1"/>
    <xf numFmtId="0" fontId="43" fillId="5" borderId="69" xfId="1" applyFont="1" applyFill="1" applyBorder="1" applyAlignment="1">
      <alignment horizontal="right"/>
    </xf>
    <xf numFmtId="0" fontId="36" fillId="5" borderId="58" xfId="1" quotePrefix="1" applyFont="1" applyFill="1" applyBorder="1" applyAlignment="1">
      <alignment horizontal="left"/>
    </xf>
    <xf numFmtId="0" fontId="33" fillId="0" borderId="93" xfId="1" applyFont="1" applyBorder="1"/>
    <xf numFmtId="0" fontId="36" fillId="5" borderId="86" xfId="1" quotePrefix="1" applyFont="1" applyFill="1" applyBorder="1" applyAlignment="1">
      <alignment horizontal="left"/>
    </xf>
    <xf numFmtId="0" fontId="19" fillId="5" borderId="64" xfId="1" applyFont="1" applyFill="1" applyBorder="1"/>
    <xf numFmtId="0" fontId="36" fillId="5" borderId="94" xfId="1" applyFont="1" applyFill="1" applyBorder="1" applyAlignment="1">
      <alignment horizontal="left"/>
    </xf>
    <xf numFmtId="0" fontId="36" fillId="5" borderId="68" xfId="1" quotePrefix="1" applyFont="1" applyFill="1" applyBorder="1" applyAlignment="1">
      <alignment horizontal="center"/>
    </xf>
    <xf numFmtId="0" fontId="19" fillId="5" borderId="69" xfId="1" quotePrefix="1" applyFont="1" applyFill="1" applyBorder="1" applyAlignment="1">
      <alignment horizontal="center"/>
    </xf>
    <xf numFmtId="0" fontId="36" fillId="5" borderId="95" xfId="1" applyFont="1" applyFill="1" applyBorder="1"/>
    <xf numFmtId="0" fontId="33" fillId="0" borderId="96" xfId="1" applyFont="1" applyBorder="1"/>
    <xf numFmtId="0" fontId="38" fillId="0" borderId="97" xfId="1" applyFont="1" applyBorder="1" applyAlignment="1">
      <alignment horizontal="center"/>
    </xf>
    <xf numFmtId="0" fontId="36" fillId="5" borderId="98" xfId="1" applyFont="1" applyFill="1" applyBorder="1" applyAlignment="1">
      <alignment horizontal="center"/>
    </xf>
    <xf numFmtId="0" fontId="36" fillId="5" borderId="77" xfId="1" quotePrefix="1" applyFont="1" applyFill="1" applyBorder="1" applyAlignment="1">
      <alignment horizontal="center"/>
    </xf>
    <xf numFmtId="0" fontId="19" fillId="5" borderId="99" xfId="1" quotePrefix="1" applyFont="1" applyFill="1" applyBorder="1" applyAlignment="1">
      <alignment horizontal="center"/>
    </xf>
    <xf numFmtId="0" fontId="38" fillId="0" borderId="74" xfId="1" applyFont="1" applyBorder="1" applyAlignment="1">
      <alignment horizontal="center"/>
    </xf>
    <xf numFmtId="0" fontId="38" fillId="0" borderId="46" xfId="1" applyFont="1" applyBorder="1"/>
    <xf numFmtId="0" fontId="44" fillId="0" borderId="24" xfId="1" applyFont="1" applyBorder="1"/>
    <xf numFmtId="0" fontId="28" fillId="0" borderId="102" xfId="1" applyFont="1" applyBorder="1" applyAlignment="1">
      <alignment horizontal="left"/>
    </xf>
    <xf numFmtId="0" fontId="28" fillId="0" borderId="62" xfId="1" applyFont="1" applyBorder="1" applyAlignment="1">
      <alignment horizontal="left"/>
    </xf>
    <xf numFmtId="0" fontId="46" fillId="5" borderId="103" xfId="1" applyFont="1" applyFill="1" applyBorder="1" applyAlignment="1">
      <alignment horizontal="center"/>
    </xf>
    <xf numFmtId="0" fontId="36" fillId="5" borderId="104" xfId="1" applyFont="1" applyFill="1" applyBorder="1" applyAlignment="1">
      <alignment horizontal="left"/>
    </xf>
    <xf numFmtId="0" fontId="19" fillId="5" borderId="105" xfId="1" applyFont="1" applyFill="1" applyBorder="1"/>
    <xf numFmtId="0" fontId="19" fillId="5" borderId="106" xfId="1" applyFont="1" applyFill="1" applyBorder="1"/>
    <xf numFmtId="0" fontId="38" fillId="5" borderId="107" xfId="1" applyFont="1" applyFill="1" applyBorder="1" applyAlignment="1">
      <alignment horizontal="center"/>
    </xf>
    <xf numFmtId="0" fontId="33" fillId="0" borderId="78" xfId="1" applyFont="1" applyBorder="1"/>
    <xf numFmtId="0" fontId="33" fillId="0" borderId="79" xfId="1" applyFont="1" applyBorder="1"/>
    <xf numFmtId="0" fontId="33" fillId="0" borderId="87" xfId="1" applyFont="1" applyBorder="1"/>
    <xf numFmtId="0" fontId="36" fillId="5" borderId="96" xfId="1" applyFont="1" applyFill="1" applyBorder="1"/>
    <xf numFmtId="0" fontId="43" fillId="5" borderId="64" xfId="1" applyFont="1" applyFill="1" applyBorder="1" applyAlignment="1">
      <alignment horizontal="right" shrinkToFit="1"/>
    </xf>
    <xf numFmtId="1" fontId="38" fillId="5" borderId="70" xfId="1" quotePrefix="1" applyNumberFormat="1" applyFont="1" applyFill="1" applyBorder="1" applyAlignment="1">
      <alignment horizontal="center"/>
    </xf>
    <xf numFmtId="2" fontId="33" fillId="0" borderId="0" xfId="1" applyNumberFormat="1" applyFont="1"/>
    <xf numFmtId="0" fontId="36" fillId="5" borderId="83" xfId="1" applyFont="1" applyFill="1" applyBorder="1"/>
    <xf numFmtId="0" fontId="36" fillId="5" borderId="56" xfId="1" applyFont="1" applyFill="1" applyBorder="1"/>
    <xf numFmtId="0" fontId="43" fillId="5" borderId="64" xfId="1" applyFont="1" applyFill="1" applyBorder="1" applyAlignment="1">
      <alignment horizontal="right"/>
    </xf>
    <xf numFmtId="2" fontId="38" fillId="5" borderId="70" xfId="1" quotePrefix="1" applyNumberFormat="1" applyFont="1" applyFill="1" applyBorder="1" applyAlignment="1">
      <alignment horizontal="center"/>
    </xf>
    <xf numFmtId="0" fontId="38" fillId="5" borderId="70" xfId="1" quotePrefix="1" applyFont="1" applyFill="1" applyBorder="1" applyAlignment="1">
      <alignment horizontal="center"/>
    </xf>
    <xf numFmtId="2" fontId="38" fillId="5" borderId="64" xfId="1" applyNumberFormat="1" applyFont="1" applyFill="1" applyBorder="1" applyAlignment="1">
      <alignment horizontal="center"/>
    </xf>
    <xf numFmtId="0" fontId="43" fillId="5" borderId="56" xfId="1" applyFont="1" applyFill="1" applyBorder="1" applyAlignment="1">
      <alignment horizontal="right"/>
    </xf>
    <xf numFmtId="0" fontId="43" fillId="5" borderId="64" xfId="1" applyFont="1" applyFill="1" applyBorder="1"/>
    <xf numFmtId="0" fontId="47" fillId="0" borderId="0" xfId="1" applyFont="1"/>
    <xf numFmtId="0" fontId="36" fillId="5" borderId="110" xfId="1" applyFont="1" applyFill="1" applyBorder="1"/>
    <xf numFmtId="0" fontId="36" fillId="5" borderId="111" xfId="1" applyFont="1" applyFill="1" applyBorder="1"/>
    <xf numFmtId="0" fontId="36" fillId="5" borderId="112" xfId="1" applyFont="1" applyFill="1" applyBorder="1"/>
    <xf numFmtId="0" fontId="43" fillId="5" borderId="112" xfId="1" applyFont="1" applyFill="1" applyBorder="1"/>
    <xf numFmtId="167" fontId="38" fillId="5" borderId="112" xfId="1" applyNumberFormat="1" applyFont="1" applyFill="1" applyBorder="1" applyAlignment="1">
      <alignment horizontal="center"/>
    </xf>
    <xf numFmtId="0" fontId="38" fillId="5" borderId="113" xfId="1" quotePrefix="1" applyFont="1" applyFill="1" applyBorder="1" applyAlignment="1">
      <alignment horizontal="center"/>
    </xf>
    <xf numFmtId="0" fontId="36" fillId="5" borderId="73" xfId="1" applyFont="1" applyFill="1" applyBorder="1"/>
    <xf numFmtId="0" fontId="36" fillId="5" borderId="103" xfId="1" applyFont="1" applyFill="1" applyBorder="1" applyAlignment="1">
      <alignment horizontal="left"/>
    </xf>
    <xf numFmtId="0" fontId="36" fillId="5" borderId="73" xfId="1" applyFont="1" applyFill="1" applyBorder="1" applyAlignment="1">
      <alignment horizontal="left"/>
    </xf>
    <xf numFmtId="1" fontId="38" fillId="5" borderId="59" xfId="1" applyNumberFormat="1" applyFont="1" applyFill="1" applyBorder="1" applyAlignment="1">
      <alignment horizontal="center"/>
    </xf>
    <xf numFmtId="0" fontId="38" fillId="5" borderId="114" xfId="1" applyFont="1" applyFill="1" applyBorder="1" applyAlignment="1">
      <alignment horizontal="center"/>
    </xf>
    <xf numFmtId="0" fontId="48" fillId="0" borderId="0" xfId="1" applyFont="1" applyAlignment="1">
      <alignment horizontal="right"/>
    </xf>
    <xf numFmtId="2" fontId="33" fillId="0" borderId="0" xfId="2" applyNumberFormat="1" applyFont="1"/>
    <xf numFmtId="0" fontId="36" fillId="5" borderId="0" xfId="1" applyFont="1" applyFill="1"/>
    <xf numFmtId="0" fontId="36" fillId="5" borderId="86" xfId="1" applyFont="1" applyFill="1" applyBorder="1" applyAlignment="1">
      <alignment horizontal="left"/>
    </xf>
    <xf numFmtId="0" fontId="36" fillId="5" borderId="69" xfId="1" applyFont="1" applyFill="1" applyBorder="1" applyAlignment="1">
      <alignment horizontal="left"/>
    </xf>
    <xf numFmtId="0" fontId="33" fillId="0" borderId="0" xfId="1" applyFont="1" applyAlignment="1">
      <alignment horizontal="right"/>
    </xf>
    <xf numFmtId="0" fontId="36" fillId="5" borderId="40" xfId="1" applyFont="1" applyFill="1" applyBorder="1"/>
    <xf numFmtId="0" fontId="36" fillId="5" borderId="107" xfId="1" applyFont="1" applyFill="1" applyBorder="1" applyAlignment="1">
      <alignment horizontal="left"/>
    </xf>
    <xf numFmtId="0" fontId="36" fillId="5" borderId="99" xfId="1" applyFont="1" applyFill="1" applyBorder="1" applyAlignment="1">
      <alignment horizontal="left"/>
    </xf>
    <xf numFmtId="1" fontId="38" fillId="5" borderId="78" xfId="1" applyNumberFormat="1" applyFont="1" applyFill="1" applyBorder="1" applyAlignment="1">
      <alignment horizontal="center"/>
    </xf>
    <xf numFmtId="0" fontId="38" fillId="5" borderId="115" xfId="1" applyFont="1" applyFill="1" applyBorder="1" applyAlignment="1">
      <alignment horizontal="center"/>
    </xf>
    <xf numFmtId="0" fontId="49" fillId="0" borderId="0" xfId="1" applyFont="1"/>
    <xf numFmtId="0" fontId="36" fillId="0" borderId="116" xfId="1" applyFont="1" applyBorder="1"/>
    <xf numFmtId="0" fontId="36" fillId="5" borderId="121" xfId="1" applyFont="1" applyFill="1" applyBorder="1"/>
    <xf numFmtId="0" fontId="30" fillId="0" borderId="0" xfId="1" applyFont="1"/>
    <xf numFmtId="0" fontId="53" fillId="0" borderId="6" xfId="3" applyBorder="1"/>
    <xf numFmtId="0" fontId="53" fillId="0" borderId="7" xfId="3" applyBorder="1"/>
    <xf numFmtId="0" fontId="53" fillId="0" borderId="41" xfId="3" applyBorder="1"/>
    <xf numFmtId="0" fontId="53" fillId="0" borderId="41" xfId="3" applyBorder="1" applyAlignment="1">
      <alignment horizontal="center"/>
    </xf>
    <xf numFmtId="0" fontId="54" fillId="0" borderId="41" xfId="3" applyFont="1" applyBorder="1" applyAlignment="1">
      <alignment horizontal="center"/>
    </xf>
    <xf numFmtId="0" fontId="53" fillId="0" borderId="0" xfId="3"/>
    <xf numFmtId="0" fontId="55" fillId="0" borderId="127" xfId="3" applyFont="1" applyBorder="1" applyAlignment="1">
      <alignment horizontal="center"/>
    </xf>
    <xf numFmtId="0" fontId="53" fillId="0" borderId="127" xfId="3" applyBorder="1" applyAlignment="1">
      <alignment horizontal="center"/>
    </xf>
    <xf numFmtId="0" fontId="54" fillId="0" borderId="127" xfId="3" applyFont="1" applyBorder="1" applyAlignment="1">
      <alignment horizontal="center"/>
    </xf>
    <xf numFmtId="0" fontId="55" fillId="0" borderId="45" xfId="3" applyFont="1" applyBorder="1" applyAlignment="1">
      <alignment horizontal="center"/>
    </xf>
    <xf numFmtId="0" fontId="55" fillId="0" borderId="0" xfId="3" applyFont="1" applyAlignment="1">
      <alignment horizontal="center"/>
    </xf>
    <xf numFmtId="0" fontId="53" fillId="0" borderId="45" xfId="3" applyBorder="1"/>
    <xf numFmtId="0" fontId="56" fillId="0" borderId="0" xfId="3" applyFont="1"/>
    <xf numFmtId="0" fontId="53" fillId="0" borderId="127" xfId="3" applyBorder="1"/>
    <xf numFmtId="0" fontId="54" fillId="0" borderId="0" xfId="3" applyFont="1"/>
    <xf numFmtId="0" fontId="54" fillId="0" borderId="127" xfId="3" applyFont="1" applyBorder="1"/>
    <xf numFmtId="170" fontId="53" fillId="0" borderId="3" xfId="3" applyNumberFormat="1" applyBorder="1"/>
    <xf numFmtId="49" fontId="53" fillId="0" borderId="1" xfId="3" applyNumberFormat="1" applyBorder="1" applyAlignment="1">
      <alignment horizontal="center"/>
    </xf>
    <xf numFmtId="49" fontId="53" fillId="0" borderId="1" xfId="3" applyNumberFormat="1" applyBorder="1"/>
    <xf numFmtId="49" fontId="54" fillId="0" borderId="1" xfId="3" applyNumberFormat="1" applyFont="1" applyBorder="1"/>
    <xf numFmtId="171" fontId="54" fillId="0" borderId="1" xfId="3" applyNumberFormat="1" applyFont="1" applyBorder="1"/>
    <xf numFmtId="0" fontId="53" fillId="0" borderId="1" xfId="3" applyBorder="1"/>
    <xf numFmtId="0" fontId="53" fillId="0" borderId="9" xfId="3" applyBorder="1"/>
    <xf numFmtId="171" fontId="53" fillId="0" borderId="1" xfId="3" applyNumberFormat="1" applyBorder="1"/>
    <xf numFmtId="0" fontId="53" fillId="0" borderId="1" xfId="3" applyBorder="1" applyAlignment="1">
      <alignment horizontal="center"/>
    </xf>
    <xf numFmtId="170" fontId="53" fillId="0" borderId="18" xfId="3" applyNumberFormat="1" applyBorder="1"/>
    <xf numFmtId="49" fontId="53" fillId="0" borderId="26" xfId="3" applyNumberFormat="1" applyBorder="1"/>
    <xf numFmtId="171" fontId="53" fillId="0" borderId="26" xfId="3" applyNumberFormat="1" applyBorder="1"/>
    <xf numFmtId="0" fontId="53" fillId="0" borderId="26" xfId="3" applyBorder="1"/>
    <xf numFmtId="0" fontId="53" fillId="0" borderId="128" xfId="3" applyBorder="1"/>
    <xf numFmtId="0" fontId="54" fillId="0" borderId="129" xfId="3" applyFont="1" applyBorder="1" applyAlignment="1">
      <alignment horizontal="center"/>
    </xf>
    <xf numFmtId="0" fontId="54" fillId="0" borderId="130" xfId="3" applyFont="1" applyBorder="1" applyAlignment="1">
      <alignment horizontal="center"/>
    </xf>
    <xf numFmtId="49" fontId="54" fillId="0" borderId="2" xfId="3" applyNumberFormat="1" applyFont="1" applyBorder="1" applyAlignment="1">
      <alignment horizontal="center"/>
    </xf>
    <xf numFmtId="0" fontId="53" fillId="0" borderId="55" xfId="3" applyBorder="1" applyAlignment="1">
      <alignment horizontal="left"/>
    </xf>
    <xf numFmtId="49" fontId="53" fillId="0" borderId="3" xfId="3" applyNumberFormat="1" applyBorder="1"/>
    <xf numFmtId="0" fontId="53" fillId="0" borderId="132" xfId="3" applyBorder="1" applyAlignment="1">
      <alignment horizontal="left"/>
    </xf>
    <xf numFmtId="49" fontId="53" fillId="0" borderId="4" xfId="3" applyNumberFormat="1" applyBorder="1"/>
    <xf numFmtId="0" fontId="53" fillId="0" borderId="133" xfId="3" applyBorder="1" applyAlignment="1">
      <alignment horizontal="left"/>
    </xf>
    <xf numFmtId="1" fontId="38" fillId="5" borderId="64" xfId="2" applyNumberFormat="1" applyFont="1" applyFill="1" applyBorder="1" applyAlignment="1">
      <alignment horizontal="center"/>
    </xf>
    <xf numFmtId="0" fontId="38" fillId="5" borderId="64" xfId="2" applyFont="1" applyFill="1" applyBorder="1" applyAlignment="1">
      <alignment horizontal="center"/>
    </xf>
    <xf numFmtId="0" fontId="38" fillId="0" borderId="96" xfId="2" applyFont="1" applyBorder="1" applyAlignment="1">
      <alignment horizontal="center"/>
    </xf>
    <xf numFmtId="0" fontId="38" fillId="0" borderId="69" xfId="2" applyFont="1" applyBorder="1" applyAlignment="1">
      <alignment horizontal="center"/>
    </xf>
    <xf numFmtId="167" fontId="38" fillId="0" borderId="69" xfId="2" applyNumberFormat="1" applyFont="1" applyBorder="1" applyAlignment="1">
      <alignment horizontal="center"/>
    </xf>
    <xf numFmtId="0" fontId="25" fillId="0" borderId="0" xfId="2" applyFont="1"/>
    <xf numFmtId="0" fontId="19" fillId="0" borderId="0" xfId="2" applyFont="1"/>
    <xf numFmtId="0" fontId="33" fillId="0" borderId="0" xfId="2" applyFont="1"/>
    <xf numFmtId="0" fontId="28" fillId="5" borderId="80" xfId="2" applyFont="1" applyFill="1" applyBorder="1" applyAlignment="1">
      <alignment horizontal="left"/>
    </xf>
    <xf numFmtId="0" fontId="28" fillId="5" borderId="81" xfId="2" applyFont="1" applyFill="1" applyBorder="1" applyAlignment="1">
      <alignment horizontal="left"/>
    </xf>
    <xf numFmtId="0" fontId="28" fillId="5" borderId="82" xfId="2" applyFont="1" applyFill="1" applyBorder="1" applyAlignment="1">
      <alignment horizontal="left"/>
    </xf>
    <xf numFmtId="0" fontId="30" fillId="5" borderId="83" xfId="2" applyFont="1" applyFill="1" applyBorder="1"/>
    <xf numFmtId="0" fontId="33" fillId="5" borderId="72" xfId="2" applyFont="1" applyFill="1" applyBorder="1" applyAlignment="1">
      <alignment horizontal="left"/>
    </xf>
    <xf numFmtId="0" fontId="33" fillId="5" borderId="84" xfId="2" applyFont="1" applyFill="1" applyBorder="1" applyAlignment="1">
      <alignment horizontal="left"/>
    </xf>
    <xf numFmtId="0" fontId="30" fillId="5" borderId="68" xfId="2" applyFont="1" applyFill="1" applyBorder="1" applyAlignment="1">
      <alignment horizontal="left"/>
    </xf>
    <xf numFmtId="0" fontId="30" fillId="5" borderId="74" xfId="2" applyFont="1" applyFill="1" applyBorder="1" applyAlignment="1">
      <alignment horizontal="left"/>
    </xf>
    <xf numFmtId="0" fontId="30" fillId="5" borderId="45" xfId="2" applyFont="1" applyFill="1" applyBorder="1"/>
    <xf numFmtId="0" fontId="30" fillId="0" borderId="23" xfId="2" applyFont="1" applyBorder="1"/>
    <xf numFmtId="0" fontId="30" fillId="5" borderId="125" xfId="2" applyFont="1" applyFill="1" applyBorder="1" applyAlignment="1">
      <alignment horizontal="left"/>
    </xf>
    <xf numFmtId="0" fontId="30" fillId="5" borderId="126" xfId="2" applyFont="1" applyFill="1" applyBorder="1" applyAlignment="1">
      <alignment horizontal="left"/>
    </xf>
    <xf numFmtId="0" fontId="30" fillId="0" borderId="0" xfId="2" applyFont="1"/>
    <xf numFmtId="0" fontId="30" fillId="0" borderId="88" xfId="2" applyFont="1" applyBorder="1" applyAlignment="1">
      <alignment horizontal="left"/>
    </xf>
    <xf numFmtId="0" fontId="30" fillId="0" borderId="0" xfId="2" applyFont="1" applyAlignment="1">
      <alignment horizontal="left"/>
    </xf>
    <xf numFmtId="167" fontId="2" fillId="0" borderId="0" xfId="0" applyNumberFormat="1" applyFont="1" applyAlignment="1">
      <alignment horizontal="center"/>
    </xf>
    <xf numFmtId="0" fontId="36" fillId="5" borderId="119" xfId="2" applyFont="1" applyFill="1" applyBorder="1"/>
    <xf numFmtId="0" fontId="57" fillId="5" borderId="120" xfId="2" applyFont="1" applyFill="1" applyBorder="1" applyAlignment="1">
      <alignment horizontal="center"/>
    </xf>
    <xf numFmtId="0" fontId="36" fillId="5" borderId="23" xfId="2" applyFont="1" applyFill="1" applyBorder="1"/>
    <xf numFmtId="14" fontId="19" fillId="5" borderId="124" xfId="2" applyNumberFormat="1" applyFont="1" applyFill="1" applyBorder="1" applyAlignment="1">
      <alignment horizontal="center"/>
    </xf>
    <xf numFmtId="167" fontId="3" fillId="0" borderId="0" xfId="0" quotePrefix="1" applyNumberFormat="1" applyFont="1" applyAlignment="1">
      <alignment horizontal="center"/>
    </xf>
    <xf numFmtId="167" fontId="3" fillId="0" borderId="0" xfId="0" applyNumberFormat="1" applyFont="1" applyAlignment="1">
      <alignment horizontal="center"/>
    </xf>
    <xf numFmtId="0" fontId="1" fillId="0" borderId="0" xfId="4"/>
    <xf numFmtId="0" fontId="2" fillId="0" borderId="1" xfId="4" applyFont="1" applyBorder="1" applyAlignment="1">
      <alignment horizontal="center"/>
    </xf>
    <xf numFmtId="167" fontId="2" fillId="0" borderId="1" xfId="4" applyNumberFormat="1" applyFont="1" applyBorder="1" applyAlignment="1">
      <alignment horizontal="center"/>
    </xf>
    <xf numFmtId="167" fontId="2" fillId="0" borderId="9" xfId="4" applyNumberFormat="1" applyFont="1" applyBorder="1" applyAlignment="1">
      <alignment horizontal="center"/>
    </xf>
    <xf numFmtId="167" fontId="2" fillId="0" borderId="33" xfId="4" applyNumberFormat="1" applyFont="1" applyBorder="1" applyAlignment="1">
      <alignment horizontal="center"/>
    </xf>
    <xf numFmtId="167" fontId="2" fillId="0" borderId="39" xfId="4" applyNumberFormat="1" applyFont="1" applyBorder="1" applyAlignment="1">
      <alignment horizontal="center"/>
    </xf>
    <xf numFmtId="0" fontId="30" fillId="5" borderId="74" xfId="2" applyFont="1" applyFill="1" applyBorder="1" applyAlignment="1">
      <alignment horizontal="right"/>
    </xf>
    <xf numFmtId="0" fontId="19" fillId="0" borderId="0" xfId="2" applyFont="1" applyAlignment="1">
      <alignment horizontal="right"/>
    </xf>
    <xf numFmtId="2" fontId="7" fillId="0" borderId="36" xfId="0" applyNumberFormat="1" applyFont="1" applyBorder="1" applyAlignment="1">
      <alignment horizontal="center"/>
    </xf>
    <xf numFmtId="167" fontId="2" fillId="0" borderId="134" xfId="0" applyNumberFormat="1" applyFont="1" applyBorder="1" applyAlignment="1">
      <alignment horizontal="center"/>
    </xf>
    <xf numFmtId="2" fontId="4" fillId="0" borderId="40" xfId="0" applyNumberFormat="1" applyFont="1" applyBorder="1" applyAlignment="1">
      <alignment horizontal="left"/>
    </xf>
    <xf numFmtId="167" fontId="14" fillId="0" borderId="40" xfId="0" applyNumberFormat="1" applyFont="1" applyBorder="1" applyAlignment="1">
      <alignment horizontal="left"/>
    </xf>
    <xf numFmtId="2" fontId="7" fillId="0" borderId="0" xfId="0" applyNumberFormat="1" applyFont="1" applyAlignment="1">
      <alignment horizontal="right"/>
    </xf>
    <xf numFmtId="2" fontId="7" fillId="0" borderId="23" xfId="0" applyNumberFormat="1" applyFont="1" applyBorder="1" applyAlignment="1">
      <alignment horizontal="right"/>
    </xf>
    <xf numFmtId="167" fontId="2" fillId="0" borderId="0" xfId="0" applyNumberFormat="1" applyFont="1" applyAlignment="1">
      <alignment horizontal="centerContinuous"/>
    </xf>
    <xf numFmtId="167" fontId="2" fillId="0" borderId="23" xfId="0" applyNumberFormat="1" applyFont="1" applyBorder="1" applyAlignment="1">
      <alignment horizontal="centerContinuous"/>
    </xf>
    <xf numFmtId="0" fontId="6" fillId="0" borderId="0" xfId="4" applyFont="1" applyAlignment="1">
      <alignment horizontal="right"/>
    </xf>
    <xf numFmtId="0" fontId="24" fillId="0" borderId="0" xfId="4" applyFont="1"/>
    <xf numFmtId="0" fontId="58" fillId="0" borderId="0" xfId="4" applyFont="1"/>
    <xf numFmtId="0" fontId="64" fillId="0" borderId="26" xfId="4" applyFont="1" applyBorder="1" applyAlignment="1">
      <alignment horizontal="center"/>
    </xf>
    <xf numFmtId="0" fontId="64" fillId="0" borderId="28" xfId="4" applyFont="1" applyBorder="1" applyAlignment="1">
      <alignment horizontal="center"/>
    </xf>
    <xf numFmtId="0" fontId="58" fillId="0" borderId="1" xfId="4" applyFont="1" applyBorder="1" applyAlignment="1">
      <alignment horizontal="center"/>
    </xf>
    <xf numFmtId="0" fontId="64" fillId="0" borderId="1" xfId="4" applyFont="1" applyBorder="1" applyAlignment="1">
      <alignment horizontal="right"/>
    </xf>
    <xf numFmtId="0" fontId="64" fillId="0" borderId="1" xfId="4" applyFont="1" applyBorder="1" applyAlignment="1">
      <alignment horizontal="center"/>
    </xf>
    <xf numFmtId="0" fontId="58" fillId="0" borderId="131" xfId="4" applyFont="1" applyBorder="1" applyAlignment="1">
      <alignment horizontal="center"/>
    </xf>
    <xf numFmtId="0" fontId="58" fillId="0" borderId="132" xfId="4" quotePrefix="1" applyFont="1" applyBorder="1" applyAlignment="1">
      <alignment horizontal="center"/>
    </xf>
    <xf numFmtId="0" fontId="58" fillId="0" borderId="132" xfId="4" applyFont="1" applyBorder="1" applyAlignment="1">
      <alignment horizontal="center"/>
    </xf>
    <xf numFmtId="0" fontId="64" fillId="0" borderId="0" xfId="4" applyFont="1" applyAlignment="1">
      <alignment horizontal="right"/>
    </xf>
    <xf numFmtId="0" fontId="61" fillId="0" borderId="61" xfId="4" applyFont="1" applyBorder="1"/>
    <xf numFmtId="0" fontId="61" fillId="0" borderId="62" xfId="4" applyFont="1" applyBorder="1"/>
    <xf numFmtId="0" fontId="61" fillId="0" borderId="38" xfId="4" applyFont="1" applyBorder="1"/>
    <xf numFmtId="0" fontId="62" fillId="0" borderId="83" xfId="4" applyFont="1" applyBorder="1" applyAlignment="1">
      <alignment horizontal="centerContinuous"/>
    </xf>
    <xf numFmtId="0" fontId="61" fillId="0" borderId="0" xfId="4" applyFont="1" applyAlignment="1">
      <alignment horizontal="centerContinuous"/>
    </xf>
    <xf numFmtId="0" fontId="61" fillId="0" borderId="108" xfId="4" applyFont="1" applyBorder="1" applyAlignment="1">
      <alignment horizontal="centerContinuous"/>
    </xf>
    <xf numFmtId="0" fontId="63" fillId="0" borderId="83" xfId="4" applyFont="1" applyBorder="1" applyAlignment="1">
      <alignment horizontal="centerContinuous"/>
    </xf>
    <xf numFmtId="0" fontId="61" fillId="0" borderId="83" xfId="4" applyFont="1" applyBorder="1"/>
    <xf numFmtId="0" fontId="61" fillId="0" borderId="0" xfId="4" applyFont="1"/>
    <xf numFmtId="0" fontId="61" fillId="0" borderId="108" xfId="4" applyFont="1" applyBorder="1"/>
    <xf numFmtId="0" fontId="59" fillId="0" borderId="1" xfId="4" applyFont="1" applyBorder="1" applyAlignment="1">
      <alignment horizontal="right"/>
    </xf>
    <xf numFmtId="0" fontId="61" fillId="0" borderId="1" xfId="4" applyFont="1" applyBorder="1" applyAlignment="1">
      <alignment horizontal="center"/>
    </xf>
    <xf numFmtId="14" fontId="61" fillId="0" borderId="1" xfId="4" applyNumberFormat="1" applyFont="1" applyBorder="1" applyAlignment="1">
      <alignment horizontal="center"/>
    </xf>
    <xf numFmtId="0" fontId="59" fillId="0" borderId="0" xfId="4" applyFont="1" applyAlignment="1">
      <alignment horizontal="right"/>
    </xf>
    <xf numFmtId="0" fontId="61" fillId="0" borderId="0" xfId="4" applyFont="1" applyAlignment="1">
      <alignment horizontal="center"/>
    </xf>
    <xf numFmtId="9" fontId="61" fillId="0" borderId="0" xfId="4" applyNumberFormat="1" applyFont="1" applyAlignment="1">
      <alignment horizontal="center"/>
    </xf>
    <xf numFmtId="0" fontId="59" fillId="0" borderId="83" xfId="4" applyFont="1" applyBorder="1" applyAlignment="1">
      <alignment horizontal="right"/>
    </xf>
    <xf numFmtId="0" fontId="61" fillId="0" borderId="40" xfId="4" applyFont="1" applyBorder="1"/>
    <xf numFmtId="0" fontId="61" fillId="0" borderId="39" xfId="4" applyFont="1" applyBorder="1" applyAlignment="1">
      <alignment horizontal="center"/>
    </xf>
    <xf numFmtId="0" fontId="61" fillId="0" borderId="85" xfId="4" applyFont="1" applyBorder="1"/>
    <xf numFmtId="0" fontId="59" fillId="0" borderId="17" xfId="4" applyFont="1" applyBorder="1" applyAlignment="1">
      <alignment horizontal="right"/>
    </xf>
    <xf numFmtId="0" fontId="61" fillId="0" borderId="132" xfId="4" applyFont="1" applyBorder="1"/>
    <xf numFmtId="167" fontId="3" fillId="0" borderId="0" xfId="4" quotePrefix="1" applyNumberFormat="1" applyFont="1" applyAlignment="1">
      <alignment horizontal="center"/>
    </xf>
    <xf numFmtId="167" fontId="2" fillId="0" borderId="0" xfId="4" applyNumberFormat="1" applyFont="1" applyAlignment="1">
      <alignment horizontal="center"/>
    </xf>
    <xf numFmtId="0" fontId="66" fillId="0" borderId="0" xfId="4" applyFont="1"/>
    <xf numFmtId="0" fontId="67" fillId="0" borderId="0" xfId="4" applyFont="1"/>
    <xf numFmtId="1" fontId="2" fillId="5" borderId="1" xfId="4" applyNumberFormat="1" applyFont="1" applyFill="1" applyBorder="1" applyAlignment="1">
      <alignment horizontal="center"/>
    </xf>
    <xf numFmtId="2" fontId="2" fillId="5" borderId="1" xfId="4" applyNumberFormat="1" applyFont="1" applyFill="1" applyBorder="1" applyAlignment="1">
      <alignment horizontal="center"/>
    </xf>
    <xf numFmtId="0" fontId="2" fillId="5" borderId="1" xfId="4" applyFont="1" applyFill="1" applyBorder="1" applyAlignment="1">
      <alignment horizontal="center"/>
    </xf>
    <xf numFmtId="0" fontId="18" fillId="0" borderId="0" xfId="4" applyFont="1"/>
    <xf numFmtId="167" fontId="3" fillId="0" borderId="135" xfId="4" quotePrefix="1" applyNumberFormat="1" applyFont="1" applyBorder="1" applyAlignment="1">
      <alignment horizontal="center"/>
    </xf>
    <xf numFmtId="167" fontId="2" fillId="0" borderId="28" xfId="4" applyNumberFormat="1" applyFont="1" applyBorder="1" applyAlignment="1">
      <alignment horizontal="center"/>
    </xf>
    <xf numFmtId="167" fontId="2" fillId="0" borderId="136" xfId="4" applyNumberFormat="1" applyFont="1" applyBorder="1" applyAlignment="1">
      <alignment horizontal="center"/>
    </xf>
    <xf numFmtId="167" fontId="3" fillId="0" borderId="137" xfId="4" quotePrefix="1" applyNumberFormat="1" applyFont="1" applyBorder="1" applyAlignment="1">
      <alignment horizontal="center"/>
    </xf>
    <xf numFmtId="167" fontId="2" fillId="0" borderId="132" xfId="4" applyNumberFormat="1" applyFont="1" applyBorder="1" applyAlignment="1">
      <alignment horizontal="center"/>
    </xf>
    <xf numFmtId="167" fontId="3" fillId="0" borderId="25" xfId="4" quotePrefix="1" applyNumberFormat="1" applyFont="1" applyBorder="1" applyAlignment="1">
      <alignment horizontal="center"/>
    </xf>
    <xf numFmtId="167" fontId="2" fillId="0" borderId="133" xfId="4" applyNumberFormat="1" applyFont="1" applyBorder="1" applyAlignment="1">
      <alignment horizontal="center"/>
    </xf>
    <xf numFmtId="167" fontId="2" fillId="0" borderId="11" xfId="4" applyNumberFormat="1" applyFont="1" applyBorder="1" applyAlignment="1">
      <alignment horizontal="center"/>
    </xf>
    <xf numFmtId="172" fontId="69" fillId="0" borderId="6" xfId="5" applyFont="1" applyBorder="1" applyAlignment="1">
      <alignment horizontal="centerContinuous"/>
    </xf>
    <xf numFmtId="172" fontId="69" fillId="0" borderId="7" xfId="5" applyFont="1" applyBorder="1" applyAlignment="1">
      <alignment horizontal="centerContinuous"/>
    </xf>
    <xf numFmtId="172" fontId="70" fillId="0" borderId="12" xfId="5" applyFont="1" applyBorder="1" applyAlignment="1">
      <alignment horizontal="left"/>
    </xf>
    <xf numFmtId="172" fontId="71" fillId="0" borderId="55" xfId="5" applyFont="1" applyBorder="1"/>
    <xf numFmtId="172" fontId="70" fillId="0" borderId="13" xfId="5" applyFont="1" applyBorder="1" applyAlignment="1">
      <alignment horizontal="centerContinuous"/>
    </xf>
    <xf numFmtId="172" fontId="71" fillId="0" borderId="14" xfId="5" applyFont="1" applyBorder="1" applyAlignment="1">
      <alignment horizontal="centerContinuous"/>
    </xf>
    <xf numFmtId="172" fontId="72" fillId="0" borderId="0" xfId="5" applyFont="1"/>
    <xf numFmtId="172" fontId="68" fillId="0" borderId="0" xfId="5"/>
    <xf numFmtId="172" fontId="69" fillId="0" borderId="45" xfId="5" applyFont="1" applyBorder="1" applyAlignment="1">
      <alignment horizontal="centerContinuous"/>
    </xf>
    <xf numFmtId="172" fontId="69" fillId="0" borderId="0" xfId="5" applyFont="1" applyAlignment="1">
      <alignment horizontal="centerContinuous"/>
    </xf>
    <xf numFmtId="172" fontId="70" fillId="0" borderId="109" xfId="5" applyFont="1" applyBorder="1" applyAlignment="1">
      <alignment horizontal="left"/>
    </xf>
    <xf numFmtId="172" fontId="71" fillId="0" borderId="39" xfId="5" applyFont="1" applyBorder="1"/>
    <xf numFmtId="172" fontId="70" fillId="0" borderId="40" xfId="5" applyFont="1" applyBorder="1" applyAlignment="1">
      <alignment horizontal="centerContinuous"/>
    </xf>
    <xf numFmtId="172" fontId="71" fillId="0" borderId="29" xfId="5" applyFont="1" applyBorder="1" applyAlignment="1">
      <alignment horizontal="centerContinuous"/>
    </xf>
    <xf numFmtId="172" fontId="71" fillId="0" borderId="45" xfId="5" applyFont="1" applyBorder="1" applyAlignment="1">
      <alignment horizontal="centerContinuous"/>
    </xf>
    <xf numFmtId="172" fontId="71" fillId="0" borderId="0" xfId="5" applyFont="1" applyAlignment="1">
      <alignment horizontal="centerContinuous"/>
    </xf>
    <xf numFmtId="172" fontId="70" fillId="0" borderId="40" xfId="5" quotePrefix="1" applyFont="1" applyBorder="1" applyAlignment="1">
      <alignment horizontal="centerContinuous"/>
    </xf>
    <xf numFmtId="172" fontId="73" fillId="0" borderId="45" xfId="5" applyFont="1" applyBorder="1" applyAlignment="1">
      <alignment horizontal="centerContinuous"/>
    </xf>
    <xf numFmtId="172" fontId="72" fillId="0" borderId="45" xfId="5" applyFont="1" applyBorder="1" applyAlignment="1">
      <alignment horizontal="centerContinuous"/>
    </xf>
    <xf numFmtId="172" fontId="72" fillId="0" borderId="46" xfId="5" applyFont="1" applyBorder="1" applyAlignment="1">
      <alignment horizontal="centerContinuous"/>
    </xf>
    <xf numFmtId="172" fontId="71" fillId="0" borderId="23" xfId="5" applyFont="1" applyBorder="1" applyAlignment="1">
      <alignment horizontal="centerContinuous"/>
    </xf>
    <xf numFmtId="172" fontId="70" fillId="0" borderId="46" xfId="5" applyFont="1" applyBorder="1" applyAlignment="1">
      <alignment horizontal="left"/>
    </xf>
    <xf numFmtId="172" fontId="71" fillId="0" borderId="48" xfId="5" applyFont="1" applyBorder="1"/>
    <xf numFmtId="172" fontId="74" fillId="0" borderId="23" xfId="5" applyFont="1" applyBorder="1" applyAlignment="1">
      <alignment horizontal="centerContinuous"/>
    </xf>
    <xf numFmtId="172" fontId="71" fillId="0" borderId="24" xfId="5" applyFont="1" applyBorder="1" applyAlignment="1">
      <alignment horizontal="centerContinuous"/>
    </xf>
    <xf numFmtId="172" fontId="72" fillId="0" borderId="0" xfId="5" applyFont="1" applyAlignment="1">
      <alignment horizontal="centerContinuous"/>
    </xf>
    <xf numFmtId="172" fontId="70" fillId="0" borderId="0" xfId="5" applyFont="1" applyAlignment="1">
      <alignment horizontal="left"/>
    </xf>
    <xf numFmtId="172" fontId="71" fillId="0" borderId="0" xfId="5" applyFont="1"/>
    <xf numFmtId="172" fontId="70" fillId="0" borderId="0" xfId="5" applyFont="1" applyAlignment="1">
      <alignment horizontal="centerContinuous"/>
    </xf>
    <xf numFmtId="172" fontId="75" fillId="0" borderId="0" xfId="5" applyFont="1"/>
    <xf numFmtId="172" fontId="75" fillId="0" borderId="0" xfId="5" applyFont="1" applyAlignment="1">
      <alignment horizontal="right"/>
    </xf>
    <xf numFmtId="172" fontId="75" fillId="0" borderId="0" xfId="5" applyFont="1" applyAlignment="1" applyProtection="1">
      <alignment horizontal="left"/>
      <protection locked="0"/>
    </xf>
    <xf numFmtId="172" fontId="75" fillId="0" borderId="0" xfId="5" applyFont="1" applyAlignment="1">
      <alignment horizontal="centerContinuous"/>
    </xf>
    <xf numFmtId="172" fontId="75" fillId="0" borderId="0" xfId="5" applyFont="1" applyAlignment="1">
      <alignment horizontal="left"/>
    </xf>
    <xf numFmtId="172" fontId="75" fillId="0" borderId="0" xfId="5" quotePrefix="1" applyFont="1" applyAlignment="1" applyProtection="1">
      <alignment horizontal="left"/>
      <protection locked="0"/>
    </xf>
    <xf numFmtId="172" fontId="76" fillId="0" borderId="138" xfId="5" applyFont="1" applyBorder="1" applyAlignment="1">
      <alignment horizontal="centerContinuous"/>
    </xf>
    <xf numFmtId="172" fontId="72" fillId="0" borderId="139" xfId="5" applyFont="1" applyBorder="1" applyAlignment="1">
      <alignment horizontal="centerContinuous"/>
    </xf>
    <xf numFmtId="172" fontId="72" fillId="0" borderId="140" xfId="5" applyFont="1" applyBorder="1" applyAlignment="1">
      <alignment horizontal="centerContinuous"/>
    </xf>
    <xf numFmtId="172" fontId="75" fillId="0" borderId="45" xfId="5" applyFont="1" applyBorder="1"/>
    <xf numFmtId="172" fontId="75" fillId="0" borderId="0" xfId="5" applyFont="1" applyAlignment="1" applyProtection="1">
      <alignment horizontal="center"/>
      <protection locked="0"/>
    </xf>
    <xf numFmtId="172" fontId="75" fillId="0" borderId="21" xfId="5" applyFont="1" applyBorder="1" applyAlignment="1" applyProtection="1">
      <alignment horizontal="center"/>
      <protection locked="0"/>
    </xf>
    <xf numFmtId="172" fontId="70" fillId="0" borderId="0" xfId="5" applyFont="1" applyAlignment="1">
      <alignment horizontal="right"/>
    </xf>
    <xf numFmtId="172" fontId="75" fillId="0" borderId="0" xfId="5" quotePrefix="1" applyFont="1" applyAlignment="1">
      <alignment horizontal="right"/>
    </xf>
    <xf numFmtId="172" fontId="75" fillId="0" borderId="0" xfId="5" quotePrefix="1" applyFont="1" applyAlignment="1" applyProtection="1">
      <alignment horizontal="center"/>
      <protection locked="0"/>
    </xf>
    <xf numFmtId="172" fontId="75" fillId="0" borderId="0" xfId="5" applyFont="1" applyAlignment="1">
      <alignment horizontal="center"/>
    </xf>
    <xf numFmtId="172" fontId="75" fillId="0" borderId="21" xfId="5" applyFont="1" applyBorder="1"/>
    <xf numFmtId="172" fontId="75" fillId="0" borderId="46" xfId="5" applyFont="1" applyBorder="1"/>
    <xf numFmtId="172" fontId="75" fillId="0" borderId="23" xfId="5" applyFont="1" applyBorder="1" applyAlignment="1">
      <alignment horizontal="right"/>
    </xf>
    <xf numFmtId="167" fontId="75" fillId="0" borderId="23" xfId="5" quotePrefix="1" applyNumberFormat="1" applyFont="1" applyBorder="1" applyAlignment="1" applyProtection="1">
      <alignment horizontal="center"/>
      <protection locked="0"/>
    </xf>
    <xf numFmtId="172" fontId="75" fillId="0" borderId="23" xfId="5" applyFont="1" applyBorder="1"/>
    <xf numFmtId="167" fontId="75" fillId="0" borderId="23" xfId="5" applyNumberFormat="1" applyFont="1" applyBorder="1"/>
    <xf numFmtId="172" fontId="75" fillId="0" borderId="24" xfId="5" applyFont="1" applyBorder="1"/>
    <xf numFmtId="172" fontId="77" fillId="0" borderId="45" xfId="5" quotePrefix="1" applyFont="1" applyBorder="1" applyAlignment="1">
      <alignment horizontal="left"/>
    </xf>
    <xf numFmtId="172" fontId="71" fillId="0" borderId="0" xfId="5" quotePrefix="1" applyFont="1" applyAlignment="1">
      <alignment horizontal="right"/>
    </xf>
    <xf numFmtId="172" fontId="71" fillId="0" borderId="108" xfId="5" applyFont="1" applyBorder="1"/>
    <xf numFmtId="172" fontId="77" fillId="0" borderId="0" xfId="5" applyFont="1" applyAlignment="1">
      <alignment horizontal="left"/>
    </xf>
    <xf numFmtId="172" fontId="71" fillId="0" borderId="0" xfId="5" applyFont="1" applyAlignment="1">
      <alignment horizontal="right"/>
    </xf>
    <xf numFmtId="172" fontId="71" fillId="0" borderId="108" xfId="5" applyFont="1" applyBorder="1" applyAlignment="1">
      <alignment horizontal="right"/>
    </xf>
    <xf numFmtId="172" fontId="77" fillId="0" borderId="0" xfId="5" quotePrefix="1" applyFont="1" applyAlignment="1">
      <alignment horizontal="left"/>
    </xf>
    <xf numFmtId="172" fontId="71" fillId="0" borderId="21" xfId="5" applyFont="1" applyBorder="1"/>
    <xf numFmtId="172" fontId="68" fillId="0" borderId="45" xfId="5" applyBorder="1"/>
    <xf numFmtId="172" fontId="75" fillId="0" borderId="108" xfId="5" applyFont="1" applyBorder="1" applyAlignment="1" applyProtection="1">
      <alignment horizontal="center"/>
      <protection locked="0"/>
    </xf>
    <xf numFmtId="1" fontId="75" fillId="0" borderId="108" xfId="5" applyNumberFormat="1" applyFont="1" applyBorder="1" applyAlignment="1">
      <alignment horizontal="center"/>
    </xf>
    <xf numFmtId="172" fontId="75" fillId="0" borderId="108" xfId="5" applyFont="1" applyBorder="1"/>
    <xf numFmtId="172" fontId="75" fillId="0" borderId="48" xfId="5" applyFont="1" applyBorder="1"/>
    <xf numFmtId="172" fontId="75" fillId="0" borderId="48" xfId="5" applyFont="1" applyBorder="1" applyAlignment="1">
      <alignment horizontal="left"/>
    </xf>
    <xf numFmtId="172" fontId="76" fillId="0" borderId="141" xfId="5" applyFont="1" applyBorder="1" applyAlignment="1">
      <alignment horizontal="centerContinuous"/>
    </xf>
    <xf numFmtId="172" fontId="72" fillId="0" borderId="142" xfId="5" applyFont="1" applyBorder="1" applyAlignment="1">
      <alignment horizontal="centerContinuous"/>
    </xf>
    <xf numFmtId="172" fontId="68" fillId="0" borderId="143" xfId="5" applyBorder="1"/>
    <xf numFmtId="172" fontId="72" fillId="0" borderId="144" xfId="5" applyFont="1" applyBorder="1" applyAlignment="1">
      <alignment horizontal="centerContinuous"/>
    </xf>
    <xf numFmtId="172" fontId="77" fillId="0" borderId="45" xfId="5" applyFont="1" applyBorder="1" applyAlignment="1">
      <alignment horizontal="left"/>
    </xf>
    <xf numFmtId="172" fontId="68" fillId="0" borderId="108" xfId="5" applyBorder="1"/>
    <xf numFmtId="167" fontId="75" fillId="0" borderId="0" xfId="5" applyNumberFormat="1" applyFont="1" applyAlignment="1" applyProtection="1">
      <alignment horizontal="center"/>
      <protection locked="0"/>
    </xf>
    <xf numFmtId="172" fontId="75" fillId="0" borderId="45" xfId="5" applyFont="1" applyBorder="1" applyAlignment="1">
      <alignment horizontal="left"/>
    </xf>
    <xf numFmtId="172" fontId="68" fillId="0" borderId="48" xfId="5" applyBorder="1"/>
    <xf numFmtId="172" fontId="72" fillId="0" borderId="0" xfId="5" applyFont="1" applyAlignment="1">
      <alignment horizontal="left"/>
    </xf>
    <xf numFmtId="172" fontId="72" fillId="0" borderId="141" xfId="5" applyFont="1" applyBorder="1"/>
    <xf numFmtId="172" fontId="71" fillId="0" borderId="142" xfId="5" applyFont="1" applyBorder="1" applyAlignment="1">
      <alignment horizontal="left"/>
    </xf>
    <xf numFmtId="172" fontId="71" fillId="0" borderId="144" xfId="5" applyFont="1" applyBorder="1" applyAlignment="1">
      <alignment horizontal="left"/>
    </xf>
    <xf numFmtId="172" fontId="75" fillId="0" borderId="45" xfId="5" quotePrefix="1" applyFont="1" applyBorder="1" applyAlignment="1">
      <alignment horizontal="left"/>
    </xf>
    <xf numFmtId="172" fontId="75" fillId="0" borderId="21" xfId="5" applyFont="1" applyBorder="1" applyAlignment="1">
      <alignment horizontal="left"/>
    </xf>
    <xf numFmtId="172" fontId="75" fillId="0" borderId="145" xfId="5" applyFont="1" applyBorder="1" applyAlignment="1">
      <alignment horizontal="left"/>
    </xf>
    <xf numFmtId="172" fontId="75" fillId="0" borderId="146" xfId="5" applyFont="1" applyBorder="1" applyAlignment="1">
      <alignment horizontal="left"/>
    </xf>
    <xf numFmtId="172" fontId="75" fillId="0" borderId="147" xfId="5" applyFont="1" applyBorder="1" applyAlignment="1">
      <alignment horizontal="left"/>
    </xf>
    <xf numFmtId="172" fontId="75" fillId="0" borderId="148" xfId="5" applyFont="1" applyBorder="1" applyAlignment="1">
      <alignment horizontal="left"/>
    </xf>
    <xf numFmtId="172" fontId="75" fillId="0" borderId="149" xfId="5" applyFont="1" applyBorder="1" applyAlignment="1">
      <alignment horizontal="left"/>
    </xf>
    <xf numFmtId="172" fontId="75" fillId="0" borderId="150" xfId="5" applyFont="1" applyBorder="1" applyAlignment="1">
      <alignment horizontal="left"/>
    </xf>
    <xf numFmtId="172" fontId="75" fillId="0" borderId="0" xfId="5" quotePrefix="1" applyFont="1" applyAlignment="1">
      <alignment horizontal="left"/>
    </xf>
    <xf numFmtId="172" fontId="75" fillId="0" borderId="151" xfId="5" applyFont="1" applyBorder="1" applyAlignment="1">
      <alignment horizontal="left"/>
    </xf>
    <xf numFmtId="172" fontId="75" fillId="0" borderId="152" xfId="5" applyFont="1" applyBorder="1" applyAlignment="1">
      <alignment horizontal="left"/>
    </xf>
    <xf numFmtId="172" fontId="75" fillId="0" borderId="153" xfId="5" applyFont="1" applyBorder="1" applyAlignment="1">
      <alignment horizontal="left"/>
    </xf>
    <xf numFmtId="172" fontId="71" fillId="0" borderId="0" xfId="5" applyFont="1" applyAlignment="1">
      <alignment horizontal="left"/>
    </xf>
    <xf numFmtId="172" fontId="78" fillId="0" borderId="0" xfId="5" applyFont="1" applyAlignment="1">
      <alignment horizontal="right"/>
    </xf>
    <xf numFmtId="172" fontId="68" fillId="0" borderId="0" xfId="5" applyAlignment="1">
      <alignment horizontal="right"/>
    </xf>
    <xf numFmtId="0" fontId="1" fillId="0" borderId="0" xfId="4" applyAlignment="1">
      <alignment horizontal="center"/>
    </xf>
    <xf numFmtId="0" fontId="2" fillId="0" borderId="42" xfId="4" applyFont="1" applyBorder="1" applyAlignment="1">
      <alignment horizontal="center"/>
    </xf>
    <xf numFmtId="0" fontId="2" fillId="0" borderId="24" xfId="4" applyFont="1" applyBorder="1" applyAlignment="1">
      <alignment horizontal="center"/>
    </xf>
    <xf numFmtId="0" fontId="1" fillId="0" borderId="0" xfId="4" applyAlignment="1">
      <alignment horizontal="right"/>
    </xf>
    <xf numFmtId="0" fontId="1" fillId="6" borderId="0" xfId="4" applyFill="1"/>
    <xf numFmtId="0" fontId="1" fillId="7" borderId="0" xfId="4" applyFill="1"/>
    <xf numFmtId="172" fontId="5" fillId="0" borderId="0" xfId="5" applyFont="1" applyAlignment="1">
      <alignment horizontal="right"/>
    </xf>
    <xf numFmtId="0" fontId="24" fillId="0" borderId="0" xfId="1" applyFont="1" applyAlignment="1">
      <alignment horizontal="center"/>
    </xf>
    <xf numFmtId="0" fontId="27" fillId="5" borderId="0" xfId="1" applyFont="1" applyFill="1" applyAlignment="1">
      <alignment horizontal="center"/>
    </xf>
    <xf numFmtId="0" fontId="34" fillId="5" borderId="12" xfId="1" applyFont="1" applyFill="1" applyBorder="1" applyAlignment="1">
      <alignment horizontal="left"/>
    </xf>
    <xf numFmtId="0" fontId="34" fillId="5" borderId="13" xfId="1" applyFont="1" applyFill="1" applyBorder="1" applyAlignment="1">
      <alignment horizontal="left"/>
    </xf>
    <xf numFmtId="0" fontId="36" fillId="0" borderId="58" xfId="1" applyFont="1" applyBorder="1" applyAlignment="1">
      <alignment horizontal="left"/>
    </xf>
    <xf numFmtId="0" fontId="36" fillId="0" borderId="59" xfId="1" applyFont="1" applyBorder="1" applyAlignment="1">
      <alignment horizontal="left"/>
    </xf>
    <xf numFmtId="0" fontId="28" fillId="5" borderId="61" xfId="1" applyFont="1" applyFill="1" applyBorder="1" applyAlignment="1">
      <alignment horizontal="left"/>
    </xf>
    <xf numFmtId="0" fontId="28" fillId="5" borderId="62" xfId="1" applyFont="1" applyFill="1" applyBorder="1" applyAlignment="1">
      <alignment horizontal="left"/>
    </xf>
    <xf numFmtId="0" fontId="28" fillId="5" borderId="27" xfId="1" applyFont="1" applyFill="1" applyBorder="1" applyAlignment="1">
      <alignment horizontal="left"/>
    </xf>
    <xf numFmtId="0" fontId="29" fillId="5" borderId="23" xfId="2" applyFont="1" applyFill="1" applyBorder="1" applyAlignment="1">
      <alignment horizontal="center"/>
    </xf>
    <xf numFmtId="0" fontId="37" fillId="5" borderId="60" xfId="2" applyFont="1" applyFill="1" applyBorder="1" applyAlignment="1">
      <alignment horizontal="center"/>
    </xf>
    <xf numFmtId="0" fontId="37" fillId="5" borderId="56" xfId="2" applyFont="1" applyFill="1" applyBorder="1" applyAlignment="1">
      <alignment horizontal="center"/>
    </xf>
    <xf numFmtId="0" fontId="28" fillId="0" borderId="80" xfId="1" applyFont="1" applyBorder="1" applyAlignment="1">
      <alignment horizontal="left"/>
    </xf>
    <xf numFmtId="0" fontId="28" fillId="0" borderId="81" xfId="1" applyFont="1" applyBorder="1" applyAlignment="1">
      <alignment horizontal="left"/>
    </xf>
    <xf numFmtId="0" fontId="28" fillId="0" borderId="82" xfId="1" applyFont="1" applyBorder="1" applyAlignment="1">
      <alignment horizontal="left"/>
    </xf>
    <xf numFmtId="0" fontId="36" fillId="0" borderId="63" xfId="1" applyFont="1" applyBorder="1" applyAlignment="1">
      <alignment horizontal="left"/>
    </xf>
    <xf numFmtId="0" fontId="36" fillId="0" borderId="64" xfId="1" applyFont="1" applyBorder="1" applyAlignment="1">
      <alignment horizontal="left"/>
    </xf>
    <xf numFmtId="2" fontId="38" fillId="0" borderId="65" xfId="1" applyNumberFormat="1" applyFont="1" applyBorder="1" applyAlignment="1">
      <alignment horizontal="center"/>
    </xf>
    <xf numFmtId="2" fontId="38" fillId="0" borderId="66" xfId="1" applyNumberFormat="1" applyFont="1" applyBorder="1" applyAlignment="1">
      <alignment horizontal="center"/>
    </xf>
    <xf numFmtId="0" fontId="38" fillId="0" borderId="65" xfId="1" applyFont="1" applyBorder="1" applyAlignment="1">
      <alignment horizontal="center"/>
    </xf>
    <xf numFmtId="0" fontId="38" fillId="0" borderId="66" xfId="1" applyFont="1" applyBorder="1" applyAlignment="1">
      <alignment horizontal="center"/>
    </xf>
    <xf numFmtId="0" fontId="36" fillId="0" borderId="75" xfId="1" applyFont="1" applyBorder="1" applyAlignment="1">
      <alignment horizontal="left"/>
    </xf>
    <xf numFmtId="0" fontId="36" fillId="0" borderId="68" xfId="1" applyFont="1" applyBorder="1" applyAlignment="1">
      <alignment horizontal="left"/>
    </xf>
    <xf numFmtId="0" fontId="36" fillId="0" borderId="69" xfId="1" applyFont="1" applyBorder="1" applyAlignment="1">
      <alignment horizontal="left"/>
    </xf>
    <xf numFmtId="167" fontId="38" fillId="5" borderId="65" xfId="1" applyNumberFormat="1" applyFont="1" applyFill="1" applyBorder="1" applyAlignment="1">
      <alignment horizontal="center"/>
    </xf>
    <xf numFmtId="167" fontId="38" fillId="5" borderId="66" xfId="1" applyNumberFormat="1" applyFont="1" applyFill="1" applyBorder="1" applyAlignment="1">
      <alignment horizontal="center"/>
    </xf>
    <xf numFmtId="0" fontId="38" fillId="5" borderId="65" xfId="1" applyFont="1" applyFill="1" applyBorder="1" applyAlignment="1">
      <alignment horizontal="center"/>
    </xf>
    <xf numFmtId="0" fontId="38" fillId="5" borderId="66" xfId="1" applyFont="1" applyFill="1" applyBorder="1" applyAlignment="1">
      <alignment horizontal="center"/>
    </xf>
    <xf numFmtId="167" fontId="38" fillId="0" borderId="65" xfId="1" applyNumberFormat="1" applyFont="1" applyBorder="1" applyAlignment="1">
      <alignment horizontal="center"/>
    </xf>
    <xf numFmtId="167" fontId="38" fillId="0" borderId="66" xfId="1" applyNumberFormat="1" applyFont="1" applyBorder="1" applyAlignment="1">
      <alignment horizontal="center"/>
    </xf>
    <xf numFmtId="1" fontId="38" fillId="5" borderId="65" xfId="1" applyNumberFormat="1" applyFont="1" applyFill="1" applyBorder="1" applyAlignment="1">
      <alignment horizontal="center"/>
    </xf>
    <xf numFmtId="1" fontId="38" fillId="5" borderId="66" xfId="1" applyNumberFormat="1" applyFont="1" applyFill="1" applyBorder="1" applyAlignment="1">
      <alignment horizontal="center"/>
    </xf>
    <xf numFmtId="0" fontId="36" fillId="5" borderId="75" xfId="1" applyFont="1" applyFill="1" applyBorder="1" applyAlignment="1">
      <alignment horizontal="left"/>
    </xf>
    <xf numFmtId="0" fontId="36" fillId="5" borderId="68" xfId="1" applyFont="1" applyFill="1" applyBorder="1" applyAlignment="1">
      <alignment horizontal="left"/>
    </xf>
    <xf numFmtId="0" fontId="36" fillId="5" borderId="69" xfId="1" applyFont="1" applyFill="1" applyBorder="1" applyAlignment="1">
      <alignment horizontal="left"/>
    </xf>
    <xf numFmtId="2" fontId="38" fillId="5" borderId="65" xfId="1" applyNumberFormat="1" applyFont="1" applyFill="1" applyBorder="1" applyAlignment="1">
      <alignment horizontal="center"/>
    </xf>
    <xf numFmtId="2" fontId="38" fillId="5" borderId="66" xfId="1" applyNumberFormat="1" applyFont="1" applyFill="1" applyBorder="1" applyAlignment="1">
      <alignment horizontal="center"/>
    </xf>
    <xf numFmtId="0" fontId="36" fillId="5" borderId="75" xfId="1" quotePrefix="1" applyFont="1" applyFill="1" applyBorder="1" applyAlignment="1">
      <alignment horizontal="left"/>
    </xf>
    <xf numFmtId="0" fontId="36" fillId="5" borderId="68" xfId="1" quotePrefix="1" applyFont="1" applyFill="1" applyBorder="1" applyAlignment="1">
      <alignment horizontal="left"/>
    </xf>
    <xf numFmtId="0" fontId="36" fillId="5" borderId="69" xfId="1" quotePrefix="1" applyFont="1" applyFill="1" applyBorder="1" applyAlignment="1">
      <alignment horizontal="left"/>
    </xf>
    <xf numFmtId="0" fontId="36" fillId="5" borderId="87" xfId="1" applyFont="1" applyFill="1" applyBorder="1" applyAlignment="1">
      <alignment horizontal="center"/>
    </xf>
    <xf numFmtId="0" fontId="36" fillId="5" borderId="88" xfId="1" applyFont="1" applyFill="1" applyBorder="1" applyAlignment="1">
      <alignment horizontal="center"/>
    </xf>
    <xf numFmtId="0" fontId="36" fillId="5" borderId="83" xfId="1" applyFont="1" applyFill="1" applyBorder="1" applyAlignment="1">
      <alignment horizontal="center"/>
    </xf>
    <xf numFmtId="0" fontId="36" fillId="5" borderId="0" xfId="1" applyFont="1" applyFill="1" applyAlignment="1">
      <alignment horizontal="center"/>
    </xf>
    <xf numFmtId="0" fontId="36" fillId="5" borderId="85" xfId="1" applyFont="1" applyFill="1" applyBorder="1" applyAlignment="1">
      <alignment horizontal="center"/>
    </xf>
    <xf numFmtId="0" fontId="36" fillId="5" borderId="40" xfId="1" applyFont="1" applyFill="1" applyBorder="1" applyAlignment="1">
      <alignment horizontal="center"/>
    </xf>
    <xf numFmtId="0" fontId="36" fillId="5" borderId="89" xfId="1" applyFont="1" applyFill="1" applyBorder="1" applyAlignment="1">
      <alignment horizontal="left"/>
    </xf>
    <xf numFmtId="0" fontId="36" fillId="5" borderId="90" xfId="1" applyFont="1" applyFill="1" applyBorder="1" applyAlignment="1">
      <alignment horizontal="left"/>
    </xf>
    <xf numFmtId="0" fontId="36" fillId="5" borderId="91" xfId="1" applyFont="1" applyFill="1" applyBorder="1" applyAlignment="1">
      <alignment horizontal="left"/>
    </xf>
    <xf numFmtId="0" fontId="38" fillId="5" borderId="92" xfId="1" applyFont="1" applyFill="1" applyBorder="1" applyAlignment="1">
      <alignment horizontal="center"/>
    </xf>
    <xf numFmtId="0" fontId="38" fillId="0" borderId="92" xfId="1" applyFont="1" applyBorder="1" applyAlignment="1">
      <alignment horizontal="center"/>
    </xf>
    <xf numFmtId="169" fontId="38" fillId="5" borderId="65" xfId="1" applyNumberFormat="1" applyFont="1" applyFill="1" applyBorder="1" applyAlignment="1">
      <alignment horizontal="center"/>
    </xf>
    <xf numFmtId="169" fontId="38" fillId="5" borderId="66" xfId="1" applyNumberFormat="1" applyFont="1" applyFill="1" applyBorder="1" applyAlignment="1">
      <alignment horizontal="center"/>
    </xf>
    <xf numFmtId="1" fontId="38" fillId="5" borderId="100" xfId="1" applyNumberFormat="1" applyFont="1" applyFill="1" applyBorder="1" applyAlignment="1">
      <alignment horizontal="center"/>
    </xf>
    <xf numFmtId="1" fontId="38" fillId="5" borderId="101" xfId="1" applyNumberFormat="1" applyFont="1" applyFill="1" applyBorder="1" applyAlignment="1">
      <alignment horizontal="center"/>
    </xf>
    <xf numFmtId="0" fontId="33" fillId="0" borderId="107" xfId="1" applyFont="1" applyBorder="1" applyAlignment="1">
      <alignment horizontal="left"/>
    </xf>
    <xf numFmtId="0" fontId="33" fillId="0" borderId="77" xfId="1" applyFont="1" applyBorder="1" applyAlignment="1">
      <alignment horizontal="left"/>
    </xf>
    <xf numFmtId="0" fontId="28" fillId="0" borderId="102" xfId="1" applyFont="1" applyBorder="1" applyAlignment="1">
      <alignment horizontal="left"/>
    </xf>
    <xf numFmtId="0" fontId="28" fillId="0" borderId="62" xfId="1" applyFont="1" applyBorder="1" applyAlignment="1">
      <alignment horizontal="left"/>
    </xf>
    <xf numFmtId="14" fontId="19" fillId="5" borderId="122" xfId="2" applyNumberFormat="1" applyFont="1" applyFill="1" applyBorder="1" applyAlignment="1">
      <alignment horizontal="center"/>
    </xf>
    <xf numFmtId="14" fontId="19" fillId="5" borderId="123" xfId="2" applyNumberFormat="1" applyFont="1" applyFill="1" applyBorder="1" applyAlignment="1">
      <alignment horizontal="center"/>
    </xf>
    <xf numFmtId="0" fontId="50" fillId="5" borderId="117" xfId="2" applyFont="1" applyFill="1" applyBorder="1" applyAlignment="1">
      <alignment horizontal="center"/>
    </xf>
    <xf numFmtId="0" fontId="50" fillId="5" borderId="118" xfId="2" applyFont="1" applyFill="1" applyBorder="1" applyAlignment="1">
      <alignment horizontal="center"/>
    </xf>
    <xf numFmtId="0" fontId="33" fillId="0" borderId="45" xfId="1" applyFont="1" applyBorder="1" applyAlignment="1">
      <alignment horizontal="center"/>
    </xf>
    <xf numFmtId="0" fontId="33" fillId="0" borderId="0" xfId="1" applyFont="1" applyAlignment="1">
      <alignment horizontal="center"/>
    </xf>
    <xf numFmtId="0" fontId="33" fillId="0" borderId="108" xfId="1" applyFont="1" applyBorder="1" applyAlignment="1">
      <alignment horizontal="center"/>
    </xf>
    <xf numFmtId="0" fontId="33" fillId="0" borderId="109" xfId="1" applyFont="1" applyBorder="1" applyAlignment="1">
      <alignment horizontal="center"/>
    </xf>
    <xf numFmtId="0" fontId="33" fillId="0" borderId="40" xfId="1" applyFont="1" applyBorder="1" applyAlignment="1">
      <alignment horizontal="center"/>
    </xf>
    <xf numFmtId="0" fontId="33" fillId="0" borderId="39" xfId="1" applyFont="1" applyBorder="1" applyAlignment="1">
      <alignment horizontal="center"/>
    </xf>
    <xf numFmtId="0" fontId="28" fillId="0" borderId="38" xfId="1" applyFont="1" applyBorder="1" applyAlignment="1">
      <alignment horizontal="left"/>
    </xf>
    <xf numFmtId="0" fontId="33" fillId="0" borderId="46" xfId="1" applyFont="1" applyBorder="1" applyAlignment="1">
      <alignment horizontal="center"/>
    </xf>
    <xf numFmtId="0" fontId="33" fillId="0" borderId="23" xfId="1" applyFont="1" applyBorder="1" applyAlignment="1">
      <alignment horizontal="center"/>
    </xf>
    <xf numFmtId="0" fontId="33" fillId="0" borderId="48" xfId="1" applyFont="1" applyBorder="1" applyAlignment="1">
      <alignment horizontal="center"/>
    </xf>
    <xf numFmtId="0" fontId="53" fillId="0" borderId="50" xfId="3" applyBorder="1" applyAlignment="1">
      <alignment horizontal="left"/>
    </xf>
    <xf numFmtId="0" fontId="53" fillId="0" borderId="13" xfId="3" applyBorder="1" applyAlignment="1">
      <alignment horizontal="left"/>
    </xf>
    <xf numFmtId="170" fontId="53" fillId="0" borderId="50" xfId="3" applyNumberFormat="1" applyBorder="1" applyAlignment="1">
      <alignment horizontal="center"/>
    </xf>
    <xf numFmtId="170" fontId="53" fillId="0" borderId="13" xfId="3" applyNumberFormat="1" applyBorder="1" applyAlignment="1">
      <alignment horizontal="center"/>
    </xf>
    <xf numFmtId="170" fontId="53" fillId="0" borderId="55" xfId="3" applyNumberFormat="1" applyBorder="1" applyAlignment="1">
      <alignment horizontal="center"/>
    </xf>
    <xf numFmtId="49" fontId="53" fillId="0" borderId="50" xfId="3" applyNumberFormat="1" applyBorder="1" applyAlignment="1">
      <alignment horizontal="center"/>
    </xf>
    <xf numFmtId="49" fontId="53" fillId="0" borderId="13" xfId="3" applyNumberFormat="1" applyBorder="1" applyAlignment="1">
      <alignment horizontal="center"/>
    </xf>
    <xf numFmtId="49" fontId="53" fillId="0" borderId="14" xfId="3" applyNumberFormat="1" applyBorder="1" applyAlignment="1">
      <alignment horizontal="center"/>
    </xf>
    <xf numFmtId="0" fontId="55" fillId="0" borderId="45" xfId="3" applyFont="1" applyBorder="1" applyAlignment="1">
      <alignment horizontal="center"/>
    </xf>
    <xf numFmtId="0" fontId="55" fillId="0" borderId="0" xfId="3" applyFont="1" applyAlignment="1">
      <alignment horizontal="center"/>
    </xf>
    <xf numFmtId="0" fontId="55" fillId="0" borderId="53" xfId="3" applyFont="1" applyBorder="1" applyAlignment="1">
      <alignment horizontal="center"/>
    </xf>
    <xf numFmtId="0" fontId="54" fillId="0" borderId="15" xfId="3" applyFont="1" applyBorder="1" applyAlignment="1">
      <alignment horizontal="center"/>
    </xf>
    <xf numFmtId="0" fontId="54" fillId="0" borderId="7" xfId="3" applyFont="1" applyBorder="1" applyAlignment="1">
      <alignment horizontal="center"/>
    </xf>
    <xf numFmtId="0" fontId="54" fillId="0" borderId="130" xfId="3" applyFont="1" applyBorder="1" applyAlignment="1">
      <alignment horizontal="center"/>
    </xf>
    <xf numFmtId="0" fontId="54" fillId="0" borderId="8" xfId="3" applyFont="1" applyBorder="1" applyAlignment="1">
      <alignment horizontal="center"/>
    </xf>
    <xf numFmtId="0" fontId="53" fillId="0" borderId="17" xfId="3" applyBorder="1" applyAlignment="1">
      <alignment horizontal="left"/>
    </xf>
    <xf numFmtId="0" fontId="53" fillId="0" borderId="131" xfId="3" applyBorder="1" applyAlignment="1">
      <alignment horizontal="left"/>
    </xf>
    <xf numFmtId="170" fontId="53" fillId="0" borderId="17" xfId="3" applyNumberFormat="1" applyBorder="1" applyAlignment="1">
      <alignment horizontal="center"/>
    </xf>
    <xf numFmtId="170" fontId="53" fillId="0" borderId="131" xfId="3" applyNumberFormat="1" applyBorder="1" applyAlignment="1">
      <alignment horizontal="center"/>
    </xf>
    <xf numFmtId="170" fontId="53" fillId="0" borderId="132" xfId="3" applyNumberFormat="1" applyBorder="1" applyAlignment="1">
      <alignment horizontal="center"/>
    </xf>
    <xf numFmtId="49" fontId="53" fillId="0" borderId="17" xfId="3" applyNumberFormat="1" applyBorder="1" applyAlignment="1">
      <alignment horizontal="center"/>
    </xf>
    <xf numFmtId="49" fontId="53" fillId="0" borderId="131" xfId="3" applyNumberFormat="1" applyBorder="1" applyAlignment="1">
      <alignment horizontal="center"/>
    </xf>
    <xf numFmtId="49" fontId="53" fillId="0" borderId="16" xfId="3" applyNumberFormat="1" applyBorder="1" applyAlignment="1">
      <alignment horizontal="center"/>
    </xf>
    <xf numFmtId="0" fontId="53" fillId="0" borderId="31" xfId="3" applyBorder="1" applyAlignment="1">
      <alignment horizontal="left"/>
    </xf>
    <xf numFmtId="0" fontId="53" fillId="0" borderId="51" xfId="3" applyBorder="1" applyAlignment="1">
      <alignment horizontal="left"/>
    </xf>
    <xf numFmtId="170" fontId="53" fillId="0" borderId="31" xfId="3" applyNumberFormat="1" applyBorder="1" applyAlignment="1">
      <alignment horizontal="center"/>
    </xf>
    <xf numFmtId="170" fontId="53" fillId="0" borderId="51" xfId="3" applyNumberFormat="1" applyBorder="1" applyAlignment="1">
      <alignment horizontal="center"/>
    </xf>
    <xf numFmtId="170" fontId="53" fillId="0" borderId="133" xfId="3" applyNumberFormat="1" applyBorder="1" applyAlignment="1">
      <alignment horizontal="center"/>
    </xf>
    <xf numFmtId="49" fontId="53" fillId="0" borderId="31" xfId="3" applyNumberFormat="1" applyBorder="1" applyAlignment="1">
      <alignment horizontal="center"/>
    </xf>
    <xf numFmtId="49" fontId="53" fillId="0" borderId="51" xfId="3" applyNumberFormat="1" applyBorder="1" applyAlignment="1">
      <alignment horizontal="center"/>
    </xf>
    <xf numFmtId="49" fontId="53" fillId="0" borderId="32" xfId="3" applyNumberFormat="1" applyBorder="1" applyAlignment="1">
      <alignment horizontal="center"/>
    </xf>
    <xf numFmtId="0" fontId="58" fillId="0" borderId="1" xfId="4" applyFont="1" applyBorder="1" applyAlignment="1">
      <alignment horizontal="center"/>
    </xf>
    <xf numFmtId="0" fontId="6" fillId="0" borderId="0" xfId="4" applyFont="1" applyAlignment="1">
      <alignment horizontal="center"/>
    </xf>
    <xf numFmtId="0" fontId="60" fillId="0" borderId="17" xfId="4" applyFont="1" applyBorder="1" applyAlignment="1">
      <alignment horizontal="center"/>
    </xf>
    <xf numFmtId="0" fontId="31" fillId="0" borderId="131" xfId="4" applyFont="1" applyBorder="1" applyAlignment="1">
      <alignment horizontal="center"/>
    </xf>
    <xf numFmtId="0" fontId="31" fillId="0" borderId="132" xfId="4" applyFont="1" applyBorder="1" applyAlignment="1">
      <alignment horizontal="center"/>
    </xf>
    <xf numFmtId="0" fontId="64" fillId="0" borderId="1" xfId="4" applyFont="1" applyBorder="1" applyAlignment="1">
      <alignment horizontal="center"/>
    </xf>
    <xf numFmtId="0" fontId="58" fillId="0" borderId="17" xfId="4" applyFont="1" applyBorder="1" applyAlignment="1">
      <alignment horizontal="right"/>
    </xf>
    <xf numFmtId="0" fontId="58" fillId="0" borderId="131" xfId="4" applyFont="1" applyBorder="1" applyAlignment="1">
      <alignment horizontal="right"/>
    </xf>
    <xf numFmtId="0" fontId="31" fillId="0" borderId="0" xfId="4" applyFont="1" applyAlignment="1">
      <alignment horizontal="center"/>
    </xf>
    <xf numFmtId="0" fontId="64" fillId="0" borderId="0" xfId="4" applyFont="1" applyAlignment="1">
      <alignment horizontal="right"/>
    </xf>
    <xf numFmtId="0" fontId="31" fillId="0" borderId="17" xfId="4" applyFont="1" applyBorder="1" applyAlignment="1">
      <alignment horizontal="center"/>
    </xf>
    <xf numFmtId="172" fontId="75" fillId="0" borderId="0" xfId="5" applyFont="1" applyAlignment="1">
      <alignment horizontal="center"/>
    </xf>
    <xf numFmtId="172" fontId="75" fillId="0" borderId="21" xfId="5" applyFont="1" applyBorder="1" applyAlignment="1">
      <alignment horizontal="center"/>
    </xf>
    <xf numFmtId="172" fontId="79" fillId="0" borderId="154" xfId="5" applyFont="1" applyBorder="1" applyAlignment="1" applyProtection="1">
      <alignment horizontal="center"/>
      <protection locked="0"/>
    </xf>
    <xf numFmtId="14" fontId="23" fillId="0" borderId="154" xfId="5" quotePrefix="1" applyNumberFormat="1" applyFont="1" applyBorder="1" applyAlignment="1" applyProtection="1">
      <alignment horizontal="center"/>
      <protection locked="0"/>
    </xf>
    <xf numFmtId="0" fontId="61" fillId="0" borderId="17" xfId="4" applyFont="1" applyBorder="1" applyAlignment="1">
      <alignment horizontal="center"/>
    </xf>
    <xf numFmtId="0" fontId="61" fillId="0" borderId="131" xfId="4" applyFont="1" applyBorder="1" applyAlignment="1">
      <alignment horizontal="center"/>
    </xf>
    <xf numFmtId="0" fontId="61" fillId="0" borderId="132" xfId="4" applyFont="1" applyBorder="1" applyAlignment="1">
      <alignment horizontal="center"/>
    </xf>
    <xf numFmtId="0" fontId="63" fillId="0" borderId="83" xfId="4" applyFont="1" applyBorder="1" applyAlignment="1">
      <alignment horizontal="center"/>
    </xf>
    <xf numFmtId="0" fontId="63" fillId="0" borderId="0" xfId="4" applyFont="1" applyAlignment="1">
      <alignment horizontal="center"/>
    </xf>
    <xf numFmtId="0" fontId="63" fillId="0" borderId="108" xfId="4" applyFont="1" applyBorder="1" applyAlignment="1">
      <alignment horizontal="center"/>
    </xf>
    <xf numFmtId="0" fontId="65" fillId="0" borderId="83" xfId="4" applyFont="1" applyBorder="1" applyAlignment="1">
      <alignment horizontal="center"/>
    </xf>
    <xf numFmtId="0" fontId="65" fillId="0" borderId="0" xfId="4" applyFont="1" applyAlignment="1">
      <alignment horizontal="center"/>
    </xf>
    <xf numFmtId="0" fontId="65" fillId="0" borderId="108" xfId="4" applyFont="1" applyBorder="1" applyAlignment="1">
      <alignment horizontal="center"/>
    </xf>
    <xf numFmtId="0" fontId="1" fillId="0" borderId="52" xfId="4" applyBorder="1" applyAlignment="1">
      <alignment horizontal="center"/>
    </xf>
    <xf numFmtId="0" fontId="1" fillId="0" borderId="53" xfId="4" applyBorder="1" applyAlignment="1">
      <alignment horizontal="center"/>
    </xf>
    <xf numFmtId="0" fontId="1" fillId="0" borderId="54" xfId="4" applyBorder="1" applyAlignment="1">
      <alignment horizontal="center"/>
    </xf>
  </cellXfs>
  <cellStyles count="6">
    <cellStyle name="Normal" xfId="0" builtinId="0"/>
    <cellStyle name="Normal 2" xfId="1" xr:uid="{00000000-0005-0000-0000-000001000000}"/>
    <cellStyle name="Normal 2 2" xfId="4" xr:uid="{00000000-0005-0000-0000-000002000000}"/>
    <cellStyle name="Normal 4" xfId="5" xr:uid="{00000000-0005-0000-0000-000003000000}"/>
    <cellStyle name="Normal_OPTEST" xfId="2" xr:uid="{00000000-0005-0000-0000-000004000000}"/>
    <cellStyle name="Normal_PROJ_REV_HIST" xfId="3" xr:uid="{00000000-0005-0000-0000-000005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5037246067"/>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(DesignSheet!$B$59:$B$68,DesignSheet!$E$59:$E$62)</c:f>
              <c:numCache>
                <c:formatCode>0.0</c:formatCode>
                <c:ptCount val="14"/>
                <c:pt idx="0">
                  <c:v>0</c:v>
                </c:pt>
                <c:pt idx="1">
                  <c:v>139.73127888828128</c:v>
                </c:pt>
                <c:pt idx="2">
                  <c:v>230</c:v>
                </c:pt>
                <c:pt idx="3">
                  <c:v>128.46791170131246</c:v>
                </c:pt>
                <c:pt idx="4">
                  <c:v>102.74786023614847</c:v>
                </c:pt>
                <c:pt idx="5">
                  <c:v>92.156775556421664</c:v>
                </c:pt>
                <c:pt idx="6">
                  <c:v>85.971927941556544</c:v>
                </c:pt>
                <c:pt idx="7">
                  <c:v>83.390427932424743</c:v>
                </c:pt>
                <c:pt idx="8">
                  <c:v>81.95990882464902</c:v>
                </c:pt>
                <c:pt idx="9">
                  <c:v>81.094326714954121</c:v>
                </c:pt>
                <c:pt idx="10">
                  <c:v>80.572128744760647</c:v>
                </c:pt>
                <c:pt idx="11">
                  <c:v>80.264888479573528</c:v>
                </c:pt>
                <c:pt idx="12">
                  <c:v>80.091945289178426</c:v>
                </c:pt>
                <c:pt idx="13">
                  <c:v>80</c:v>
                </c:pt>
              </c:numCache>
            </c:numRef>
          </c:yVal>
          <c:smooth val="1"/>
          <c:extLst>
            <c:ext xmlns:c16="http://schemas.microsoft.com/office/drawing/2014/chart" uri="{C3380CC4-5D6E-409C-BE32-E72D297353CC}">
              <c16:uniqueId val="{00000000-38DB-4F75-9D00-6C6E9DA77625}"/>
            </c:ext>
          </c:extLst>
        </c:ser>
        <c:ser>
          <c:idx val="2"/>
          <c:order val="2"/>
          <c:spPr>
            <a:ln w="12700">
              <a:pattFill prst="pct75">
                <a:fgClr>
                  <a:srgbClr val="000000"/>
                </a:fgClr>
                <a:bgClr>
                  <a:srgbClr val="FFFFFF"/>
                </a:bgClr>
              </a:pattFill>
              <a:prstDash val="solid"/>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DesignSheet!$A$100:$A$113</c:f>
              <c:numCache>
                <c:formatCode>0.0</c:formatCode>
                <c:ptCount val="14"/>
                <c:pt idx="0">
                  <c:v>100</c:v>
                </c:pt>
                <c:pt idx="1">
                  <c:v>99.599998474121094</c:v>
                </c:pt>
                <c:pt idx="2">
                  <c:v>98</c:v>
                </c:pt>
                <c:pt idx="3">
                  <c:v>83.852630615234375</c:v>
                </c:pt>
                <c:pt idx="4">
                  <c:v>70.305259704589844</c:v>
                </c:pt>
                <c:pt idx="5">
                  <c:v>57.410526275634766</c:v>
                </c:pt>
                <c:pt idx="6">
                  <c:v>38.010524749755859</c:v>
                </c:pt>
                <c:pt idx="7">
                  <c:v>24.778947830200195</c:v>
                </c:pt>
                <c:pt idx="8">
                  <c:v>15.684209823608398</c:v>
                </c:pt>
                <c:pt idx="9">
                  <c:v>9.0105257034301758</c:v>
                </c:pt>
                <c:pt idx="10">
                  <c:v>6.2526321411132813</c:v>
                </c:pt>
                <c:pt idx="11">
                  <c:v>7.8315787315368652</c:v>
                </c:pt>
                <c:pt idx="12">
                  <c:v>14.70526123046875</c:v>
                </c:pt>
                <c:pt idx="13">
                  <c:v>30</c:v>
                </c:pt>
              </c:numCache>
            </c:numRef>
          </c:yVal>
          <c:smooth val="1"/>
          <c:extLst>
            <c:ext xmlns:c16="http://schemas.microsoft.com/office/drawing/2014/chart" uri="{C3380CC4-5D6E-409C-BE32-E72D297353CC}">
              <c16:uniqueId val="{00000002-38DB-4F75-9D00-6C6E9DA77625}"/>
            </c:ext>
          </c:extLst>
        </c:ser>
        <c:dLbls>
          <c:showLegendKey val="0"/>
          <c:showVal val="0"/>
          <c:showCatName val="0"/>
          <c:showSerName val="0"/>
          <c:showPercent val="0"/>
          <c:showBubbleSize val="0"/>
        </c:dLbls>
        <c:axId val="484244752"/>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(DesignSheet!$C$59:$C$68,DesignSheet!$F$59:$F$62)</c:f>
              <c:numCache>
                <c:formatCode>0.0</c:formatCode>
                <c:ptCount val="14"/>
                <c:pt idx="0">
                  <c:v>0.19833412766456604</c:v>
                </c:pt>
                <c:pt idx="1">
                  <c:v>178.58975219726563</c:v>
                </c:pt>
                <c:pt idx="2">
                  <c:v>497.51583862304688</c:v>
                </c:pt>
                <c:pt idx="3">
                  <c:v>569.45867919921875</c:v>
                </c:pt>
                <c:pt idx="4">
                  <c:v>590.96307373046875</c:v>
                </c:pt>
                <c:pt idx="5">
                  <c:v>603.0108642578125</c:v>
                </c:pt>
                <c:pt idx="6">
                  <c:v>620.2919921875</c:v>
                </c:pt>
                <c:pt idx="7">
                  <c:v>634.01422119140625</c:v>
                </c:pt>
                <c:pt idx="8">
                  <c:v>645.1915283203125</c:v>
                </c:pt>
                <c:pt idx="9">
                  <c:v>654.13739013671875</c:v>
                </c:pt>
                <c:pt idx="10">
                  <c:v>661.34124755859375</c:v>
                </c:pt>
                <c:pt idx="11">
                  <c:v>667.1480712890625</c:v>
                </c:pt>
                <c:pt idx="12">
                  <c:v>671.95306396484375</c:v>
                </c:pt>
                <c:pt idx="13">
                  <c:v>676</c:v>
                </c:pt>
              </c:numCache>
            </c:numRef>
          </c:yVal>
          <c:smooth val="1"/>
          <c:extLst>
            <c:ext xmlns:c16="http://schemas.microsoft.com/office/drawing/2014/chart" uri="{C3380CC4-5D6E-409C-BE32-E72D297353CC}">
              <c16:uniqueId val="{00000001-38DB-4F75-9D00-6C6E9DA77625}"/>
            </c:ext>
          </c:extLst>
        </c:ser>
        <c:dLbls>
          <c:showLegendKey val="0"/>
          <c:showVal val="0"/>
          <c:showCatName val="0"/>
          <c:showSerName val="0"/>
          <c:showPercent val="0"/>
          <c:showBubbleSize val="0"/>
        </c:dLbls>
        <c:axId val="3"/>
        <c:axId val="4"/>
      </c:scatterChart>
      <c:valAx>
        <c:axId val="484244752"/>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65798856065"/>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98147558146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484244752"/>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683203616888932"/>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74045494183"/>
          <c:y val="2.851713673837105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0"/>
          <c:tx>
            <c:v>Torque (FV)</c:v>
          </c:tx>
          <c:spPr>
            <a:ln w="25400">
              <a:solidFill>
                <a:srgbClr val="000000"/>
              </a:solidFill>
              <a:prstDash val="solid"/>
            </a:ln>
          </c:spPr>
          <c:marker>
            <c:symbol val="none"/>
          </c:marker>
          <c:xVal>
            <c:numRef>
              <c:f>STCurve!$A$54:$A$67</c:f>
              <c:numCache>
                <c:formatCode>0.0</c:formatCode>
                <c:ptCount val="14"/>
                <c:pt idx="0">
                  <c:v>100</c:v>
                </c:pt>
                <c:pt idx="1">
                  <c:v>99.799999967217445</c:v>
                </c:pt>
                <c:pt idx="2">
                  <c:v>98.999999836087227</c:v>
                </c:pt>
                <c:pt idx="3">
                  <c:v>93.789473548531532</c:v>
                </c:pt>
                <c:pt idx="4">
                  <c:v>88.578946888446808</c:v>
                </c:pt>
                <c:pt idx="5">
                  <c:v>83.368420600891113</c:v>
                </c:pt>
                <c:pt idx="6">
                  <c:v>72.947368025779724</c:v>
                </c:pt>
                <c:pt idx="7">
                  <c:v>62.526315450668335</c:v>
                </c:pt>
                <c:pt idx="8">
                  <c:v>52.105262875556946</c:v>
                </c:pt>
                <c:pt idx="9">
                  <c:v>41.684210300445557</c:v>
                </c:pt>
                <c:pt idx="10">
                  <c:v>31.263160705566406</c:v>
                </c:pt>
                <c:pt idx="11">
                  <c:v>20.842105150222778</c:v>
                </c:pt>
                <c:pt idx="12">
                  <c:v>10.421055555343628</c:v>
                </c:pt>
                <c:pt idx="13">
                  <c:v>0</c:v>
                </c:pt>
              </c:numCache>
            </c:numRef>
          </c:xVal>
          <c:yVal>
            <c:numRef>
              <c:f>STCurve!$B$54:$B$67</c:f>
              <c:numCache>
                <c:formatCode>0.0</c:formatCode>
                <c:ptCount val="14"/>
                <c:pt idx="0">
                  <c:v>0</c:v>
                </c:pt>
                <c:pt idx="1">
                  <c:v>139.73127888828128</c:v>
                </c:pt>
                <c:pt idx="2">
                  <c:v>230</c:v>
                </c:pt>
                <c:pt idx="3">
                  <c:v>128.46791170131246</c:v>
                </c:pt>
                <c:pt idx="4">
                  <c:v>102.74786023614847</c:v>
                </c:pt>
                <c:pt idx="5">
                  <c:v>92.156775556421664</c:v>
                </c:pt>
                <c:pt idx="6">
                  <c:v>85.971927941556544</c:v>
                </c:pt>
                <c:pt idx="7">
                  <c:v>83.390427932424743</c:v>
                </c:pt>
                <c:pt idx="8">
                  <c:v>81.95990882464902</c:v>
                </c:pt>
                <c:pt idx="9">
                  <c:v>81.094326714954121</c:v>
                </c:pt>
                <c:pt idx="10">
                  <c:v>80.572128744760647</c:v>
                </c:pt>
                <c:pt idx="11">
                  <c:v>80.264888479573528</c:v>
                </c:pt>
                <c:pt idx="12">
                  <c:v>80.091945289178426</c:v>
                </c:pt>
                <c:pt idx="13">
                  <c:v>80</c:v>
                </c:pt>
              </c:numCache>
            </c:numRef>
          </c:yVal>
          <c:smooth val="1"/>
          <c:extLst>
            <c:ext xmlns:c16="http://schemas.microsoft.com/office/drawing/2014/chart" uri="{C3380CC4-5D6E-409C-BE32-E72D297353CC}">
              <c16:uniqueId val="{00000000-6A8E-4165-8918-B48CFEBD46F1}"/>
            </c:ext>
          </c:extLst>
        </c:ser>
        <c:dLbls>
          <c:showLegendKey val="0"/>
          <c:showVal val="0"/>
          <c:showCatName val="0"/>
          <c:showSerName val="0"/>
          <c:showPercent val="0"/>
          <c:showBubbleSize val="0"/>
        </c:dLbls>
        <c:axId val="695070480"/>
        <c:axId val="1"/>
      </c:scatterChart>
      <c:scatterChart>
        <c:scatterStyle val="lineMarker"/>
        <c:varyColors val="0"/>
        <c:ser>
          <c:idx val="1"/>
          <c:order val="1"/>
          <c:tx>
            <c:v>Current</c:v>
          </c:tx>
          <c:spPr>
            <a:ln w="25400">
              <a:solidFill>
                <a:srgbClr val="000000"/>
              </a:solidFill>
              <a:prstDash val="lgDash"/>
            </a:ln>
          </c:spPr>
          <c:marker>
            <c:symbol val="none"/>
          </c:marker>
          <c:xVal>
            <c:numRef>
              <c:f>STCurve!$A$54:$A$67</c:f>
              <c:numCache>
                <c:formatCode>0.0</c:formatCode>
                <c:ptCount val="14"/>
                <c:pt idx="0">
                  <c:v>100</c:v>
                </c:pt>
                <c:pt idx="1">
                  <c:v>99.799999967217445</c:v>
                </c:pt>
                <c:pt idx="2">
                  <c:v>98.999999836087227</c:v>
                </c:pt>
                <c:pt idx="3">
                  <c:v>93.789473548531532</c:v>
                </c:pt>
                <c:pt idx="4">
                  <c:v>88.578946888446808</c:v>
                </c:pt>
                <c:pt idx="5">
                  <c:v>83.368420600891113</c:v>
                </c:pt>
                <c:pt idx="6">
                  <c:v>72.947368025779724</c:v>
                </c:pt>
                <c:pt idx="7">
                  <c:v>62.526315450668335</c:v>
                </c:pt>
                <c:pt idx="8">
                  <c:v>52.105262875556946</c:v>
                </c:pt>
                <c:pt idx="9">
                  <c:v>41.684210300445557</c:v>
                </c:pt>
                <c:pt idx="10">
                  <c:v>31.263160705566406</c:v>
                </c:pt>
                <c:pt idx="11">
                  <c:v>20.842105150222778</c:v>
                </c:pt>
                <c:pt idx="12">
                  <c:v>10.421055555343628</c:v>
                </c:pt>
                <c:pt idx="13">
                  <c:v>0</c:v>
                </c:pt>
              </c:numCache>
            </c:numRef>
          </c:xVal>
          <c:yVal>
            <c:numRef>
              <c:f>STCurve!$C$54:$C$67</c:f>
              <c:numCache>
                <c:formatCode>0.0</c:formatCode>
                <c:ptCount val="14"/>
                <c:pt idx="0">
                  <c:v>0.19833412766456604</c:v>
                </c:pt>
                <c:pt idx="1">
                  <c:v>178.58975219726563</c:v>
                </c:pt>
                <c:pt idx="2">
                  <c:v>497.51583862304688</c:v>
                </c:pt>
                <c:pt idx="3">
                  <c:v>569.45867919921875</c:v>
                </c:pt>
                <c:pt idx="4">
                  <c:v>590.96307373046875</c:v>
                </c:pt>
                <c:pt idx="5">
                  <c:v>603.0108642578125</c:v>
                </c:pt>
                <c:pt idx="6">
                  <c:v>620.2919921875</c:v>
                </c:pt>
                <c:pt idx="7">
                  <c:v>634.01422119140625</c:v>
                </c:pt>
                <c:pt idx="8">
                  <c:v>645.1915283203125</c:v>
                </c:pt>
                <c:pt idx="9">
                  <c:v>654.13739013671875</c:v>
                </c:pt>
                <c:pt idx="10">
                  <c:v>661.34124755859375</c:v>
                </c:pt>
                <c:pt idx="11">
                  <c:v>667.1480712890625</c:v>
                </c:pt>
                <c:pt idx="12">
                  <c:v>671.95306396484375</c:v>
                </c:pt>
                <c:pt idx="13">
                  <c:v>676</c:v>
                </c:pt>
              </c:numCache>
            </c:numRef>
          </c:yVal>
          <c:smooth val="1"/>
          <c:extLst>
            <c:ext xmlns:c16="http://schemas.microsoft.com/office/drawing/2014/chart" uri="{C3380CC4-5D6E-409C-BE32-E72D297353CC}">
              <c16:uniqueId val="{00000001-6A8E-4165-8918-B48CFEBD46F1}"/>
            </c:ext>
          </c:extLst>
        </c:ser>
        <c:dLbls>
          <c:showLegendKey val="0"/>
          <c:showVal val="0"/>
          <c:showCatName val="0"/>
          <c:showSerName val="0"/>
          <c:showPercent val="0"/>
          <c:showBubbleSize val="0"/>
        </c:dLbls>
        <c:axId val="3"/>
        <c:axId val="4"/>
      </c:scatterChart>
      <c:valAx>
        <c:axId val="695070480"/>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9339414303"/>
              <c:y val="0.8460083899050078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223530399414E-2"/>
              <c:y val="0.296578222079058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695070480"/>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75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298753253074"/>
              <c:y val="0.29277593718060946"/>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ayout>
        <c:manualLayout>
          <c:xMode val="edge"/>
          <c:yMode val="edge"/>
          <c:x val="0.22514675139291798"/>
          <c:y val="0.89036835224494282"/>
          <c:w val="0.51756798821199979"/>
          <c:h val="0.10963164775505724"/>
        </c:manualLayout>
      </c:layout>
      <c:overlay val="0"/>
      <c:spPr>
        <a:solidFill>
          <a:srgbClr val="FFFFFF"/>
        </a:solidFill>
        <a:ln w="25400">
          <a:noFill/>
        </a:ln>
      </c:spPr>
      <c:txPr>
        <a:bodyPr/>
        <a:lstStyle/>
        <a:p>
          <a:pPr>
            <a:defRPr sz="9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676</c:v>
                </c:pt>
                <c:pt idx="1">
                  <c:v>600</c:v>
                </c:pt>
                <c:pt idx="2">
                  <c:v>500</c:v>
                </c:pt>
                <c:pt idx="3">
                  <c:v>400</c:v>
                </c:pt>
              </c:numCache>
            </c:numRef>
          </c:xVal>
          <c:yVal>
            <c:numRef>
              <c:f>Thermdam!$B$68:$B$71</c:f>
              <c:numCache>
                <c:formatCode>0.00</c:formatCode>
                <c:ptCount val="4"/>
                <c:pt idx="0">
                  <c:v>35</c:v>
                </c:pt>
                <c:pt idx="1">
                  <c:v>44.428222222222225</c:v>
                </c:pt>
                <c:pt idx="2">
                  <c:v>63.976640000000003</c:v>
                </c:pt>
                <c:pt idx="3">
                  <c:v>99.963499999999982</c:v>
                </c:pt>
              </c:numCache>
            </c:numRef>
          </c:yVal>
          <c:smooth val="1"/>
          <c:extLst>
            <c:ext xmlns:c16="http://schemas.microsoft.com/office/drawing/2014/chart" uri="{C3380CC4-5D6E-409C-BE32-E72D297353CC}">
              <c16:uniqueId val="{00000000-345B-4C29-9691-156BB5AAAA29}"/>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676</c:v>
                </c:pt>
                <c:pt idx="1">
                  <c:v>600</c:v>
                </c:pt>
                <c:pt idx="2">
                  <c:v>500</c:v>
                </c:pt>
                <c:pt idx="3">
                  <c:v>400</c:v>
                </c:pt>
              </c:numCache>
            </c:numRef>
          </c:xVal>
          <c:yVal>
            <c:numRef>
              <c:f>Thermdam!$C$68:$C$71</c:f>
              <c:numCache>
                <c:formatCode>0.00</c:formatCode>
                <c:ptCount val="4"/>
                <c:pt idx="0">
                  <c:v>15</c:v>
                </c:pt>
                <c:pt idx="1">
                  <c:v>19.04066666666667</c:v>
                </c:pt>
                <c:pt idx="2">
                  <c:v>27.418560000000003</c:v>
                </c:pt>
                <c:pt idx="3">
                  <c:v>42.841499999999996</c:v>
                </c:pt>
              </c:numCache>
            </c:numRef>
          </c:yVal>
          <c:smooth val="1"/>
          <c:extLst>
            <c:ext xmlns:c16="http://schemas.microsoft.com/office/drawing/2014/chart" uri="{C3380CC4-5D6E-409C-BE32-E72D297353CC}">
              <c16:uniqueId val="{00000001-345B-4C29-9691-156BB5AAAA29}"/>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300</c:v>
                </c:pt>
                <c:pt idx="1">
                  <c:v>200</c:v>
                </c:pt>
                <c:pt idx="2">
                  <c:v>230</c:v>
                </c:pt>
                <c:pt idx="3" formatCode="General">
                  <c:v>180</c:v>
                </c:pt>
                <c:pt idx="4" formatCode="General">
                  <c:v>145</c:v>
                </c:pt>
                <c:pt idx="5" formatCode="General">
                  <c:v>125</c:v>
                </c:pt>
                <c:pt idx="6" formatCode="General">
                  <c:v>125</c:v>
                </c:pt>
                <c:pt idx="7" formatCode="General">
                  <c:v>125</c:v>
                </c:pt>
              </c:numCache>
            </c:numRef>
          </c:xVal>
          <c:yVal>
            <c:numRef>
              <c:f>Thermdam!$C$72:$C$79</c:f>
              <c:numCache>
                <c:formatCode>0.00</c:formatCode>
                <c:ptCount val="8"/>
                <c:pt idx="2">
                  <c:v>129.57731568998108</c:v>
                </c:pt>
                <c:pt idx="3">
                  <c:v>211.56296296296296</c:v>
                </c:pt>
                <c:pt idx="4">
                  <c:v>326.02330558858506</c:v>
                </c:pt>
                <c:pt idx="5" formatCode="0">
                  <c:v>700</c:v>
                </c:pt>
                <c:pt idx="6" formatCode="0">
                  <c:v>1400</c:v>
                </c:pt>
                <c:pt idx="7" formatCode="General">
                  <c:v>10000</c:v>
                </c:pt>
              </c:numCache>
            </c:numRef>
          </c:yVal>
          <c:smooth val="1"/>
          <c:extLst>
            <c:ext xmlns:c16="http://schemas.microsoft.com/office/drawing/2014/chart" uri="{C3380CC4-5D6E-409C-BE32-E72D297353CC}">
              <c16:uniqueId val="{00000002-345B-4C29-9691-156BB5AAAA29}"/>
            </c:ext>
          </c:extLst>
        </c:ser>
        <c:dLbls>
          <c:showLegendKey val="0"/>
          <c:showVal val="0"/>
          <c:showCatName val="0"/>
          <c:showSerName val="0"/>
          <c:showPercent val="0"/>
          <c:showBubbleSize val="0"/>
        </c:dLbls>
        <c:axId val="246438816"/>
        <c:axId val="1"/>
      </c:scatterChart>
      <c:valAx>
        <c:axId val="246438816"/>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82799269307"/>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16370940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246438816"/>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Performance!$B$54:$B$59</c:f>
              <c:numCache>
                <c:formatCode>0.0</c:formatCode>
                <c:ptCount val="6"/>
                <c:pt idx="1">
                  <c:v>89.300003051757813</c:v>
                </c:pt>
                <c:pt idx="2">
                  <c:v>93.699996948242188</c:v>
                </c:pt>
                <c:pt idx="3">
                  <c:v>95</c:v>
                </c:pt>
                <c:pt idx="4">
                  <c:v>95.5</c:v>
                </c:pt>
                <c:pt idx="5">
                  <c:v>95.599998474121094</c:v>
                </c:pt>
              </c:numCache>
            </c:numRef>
          </c:yVal>
          <c:smooth val="1"/>
          <c:extLst>
            <c:ext xmlns:c16="http://schemas.microsoft.com/office/drawing/2014/chart" uri="{C3380CC4-5D6E-409C-BE32-E72D297353CC}">
              <c16:uniqueId val="{00000000-A42F-404F-89CF-CB96AD99D268}"/>
            </c:ext>
          </c:extLst>
        </c:ser>
        <c:ser>
          <c:idx val="1"/>
          <c:order val="1"/>
          <c:spPr>
            <a:ln w="25400">
              <a:solidFill>
                <a:srgbClr val="000000"/>
              </a:solidFill>
              <a:prstDash val="solid"/>
            </a:ln>
          </c:spPr>
          <c:marker>
            <c:symbol val="none"/>
          </c:marker>
          <c:xVal>
            <c:numRef>
              <c:f>Performance!$A$55:$A$59</c:f>
              <c:numCache>
                <c:formatCode>0.0</c:formatCode>
                <c:ptCount val="5"/>
                <c:pt idx="0">
                  <c:v>25</c:v>
                </c:pt>
                <c:pt idx="1">
                  <c:v>50</c:v>
                </c:pt>
                <c:pt idx="2">
                  <c:v>75</c:v>
                </c:pt>
                <c:pt idx="3">
                  <c:v>100</c:v>
                </c:pt>
                <c:pt idx="4">
                  <c:v>125</c:v>
                </c:pt>
              </c:numCache>
            </c:numRef>
          </c:xVal>
          <c:yVal>
            <c:numRef>
              <c:f>Performance!$C$55:$C$59</c:f>
              <c:numCache>
                <c:formatCode>0.0</c:formatCode>
                <c:ptCount val="5"/>
                <c:pt idx="0">
                  <c:v>73</c:v>
                </c:pt>
                <c:pt idx="1">
                  <c:v>86.599998474121094</c:v>
                </c:pt>
                <c:pt idx="2">
                  <c:v>89.800003051757813</c:v>
                </c:pt>
                <c:pt idx="3">
                  <c:v>90.300003051757813</c:v>
                </c:pt>
                <c:pt idx="4">
                  <c:v>89.600006103515625</c:v>
                </c:pt>
              </c:numCache>
            </c:numRef>
          </c:yVal>
          <c:smooth val="1"/>
          <c:extLst>
            <c:ext xmlns:c16="http://schemas.microsoft.com/office/drawing/2014/chart" uri="{C3380CC4-5D6E-409C-BE32-E72D297353CC}">
              <c16:uniqueId val="{00000001-A42F-404F-89CF-CB96AD99D268}"/>
            </c:ext>
          </c:extLst>
        </c:ser>
        <c:ser>
          <c:idx val="3"/>
          <c:order val="3"/>
          <c:spPr>
            <a:ln w="25400">
              <a:solidFill>
                <a:srgbClr val="3333CC"/>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Performance!$E$54:$E$59</c:f>
              <c:numCache>
                <c:formatCode>0.0</c:formatCode>
                <c:ptCount val="6"/>
                <c:pt idx="0">
                  <c:v>100</c:v>
                </c:pt>
                <c:pt idx="1">
                  <c:v>66.153174999999464</c:v>
                </c:pt>
                <c:pt idx="2">
                  <c:v>52.899549999999643</c:v>
                </c:pt>
                <c:pt idx="3">
                  <c:v>39.637000000001308</c:v>
                </c:pt>
                <c:pt idx="4">
                  <c:v>25</c:v>
                </c:pt>
                <c:pt idx="5">
                  <c:v>10.823530000000119</c:v>
                </c:pt>
              </c:numCache>
            </c:numRef>
          </c:yVal>
          <c:smooth val="1"/>
          <c:extLst>
            <c:ext xmlns:c16="http://schemas.microsoft.com/office/drawing/2014/chart" uri="{C3380CC4-5D6E-409C-BE32-E72D297353CC}">
              <c16:uniqueId val="{00000002-A42F-404F-89CF-CB96AD99D268}"/>
            </c:ext>
          </c:extLst>
        </c:ser>
        <c:ser>
          <c:idx val="4"/>
          <c:order val="4"/>
          <c:spPr>
            <a:ln w="25400">
              <a:solidFill>
                <a:srgbClr val="339933"/>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Performance!$F$54:$F$59</c:f>
              <c:numCache>
                <c:formatCode>0.0</c:formatCode>
                <c:ptCount val="6"/>
                <c:pt idx="0">
                  <c:v>0.72375</c:v>
                </c:pt>
                <c:pt idx="1">
                  <c:v>10.44708125</c:v>
                </c:pt>
                <c:pt idx="2">
                  <c:v>19.896918750000001</c:v>
                </c:pt>
                <c:pt idx="3">
                  <c:v>29.435593749999999</c:v>
                </c:pt>
                <c:pt idx="4">
                  <c:v>39.050212500000001</c:v>
                </c:pt>
                <c:pt idx="5">
                  <c:v>48.737974999999999</c:v>
                </c:pt>
              </c:numCache>
            </c:numRef>
          </c:yVal>
          <c:smooth val="1"/>
          <c:extLst>
            <c:ext xmlns:c16="http://schemas.microsoft.com/office/drawing/2014/chart" uri="{C3380CC4-5D6E-409C-BE32-E72D297353CC}">
              <c16:uniqueId val="{00000003-A42F-404F-89CF-CB96AD99D268}"/>
            </c:ext>
          </c:extLst>
        </c:ser>
        <c:dLbls>
          <c:showLegendKey val="0"/>
          <c:showVal val="0"/>
          <c:showCatName val="0"/>
          <c:showSerName val="0"/>
          <c:showPercent val="0"/>
          <c:showBubbleSize val="0"/>
        </c:dLbls>
        <c:axId val="700816624"/>
        <c:axId val="1"/>
      </c:scatterChart>
      <c:scatterChart>
        <c:scatterStyle val="lineMarker"/>
        <c:varyColors val="0"/>
        <c:ser>
          <c:idx val="2"/>
          <c:order val="2"/>
          <c:spPr>
            <a:ln w="25400">
              <a:solidFill>
                <a:srgbClr val="33330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Performance!$D$54:$D$59</c:f>
              <c:numCache>
                <c:formatCode>0.0</c:formatCode>
                <c:ptCount val="6"/>
                <c:pt idx="0">
                  <c:v>22</c:v>
                </c:pt>
                <c:pt idx="1">
                  <c:v>33.049999237060547</c:v>
                </c:pt>
                <c:pt idx="2">
                  <c:v>53.060001373291016</c:v>
                </c:pt>
                <c:pt idx="3">
                  <c:v>75.699996948242188</c:v>
                </c:pt>
                <c:pt idx="4">
                  <c:v>99.870002746582031</c:v>
                </c:pt>
                <c:pt idx="5">
                  <c:v>125.62000274658203</c:v>
                </c:pt>
              </c:numCache>
            </c:numRef>
          </c:yVal>
          <c:smooth val="1"/>
          <c:extLst>
            <c:ext xmlns:c16="http://schemas.microsoft.com/office/drawing/2014/chart" uri="{C3380CC4-5D6E-409C-BE32-E72D297353CC}">
              <c16:uniqueId val="{00000004-A42F-404F-89CF-CB96AD99D268}"/>
            </c:ext>
          </c:extLst>
        </c:ser>
        <c:dLbls>
          <c:showLegendKey val="0"/>
          <c:showVal val="0"/>
          <c:showCatName val="0"/>
          <c:showSerName val="0"/>
          <c:showPercent val="0"/>
          <c:showBubbleSize val="0"/>
        </c:dLbls>
        <c:axId val="3"/>
        <c:axId val="4"/>
      </c:scatterChart>
      <c:valAx>
        <c:axId val="700816624"/>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7433922958"/>
              <c:y val="0.9204562478845730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257086145"/>
              <c:y val="0.2556822910790480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700816624"/>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2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9839979769"/>
              <c:y val="0.3200763495730305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20"/>
      </c:valAx>
      <c:spPr>
        <a:solidFill>
          <a:srgbClr val="FFFFFF"/>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064" name="Chart 1">
          <a:extLst>
            <a:ext uri="{FF2B5EF4-FFF2-40B4-BE49-F238E27FC236}">
              <a16:creationId xmlns:a16="http://schemas.microsoft.com/office/drawing/2014/main" id="{00000000-0008-0000-0000-000010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56102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54768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54864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a:extLst>
            <a:ext uri="{FF2B5EF4-FFF2-40B4-BE49-F238E27FC236}">
              <a16:creationId xmlns:a16="http://schemas.microsoft.com/office/drawing/2014/main" id="{00000000-0008-0000-0100-000005000000}"/>
            </a:ext>
          </a:extLst>
        </xdr:cNvPr>
        <xdr:cNvSpPr>
          <a:spLocks noChangeArrowheads="1"/>
        </xdr:cNvSpPr>
      </xdr:nvSpPr>
      <xdr:spPr bwMode="auto">
        <a:xfrm>
          <a:off x="54578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bwMode="auto">
        <a:xfrm>
          <a:off x="56007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238125</xdr:colOff>
      <xdr:row>35</xdr:row>
      <xdr:rowOff>114300</xdr:rowOff>
    </xdr:from>
    <xdr:to>
      <xdr:col>3</xdr:col>
      <xdr:colOff>542925</xdr:colOff>
      <xdr:row>36</xdr:row>
      <xdr:rowOff>9525</xdr:rowOff>
    </xdr:to>
    <xdr:sp macro="" textlink="">
      <xdr:nvSpPr>
        <xdr:cNvPr id="7" name="Depth2">
          <a:extLst>
            <a:ext uri="{FF2B5EF4-FFF2-40B4-BE49-F238E27FC236}">
              <a16:creationId xmlns:a16="http://schemas.microsoft.com/office/drawing/2014/main" id="{00000000-0008-0000-0100-000007000000}"/>
            </a:ext>
          </a:extLst>
        </xdr:cNvPr>
        <xdr:cNvSpPr txBox="1">
          <a:spLocks noChangeArrowheads="1"/>
        </xdr:cNvSpPr>
      </xdr:nvSpPr>
      <xdr:spPr bwMode="auto">
        <a:xfrm>
          <a:off x="1971675" y="8181975"/>
          <a:ext cx="3048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40.05</a:t>
          </a:r>
        </a:p>
      </xdr:txBody>
    </xdr:sp>
    <xdr:clientData/>
  </xdr:twoCellAnchor>
  <xdr:twoCellAnchor>
    <xdr:from>
      <xdr:col>1</xdr:col>
      <xdr:colOff>314325</xdr:colOff>
      <xdr:row>33</xdr:row>
      <xdr:rowOff>190500</xdr:rowOff>
    </xdr:from>
    <xdr:to>
      <xdr:col>2</xdr:col>
      <xdr:colOff>123825</xdr:colOff>
      <xdr:row>34</xdr:row>
      <xdr:rowOff>66675</xdr:rowOff>
    </xdr:to>
    <xdr:sp macro="" textlink="">
      <xdr:nvSpPr>
        <xdr:cNvPr id="8" name="Tip2">
          <a:extLst>
            <a:ext uri="{FF2B5EF4-FFF2-40B4-BE49-F238E27FC236}">
              <a16:creationId xmlns:a16="http://schemas.microsoft.com/office/drawing/2014/main" id="{00000000-0008-0000-0100-000008000000}"/>
            </a:ext>
          </a:extLst>
        </xdr:cNvPr>
        <xdr:cNvSpPr txBox="1">
          <a:spLocks noChangeArrowheads="1"/>
        </xdr:cNvSpPr>
      </xdr:nvSpPr>
      <xdr:spPr bwMode="auto">
        <a:xfrm>
          <a:off x="1123950" y="7800975"/>
          <a:ext cx="21907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5.00</a:t>
          </a:r>
        </a:p>
      </xdr:txBody>
    </xdr:sp>
    <xdr:clientData/>
  </xdr:twoCellAnchor>
  <xdr:twoCellAnchor>
    <xdr:from>
      <xdr:col>2</xdr:col>
      <xdr:colOff>228600</xdr:colOff>
      <xdr:row>33</xdr:row>
      <xdr:rowOff>57150</xdr:rowOff>
    </xdr:from>
    <xdr:to>
      <xdr:col>3</xdr:col>
      <xdr:colOff>38100</xdr:colOff>
      <xdr:row>33</xdr:row>
      <xdr:rowOff>152400</xdr:rowOff>
    </xdr:to>
    <xdr:sp macro="" textlink="">
      <xdr:nvSpPr>
        <xdr:cNvPr id="9" name="Opening">
          <a:extLst>
            <a:ext uri="{FF2B5EF4-FFF2-40B4-BE49-F238E27FC236}">
              <a16:creationId xmlns:a16="http://schemas.microsoft.com/office/drawing/2014/main" id="{00000000-0008-0000-0100-000009000000}"/>
            </a:ext>
          </a:extLst>
        </xdr:cNvPr>
        <xdr:cNvSpPr txBox="1">
          <a:spLocks noChangeArrowheads="1"/>
        </xdr:cNvSpPr>
      </xdr:nvSpPr>
      <xdr:spPr bwMode="auto">
        <a:xfrm>
          <a:off x="1447800" y="7667625"/>
          <a:ext cx="32385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180975</xdr:colOff>
      <xdr:row>36</xdr:row>
      <xdr:rowOff>171450</xdr:rowOff>
    </xdr:from>
    <xdr:to>
      <xdr:col>3</xdr:col>
      <xdr:colOff>38100</xdr:colOff>
      <xdr:row>37</xdr:row>
      <xdr:rowOff>38100</xdr:rowOff>
    </xdr:to>
    <xdr:sp macro="" textlink="">
      <xdr:nvSpPr>
        <xdr:cNvPr id="10" name="Width3">
          <a:extLst>
            <a:ext uri="{FF2B5EF4-FFF2-40B4-BE49-F238E27FC236}">
              <a16:creationId xmlns:a16="http://schemas.microsoft.com/office/drawing/2014/main" id="{00000000-0008-0000-0100-00000A000000}"/>
            </a:ext>
          </a:extLst>
        </xdr:cNvPr>
        <xdr:cNvSpPr txBox="1">
          <a:spLocks noChangeArrowheads="1"/>
        </xdr:cNvSpPr>
      </xdr:nvSpPr>
      <xdr:spPr bwMode="auto">
        <a:xfrm>
          <a:off x="1400175" y="8467725"/>
          <a:ext cx="37147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10.05</a:t>
          </a:r>
        </a:p>
      </xdr:txBody>
    </xdr:sp>
    <xdr:clientData/>
  </xdr:twoCellAnchor>
  <xdr:twoCellAnchor>
    <xdr:from>
      <xdr:col>2</xdr:col>
      <xdr:colOff>104775</xdr:colOff>
      <xdr:row>33</xdr:row>
      <xdr:rowOff>180975</xdr:rowOff>
    </xdr:from>
    <xdr:to>
      <xdr:col>3</xdr:col>
      <xdr:colOff>400050</xdr:colOff>
      <xdr:row>37</xdr:row>
      <xdr:rowOff>171450</xdr:rowOff>
    </xdr:to>
    <xdr:grpSp>
      <xdr:nvGrpSpPr>
        <xdr:cNvPr id="11" name="Group 155">
          <a:extLst>
            <a:ext uri="{FF2B5EF4-FFF2-40B4-BE49-F238E27FC236}">
              <a16:creationId xmlns:a16="http://schemas.microsoft.com/office/drawing/2014/main" id="{00000000-0008-0000-0100-00000B000000}"/>
            </a:ext>
          </a:extLst>
        </xdr:cNvPr>
        <xdr:cNvGrpSpPr>
          <a:grpSpLocks/>
        </xdr:cNvGrpSpPr>
      </xdr:nvGrpSpPr>
      <xdr:grpSpPr bwMode="auto">
        <a:xfrm>
          <a:off x="1323975" y="7791450"/>
          <a:ext cx="809625" cy="904875"/>
          <a:chOff x="133" y="794"/>
          <a:chExt cx="85" cy="95"/>
        </a:xfrm>
      </xdr:grpSpPr>
      <xdr:sp macro="" textlink="">
        <xdr:nvSpPr>
          <xdr:cNvPr id="12" name="Line 62">
            <a:extLst>
              <a:ext uri="{FF2B5EF4-FFF2-40B4-BE49-F238E27FC236}">
                <a16:creationId xmlns:a16="http://schemas.microsoft.com/office/drawing/2014/main" id="{00000000-0008-0000-0100-00000C000000}"/>
              </a:ext>
            </a:extLst>
          </xdr:cNvPr>
          <xdr:cNvSpPr>
            <a:spLocks noChangeShapeType="1"/>
          </xdr:cNvSpPr>
        </xdr:nvSpPr>
        <xdr:spPr bwMode="auto">
          <a:xfrm>
            <a:off x="134"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63">
            <a:extLst>
              <a:ext uri="{FF2B5EF4-FFF2-40B4-BE49-F238E27FC236}">
                <a16:creationId xmlns:a16="http://schemas.microsoft.com/office/drawing/2014/main" id="{00000000-0008-0000-0100-00000D000000}"/>
              </a:ext>
            </a:extLst>
          </xdr:cNvPr>
          <xdr:cNvSpPr>
            <a:spLocks noChangeShapeType="1"/>
          </xdr:cNvSpPr>
        </xdr:nvSpPr>
        <xdr:spPr bwMode="auto">
          <a:xfrm flipH="1">
            <a:off x="170"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64">
            <a:extLst>
              <a:ext uri="{FF2B5EF4-FFF2-40B4-BE49-F238E27FC236}">
                <a16:creationId xmlns:a16="http://schemas.microsoft.com/office/drawing/2014/main" id="{00000000-0008-0000-0100-00000E000000}"/>
              </a:ext>
            </a:extLst>
          </xdr:cNvPr>
          <xdr:cNvSpPr>
            <a:spLocks noChangeShapeType="1"/>
          </xdr:cNvSpPr>
        </xdr:nvSpPr>
        <xdr:spPr bwMode="auto">
          <a:xfrm flipH="1">
            <a:off x="133" y="876"/>
            <a:ext cx="20"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5" name="Line 65">
            <a:extLst>
              <a:ext uri="{FF2B5EF4-FFF2-40B4-BE49-F238E27FC236}">
                <a16:creationId xmlns:a16="http://schemas.microsoft.com/office/drawing/2014/main" id="{00000000-0008-0000-0100-00000F000000}"/>
              </a:ext>
            </a:extLst>
          </xdr:cNvPr>
          <xdr:cNvSpPr>
            <a:spLocks noChangeShapeType="1"/>
          </xdr:cNvSpPr>
        </xdr:nvSpPr>
        <xdr:spPr bwMode="auto">
          <a:xfrm>
            <a:off x="154" y="877"/>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6" name="Line 69">
            <a:extLst>
              <a:ext uri="{FF2B5EF4-FFF2-40B4-BE49-F238E27FC236}">
                <a16:creationId xmlns:a16="http://schemas.microsoft.com/office/drawing/2014/main" id="{00000000-0008-0000-0100-000010000000}"/>
              </a:ext>
            </a:extLst>
          </xdr:cNvPr>
          <xdr:cNvSpPr>
            <a:spLocks noChangeShapeType="1"/>
          </xdr:cNvSpPr>
        </xdr:nvSpPr>
        <xdr:spPr bwMode="auto">
          <a:xfrm flipV="1">
            <a:off x="200" y="889"/>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70">
            <a:extLst>
              <a:ext uri="{FF2B5EF4-FFF2-40B4-BE49-F238E27FC236}">
                <a16:creationId xmlns:a16="http://schemas.microsoft.com/office/drawing/2014/main" id="{00000000-0008-0000-0100-000011000000}"/>
              </a:ext>
            </a:extLst>
          </xdr:cNvPr>
          <xdr:cNvSpPr>
            <a:spLocks noChangeShapeType="1"/>
          </xdr:cNvSpPr>
        </xdr:nvSpPr>
        <xdr:spPr bwMode="auto">
          <a:xfrm flipV="1">
            <a:off x="210" y="795"/>
            <a:ext cx="0" cy="3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8" name="Line 71">
            <a:extLst>
              <a:ext uri="{FF2B5EF4-FFF2-40B4-BE49-F238E27FC236}">
                <a16:creationId xmlns:a16="http://schemas.microsoft.com/office/drawing/2014/main" id="{00000000-0008-0000-0100-000012000000}"/>
              </a:ext>
            </a:extLst>
          </xdr:cNvPr>
          <xdr:cNvSpPr>
            <a:spLocks noChangeShapeType="1"/>
          </xdr:cNvSpPr>
        </xdr:nvSpPr>
        <xdr:spPr bwMode="auto">
          <a:xfrm>
            <a:off x="210" y="847"/>
            <a:ext cx="0" cy="41"/>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9" name="Line 72">
            <a:extLst>
              <a:ext uri="{FF2B5EF4-FFF2-40B4-BE49-F238E27FC236}">
                <a16:creationId xmlns:a16="http://schemas.microsoft.com/office/drawing/2014/main" id="{00000000-0008-0000-0100-000013000000}"/>
              </a:ext>
            </a:extLst>
          </xdr:cNvPr>
          <xdr:cNvSpPr>
            <a:spLocks noChangeShapeType="1"/>
          </xdr:cNvSpPr>
        </xdr:nvSpPr>
        <xdr:spPr bwMode="auto">
          <a:xfrm>
            <a:off x="200" y="794"/>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74">
            <a:extLst>
              <a:ext uri="{FF2B5EF4-FFF2-40B4-BE49-F238E27FC236}">
                <a16:creationId xmlns:a16="http://schemas.microsoft.com/office/drawing/2014/main" id="{00000000-0008-0000-0100-000014000000}"/>
              </a:ext>
            </a:extLst>
          </xdr:cNvPr>
          <xdr:cNvSpPr>
            <a:spLocks noChangeShapeType="1"/>
          </xdr:cNvSpPr>
        </xdr:nvSpPr>
        <xdr:spPr bwMode="auto">
          <a:xfrm flipV="1">
            <a:off x="133" y="871"/>
            <a:ext cx="0" cy="1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75">
            <a:extLst>
              <a:ext uri="{FF2B5EF4-FFF2-40B4-BE49-F238E27FC236}">
                <a16:creationId xmlns:a16="http://schemas.microsoft.com/office/drawing/2014/main" id="{00000000-0008-0000-0100-000015000000}"/>
              </a:ext>
            </a:extLst>
          </xdr:cNvPr>
          <xdr:cNvSpPr>
            <a:spLocks noChangeShapeType="1"/>
          </xdr:cNvSpPr>
        </xdr:nvSpPr>
        <xdr:spPr bwMode="auto">
          <a:xfrm flipV="1">
            <a:off x="190" y="868"/>
            <a:ext cx="0" cy="2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76">
            <a:extLst>
              <a:ext uri="{FF2B5EF4-FFF2-40B4-BE49-F238E27FC236}">
                <a16:creationId xmlns:a16="http://schemas.microsoft.com/office/drawing/2014/main" id="{00000000-0008-0000-0100-000016000000}"/>
              </a:ext>
            </a:extLst>
          </xdr:cNvPr>
          <xdr:cNvSpPr>
            <a:spLocks noChangeShapeType="1"/>
          </xdr:cNvSpPr>
        </xdr:nvSpPr>
        <xdr:spPr bwMode="auto">
          <a:xfrm flipV="1">
            <a:off x="133"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77">
            <a:extLst>
              <a:ext uri="{FF2B5EF4-FFF2-40B4-BE49-F238E27FC236}">
                <a16:creationId xmlns:a16="http://schemas.microsoft.com/office/drawing/2014/main" id="{00000000-0008-0000-0100-000017000000}"/>
              </a:ext>
            </a:extLst>
          </xdr:cNvPr>
          <xdr:cNvSpPr>
            <a:spLocks noChangeShapeType="1"/>
          </xdr:cNvSpPr>
        </xdr:nvSpPr>
        <xdr:spPr bwMode="auto">
          <a:xfrm flipH="1">
            <a:off x="133" y="805"/>
            <a:ext cx="0" cy="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78">
            <a:extLst>
              <a:ext uri="{FF2B5EF4-FFF2-40B4-BE49-F238E27FC236}">
                <a16:creationId xmlns:a16="http://schemas.microsoft.com/office/drawing/2014/main" id="{00000000-0008-0000-0100-000018000000}"/>
              </a:ext>
            </a:extLst>
          </xdr:cNvPr>
          <xdr:cNvSpPr>
            <a:spLocks noChangeShapeType="1"/>
          </xdr:cNvSpPr>
        </xdr:nvSpPr>
        <xdr:spPr bwMode="auto">
          <a:xfrm flipV="1">
            <a:off x="154"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79">
            <a:extLst>
              <a:ext uri="{FF2B5EF4-FFF2-40B4-BE49-F238E27FC236}">
                <a16:creationId xmlns:a16="http://schemas.microsoft.com/office/drawing/2014/main" id="{00000000-0008-0000-0100-000019000000}"/>
              </a:ext>
            </a:extLst>
          </xdr:cNvPr>
          <xdr:cNvSpPr>
            <a:spLocks noChangeShapeType="1"/>
          </xdr:cNvSpPr>
        </xdr:nvSpPr>
        <xdr:spPr bwMode="auto">
          <a:xfrm>
            <a:off x="170"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81">
            <a:extLst>
              <a:ext uri="{FF2B5EF4-FFF2-40B4-BE49-F238E27FC236}">
                <a16:creationId xmlns:a16="http://schemas.microsoft.com/office/drawing/2014/main" id="{00000000-0008-0000-0100-00001A000000}"/>
              </a:ext>
            </a:extLst>
          </xdr:cNvPr>
          <xdr:cNvSpPr>
            <a:spLocks noChangeShapeType="1"/>
          </xdr:cNvSpPr>
        </xdr:nvSpPr>
        <xdr:spPr bwMode="auto">
          <a:xfrm>
            <a:off x="139"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82">
            <a:extLst>
              <a:ext uri="{FF2B5EF4-FFF2-40B4-BE49-F238E27FC236}">
                <a16:creationId xmlns:a16="http://schemas.microsoft.com/office/drawing/2014/main" id="{00000000-0008-0000-0100-00001B000000}"/>
              </a:ext>
            </a:extLst>
          </xdr:cNvPr>
          <xdr:cNvSpPr>
            <a:spLocks noChangeShapeType="1"/>
          </xdr:cNvSpPr>
        </xdr:nvSpPr>
        <xdr:spPr bwMode="auto">
          <a:xfrm flipH="1" flipV="1">
            <a:off x="139"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83">
            <a:extLst>
              <a:ext uri="{FF2B5EF4-FFF2-40B4-BE49-F238E27FC236}">
                <a16:creationId xmlns:a16="http://schemas.microsoft.com/office/drawing/2014/main" id="{00000000-0008-0000-0100-00001C000000}"/>
              </a:ext>
            </a:extLst>
          </xdr:cNvPr>
          <xdr:cNvSpPr>
            <a:spLocks noChangeShapeType="1"/>
          </xdr:cNvSpPr>
        </xdr:nvSpPr>
        <xdr:spPr bwMode="auto">
          <a:xfrm flipV="1">
            <a:off x="137"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84">
            <a:extLst>
              <a:ext uri="{FF2B5EF4-FFF2-40B4-BE49-F238E27FC236}">
                <a16:creationId xmlns:a16="http://schemas.microsoft.com/office/drawing/2014/main" id="{00000000-0008-0000-0100-00001D000000}"/>
              </a:ext>
            </a:extLst>
          </xdr:cNvPr>
          <xdr:cNvSpPr>
            <a:spLocks noChangeShapeType="1"/>
          </xdr:cNvSpPr>
        </xdr:nvSpPr>
        <xdr:spPr bwMode="auto">
          <a:xfrm flipV="1">
            <a:off x="139"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85">
            <a:extLst>
              <a:ext uri="{FF2B5EF4-FFF2-40B4-BE49-F238E27FC236}">
                <a16:creationId xmlns:a16="http://schemas.microsoft.com/office/drawing/2014/main" id="{00000000-0008-0000-0100-00001E000000}"/>
              </a:ext>
            </a:extLst>
          </xdr:cNvPr>
          <xdr:cNvSpPr>
            <a:spLocks noChangeShapeType="1"/>
          </xdr:cNvSpPr>
        </xdr:nvSpPr>
        <xdr:spPr bwMode="auto">
          <a:xfrm flipH="1" flipV="1">
            <a:off x="137"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86">
            <a:extLst>
              <a:ext uri="{FF2B5EF4-FFF2-40B4-BE49-F238E27FC236}">
                <a16:creationId xmlns:a16="http://schemas.microsoft.com/office/drawing/2014/main" id="{00000000-0008-0000-0100-00001F000000}"/>
              </a:ext>
            </a:extLst>
          </xdr:cNvPr>
          <xdr:cNvSpPr>
            <a:spLocks noChangeShapeType="1"/>
          </xdr:cNvSpPr>
        </xdr:nvSpPr>
        <xdr:spPr bwMode="auto">
          <a:xfrm>
            <a:off x="190" y="805"/>
            <a:ext cx="0" cy="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87">
            <a:extLst>
              <a:ext uri="{FF2B5EF4-FFF2-40B4-BE49-F238E27FC236}">
                <a16:creationId xmlns:a16="http://schemas.microsoft.com/office/drawing/2014/main" id="{00000000-0008-0000-0100-000020000000}"/>
              </a:ext>
            </a:extLst>
          </xdr:cNvPr>
          <xdr:cNvSpPr>
            <a:spLocks noChangeShapeType="1"/>
          </xdr:cNvSpPr>
        </xdr:nvSpPr>
        <xdr:spPr bwMode="auto">
          <a:xfrm>
            <a:off x="169"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88">
            <a:extLst>
              <a:ext uri="{FF2B5EF4-FFF2-40B4-BE49-F238E27FC236}">
                <a16:creationId xmlns:a16="http://schemas.microsoft.com/office/drawing/2014/main" id="{00000000-0008-0000-0100-000021000000}"/>
              </a:ext>
            </a:extLst>
          </xdr:cNvPr>
          <xdr:cNvSpPr>
            <a:spLocks noChangeShapeType="1"/>
          </xdr:cNvSpPr>
        </xdr:nvSpPr>
        <xdr:spPr bwMode="auto">
          <a:xfrm>
            <a:off x="133" y="889"/>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89">
            <a:extLst>
              <a:ext uri="{FF2B5EF4-FFF2-40B4-BE49-F238E27FC236}">
                <a16:creationId xmlns:a16="http://schemas.microsoft.com/office/drawing/2014/main" id="{00000000-0008-0000-0100-000022000000}"/>
              </a:ext>
            </a:extLst>
          </xdr:cNvPr>
          <xdr:cNvSpPr>
            <a:spLocks noChangeShapeType="1"/>
          </xdr:cNvSpPr>
        </xdr:nvSpPr>
        <xdr:spPr bwMode="auto">
          <a:xfrm>
            <a:off x="154" y="797"/>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90">
            <a:extLst>
              <a:ext uri="{FF2B5EF4-FFF2-40B4-BE49-F238E27FC236}">
                <a16:creationId xmlns:a16="http://schemas.microsoft.com/office/drawing/2014/main" id="{00000000-0008-0000-0100-000023000000}"/>
              </a:ext>
            </a:extLst>
          </xdr:cNvPr>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91">
            <a:extLst>
              <a:ext uri="{FF2B5EF4-FFF2-40B4-BE49-F238E27FC236}">
                <a16:creationId xmlns:a16="http://schemas.microsoft.com/office/drawing/2014/main" id="{00000000-0008-0000-0100-000024000000}"/>
              </a:ext>
            </a:extLst>
          </xdr:cNvPr>
          <xdr:cNvSpPr>
            <a:spLocks noChangeShapeType="1"/>
          </xdr:cNvSpPr>
        </xdr:nvSpPr>
        <xdr:spPr bwMode="auto">
          <a:xfrm flipH="1" flipV="1">
            <a:off x="154"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92">
            <a:extLst>
              <a:ext uri="{FF2B5EF4-FFF2-40B4-BE49-F238E27FC236}">
                <a16:creationId xmlns:a16="http://schemas.microsoft.com/office/drawing/2014/main" id="{00000000-0008-0000-0100-000025000000}"/>
              </a:ext>
            </a:extLst>
          </xdr:cNvPr>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93">
            <a:extLst>
              <a:ext uri="{FF2B5EF4-FFF2-40B4-BE49-F238E27FC236}">
                <a16:creationId xmlns:a16="http://schemas.microsoft.com/office/drawing/2014/main" id="{00000000-0008-0000-0100-000026000000}"/>
              </a:ext>
            </a:extLst>
          </xdr:cNvPr>
          <xdr:cNvSpPr>
            <a:spLocks noChangeShapeType="1"/>
          </xdr:cNvSpPr>
        </xdr:nvSpPr>
        <xdr:spPr bwMode="auto">
          <a:xfrm flipV="1">
            <a:off x="167"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94">
            <a:extLst>
              <a:ext uri="{FF2B5EF4-FFF2-40B4-BE49-F238E27FC236}">
                <a16:creationId xmlns:a16="http://schemas.microsoft.com/office/drawing/2014/main" id="{00000000-0008-0000-0100-000027000000}"/>
              </a:ext>
            </a:extLst>
          </xdr:cNvPr>
          <xdr:cNvSpPr>
            <a:spLocks noChangeShapeType="1"/>
          </xdr:cNvSpPr>
        </xdr:nvSpPr>
        <xdr:spPr bwMode="auto">
          <a:xfrm>
            <a:off x="167"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180975</xdr:colOff>
      <xdr:row>29</xdr:row>
      <xdr:rowOff>76200</xdr:rowOff>
    </xdr:from>
    <xdr:to>
      <xdr:col>3</xdr:col>
      <xdr:colOff>447675</xdr:colOff>
      <xdr:row>29</xdr:row>
      <xdr:rowOff>200025</xdr:rowOff>
    </xdr:to>
    <xdr:sp macro="" textlink="">
      <xdr:nvSpPr>
        <xdr:cNvPr id="40" name="Depth">
          <a:extLst>
            <a:ext uri="{FF2B5EF4-FFF2-40B4-BE49-F238E27FC236}">
              <a16:creationId xmlns:a16="http://schemas.microsoft.com/office/drawing/2014/main" id="{00000000-0008-0000-0100-000028000000}"/>
            </a:ext>
          </a:extLst>
        </xdr:cNvPr>
        <xdr:cNvSpPr txBox="1">
          <a:spLocks noChangeArrowheads="1"/>
        </xdr:cNvSpPr>
      </xdr:nvSpPr>
      <xdr:spPr bwMode="auto">
        <a:xfrm>
          <a:off x="1914525" y="6772275"/>
          <a:ext cx="2667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53.0</a:t>
          </a:r>
        </a:p>
      </xdr:txBody>
    </xdr:sp>
    <xdr:clientData/>
  </xdr:twoCellAnchor>
  <xdr:twoCellAnchor>
    <xdr:from>
      <xdr:col>1</xdr:col>
      <xdr:colOff>114300</xdr:colOff>
      <xdr:row>30</xdr:row>
      <xdr:rowOff>219075</xdr:rowOff>
    </xdr:from>
    <xdr:to>
      <xdr:col>2</xdr:col>
      <xdr:colOff>95250</xdr:colOff>
      <xdr:row>31</xdr:row>
      <xdr:rowOff>95250</xdr:rowOff>
    </xdr:to>
    <xdr:sp macro="" textlink="">
      <xdr:nvSpPr>
        <xdr:cNvPr id="41" name="Tip">
          <a:extLst>
            <a:ext uri="{FF2B5EF4-FFF2-40B4-BE49-F238E27FC236}">
              <a16:creationId xmlns:a16="http://schemas.microsoft.com/office/drawing/2014/main" id="{00000000-0008-0000-0100-000029000000}"/>
            </a:ext>
          </a:extLst>
        </xdr:cNvPr>
        <xdr:cNvSpPr txBox="1">
          <a:spLocks noChangeArrowheads="1"/>
        </xdr:cNvSpPr>
      </xdr:nvSpPr>
      <xdr:spPr bwMode="auto">
        <a:xfrm>
          <a:off x="923925" y="7143750"/>
          <a:ext cx="39052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2.83</a:t>
          </a:r>
        </a:p>
      </xdr:txBody>
    </xdr:sp>
    <xdr:clientData/>
  </xdr:twoCellAnchor>
  <xdr:twoCellAnchor>
    <xdr:from>
      <xdr:col>2</xdr:col>
      <xdr:colOff>238125</xdr:colOff>
      <xdr:row>26</xdr:row>
      <xdr:rowOff>190500</xdr:rowOff>
    </xdr:from>
    <xdr:to>
      <xdr:col>3</xdr:col>
      <xdr:colOff>28575</xdr:colOff>
      <xdr:row>27</xdr:row>
      <xdr:rowOff>57150</xdr:rowOff>
    </xdr:to>
    <xdr:sp macro="" textlink="">
      <xdr:nvSpPr>
        <xdr:cNvPr id="42" name="Width">
          <a:extLst>
            <a:ext uri="{FF2B5EF4-FFF2-40B4-BE49-F238E27FC236}">
              <a16:creationId xmlns:a16="http://schemas.microsoft.com/office/drawing/2014/main" id="{00000000-0008-0000-0100-00002A000000}"/>
            </a:ext>
          </a:extLst>
        </xdr:cNvPr>
        <xdr:cNvSpPr txBox="1">
          <a:spLocks noChangeArrowheads="1"/>
        </xdr:cNvSpPr>
      </xdr:nvSpPr>
      <xdr:spPr bwMode="auto">
        <a:xfrm>
          <a:off x="1457325" y="6200775"/>
          <a:ext cx="30480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13.0</a:t>
          </a:r>
        </a:p>
      </xdr:txBody>
    </xdr:sp>
    <xdr:clientData/>
  </xdr:twoCellAnchor>
  <xdr:twoCellAnchor>
    <xdr:from>
      <xdr:col>2</xdr:col>
      <xdr:colOff>0</xdr:colOff>
      <xdr:row>27</xdr:row>
      <xdr:rowOff>47625</xdr:rowOff>
    </xdr:from>
    <xdr:to>
      <xdr:col>3</xdr:col>
      <xdr:colOff>428625</xdr:colOff>
      <xdr:row>31</xdr:row>
      <xdr:rowOff>209550</xdr:rowOff>
    </xdr:to>
    <xdr:grpSp>
      <xdr:nvGrpSpPr>
        <xdr:cNvPr id="43" name="Group 209">
          <a:extLst>
            <a:ext uri="{FF2B5EF4-FFF2-40B4-BE49-F238E27FC236}">
              <a16:creationId xmlns:a16="http://schemas.microsoft.com/office/drawing/2014/main" id="{00000000-0008-0000-0100-00002B000000}"/>
            </a:ext>
          </a:extLst>
        </xdr:cNvPr>
        <xdr:cNvGrpSpPr>
          <a:grpSpLocks/>
        </xdr:cNvGrpSpPr>
      </xdr:nvGrpSpPr>
      <xdr:grpSpPr bwMode="auto">
        <a:xfrm>
          <a:off x="1219200" y="6286500"/>
          <a:ext cx="942975" cy="1076325"/>
          <a:chOff x="128" y="636"/>
          <a:chExt cx="99" cy="113"/>
        </a:xfrm>
      </xdr:grpSpPr>
      <xdr:sp macro="" textlink="">
        <xdr:nvSpPr>
          <xdr:cNvPr id="44" name="Line 162">
            <a:extLst>
              <a:ext uri="{FF2B5EF4-FFF2-40B4-BE49-F238E27FC236}">
                <a16:creationId xmlns:a16="http://schemas.microsoft.com/office/drawing/2014/main" id="{00000000-0008-0000-0100-00002C000000}"/>
              </a:ext>
            </a:extLst>
          </xdr:cNvPr>
          <xdr:cNvSpPr>
            <a:spLocks noChangeShapeType="1"/>
          </xdr:cNvSpPr>
        </xdr:nvSpPr>
        <xdr:spPr bwMode="auto">
          <a:xfrm flipH="1">
            <a:off x="192" y="650"/>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163">
            <a:extLst>
              <a:ext uri="{FF2B5EF4-FFF2-40B4-BE49-F238E27FC236}">
                <a16:creationId xmlns:a16="http://schemas.microsoft.com/office/drawing/2014/main" id="{00000000-0008-0000-0100-00002D000000}"/>
              </a:ext>
            </a:extLst>
          </xdr:cNvPr>
          <xdr:cNvSpPr>
            <a:spLocks noChangeShapeType="1"/>
          </xdr:cNvSpPr>
        </xdr:nvSpPr>
        <xdr:spPr bwMode="auto">
          <a:xfrm flipH="1">
            <a:off x="144" y="651"/>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164">
            <a:extLst>
              <a:ext uri="{FF2B5EF4-FFF2-40B4-BE49-F238E27FC236}">
                <a16:creationId xmlns:a16="http://schemas.microsoft.com/office/drawing/2014/main" id="{00000000-0008-0000-0100-00002E000000}"/>
              </a:ext>
            </a:extLst>
          </xdr:cNvPr>
          <xdr:cNvSpPr>
            <a:spLocks noChangeShapeType="1"/>
          </xdr:cNvSpPr>
        </xdr:nvSpPr>
        <xdr:spPr bwMode="auto">
          <a:xfrm>
            <a:off x="193" y="650"/>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65">
            <a:extLst>
              <a:ext uri="{FF2B5EF4-FFF2-40B4-BE49-F238E27FC236}">
                <a16:creationId xmlns:a16="http://schemas.microsoft.com/office/drawing/2014/main" id="{00000000-0008-0000-0100-00002F000000}"/>
              </a:ext>
            </a:extLst>
          </xdr:cNvPr>
          <xdr:cNvSpPr>
            <a:spLocks noChangeShapeType="1"/>
          </xdr:cNvSpPr>
        </xdr:nvSpPr>
        <xdr:spPr bwMode="auto">
          <a:xfrm>
            <a:off x="146"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66">
            <a:extLst>
              <a:ext uri="{FF2B5EF4-FFF2-40B4-BE49-F238E27FC236}">
                <a16:creationId xmlns:a16="http://schemas.microsoft.com/office/drawing/2014/main" id="{00000000-0008-0000-0100-000030000000}"/>
              </a:ext>
            </a:extLst>
          </xdr:cNvPr>
          <xdr:cNvSpPr>
            <a:spLocks noChangeShapeType="1"/>
          </xdr:cNvSpPr>
        </xdr:nvSpPr>
        <xdr:spPr bwMode="auto">
          <a:xfrm>
            <a:off x="140" y="723"/>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67">
            <a:extLst>
              <a:ext uri="{FF2B5EF4-FFF2-40B4-BE49-F238E27FC236}">
                <a16:creationId xmlns:a16="http://schemas.microsoft.com/office/drawing/2014/main" id="{00000000-0008-0000-0100-000031000000}"/>
              </a:ext>
            </a:extLst>
          </xdr:cNvPr>
          <xdr:cNvSpPr>
            <a:spLocks noChangeShapeType="1"/>
          </xdr:cNvSpPr>
        </xdr:nvSpPr>
        <xdr:spPr bwMode="auto">
          <a:xfrm flipH="1">
            <a:off x="200" y="728"/>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68">
            <a:extLst>
              <a:ext uri="{FF2B5EF4-FFF2-40B4-BE49-F238E27FC236}">
                <a16:creationId xmlns:a16="http://schemas.microsoft.com/office/drawing/2014/main" id="{00000000-0008-0000-0100-000032000000}"/>
              </a:ext>
            </a:extLst>
          </xdr:cNvPr>
          <xdr:cNvSpPr>
            <a:spLocks noChangeShapeType="1"/>
          </xdr:cNvSpPr>
        </xdr:nvSpPr>
        <xdr:spPr bwMode="auto">
          <a:xfrm>
            <a:off x="140"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169">
            <a:extLst>
              <a:ext uri="{FF2B5EF4-FFF2-40B4-BE49-F238E27FC236}">
                <a16:creationId xmlns:a16="http://schemas.microsoft.com/office/drawing/2014/main" id="{00000000-0008-0000-0100-000033000000}"/>
              </a:ext>
            </a:extLst>
          </xdr:cNvPr>
          <xdr:cNvSpPr>
            <a:spLocks noChangeShapeType="1"/>
          </xdr:cNvSpPr>
        </xdr:nvSpPr>
        <xdr:spPr bwMode="auto">
          <a:xfrm>
            <a:off x="192" y="72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170">
            <a:extLst>
              <a:ext uri="{FF2B5EF4-FFF2-40B4-BE49-F238E27FC236}">
                <a16:creationId xmlns:a16="http://schemas.microsoft.com/office/drawing/2014/main" id="{00000000-0008-0000-0100-000034000000}"/>
              </a:ext>
            </a:extLst>
          </xdr:cNvPr>
          <xdr:cNvSpPr>
            <a:spLocks noChangeShapeType="1"/>
          </xdr:cNvSpPr>
        </xdr:nvSpPr>
        <xdr:spPr bwMode="auto">
          <a:xfrm>
            <a:off x="147" y="730"/>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171">
            <a:extLst>
              <a:ext uri="{FF2B5EF4-FFF2-40B4-BE49-F238E27FC236}">
                <a16:creationId xmlns:a16="http://schemas.microsoft.com/office/drawing/2014/main" id="{00000000-0008-0000-0100-000035000000}"/>
              </a:ext>
            </a:extLst>
          </xdr:cNvPr>
          <xdr:cNvSpPr>
            <a:spLocks noChangeShapeType="1"/>
          </xdr:cNvSpPr>
        </xdr:nvSpPr>
        <xdr:spPr bwMode="auto">
          <a:xfrm>
            <a:off x="192" y="738"/>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172">
            <a:extLst>
              <a:ext uri="{FF2B5EF4-FFF2-40B4-BE49-F238E27FC236}">
                <a16:creationId xmlns:a16="http://schemas.microsoft.com/office/drawing/2014/main" id="{00000000-0008-0000-0100-000036000000}"/>
              </a:ext>
            </a:extLst>
          </xdr:cNvPr>
          <xdr:cNvSpPr>
            <a:spLocks noChangeShapeType="1"/>
          </xdr:cNvSpPr>
        </xdr:nvSpPr>
        <xdr:spPr bwMode="auto">
          <a:xfrm flipH="1">
            <a:off x="131" y="738"/>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173">
            <a:extLst>
              <a:ext uri="{FF2B5EF4-FFF2-40B4-BE49-F238E27FC236}">
                <a16:creationId xmlns:a16="http://schemas.microsoft.com/office/drawing/2014/main" id="{00000000-0008-0000-0100-000037000000}"/>
              </a:ext>
            </a:extLst>
          </xdr:cNvPr>
          <xdr:cNvSpPr>
            <a:spLocks noChangeShapeType="1"/>
          </xdr:cNvSpPr>
        </xdr:nvSpPr>
        <xdr:spPr bwMode="auto">
          <a:xfrm>
            <a:off x="200" y="652"/>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174">
            <a:extLst>
              <a:ext uri="{FF2B5EF4-FFF2-40B4-BE49-F238E27FC236}">
                <a16:creationId xmlns:a16="http://schemas.microsoft.com/office/drawing/2014/main" id="{00000000-0008-0000-0100-000038000000}"/>
              </a:ext>
            </a:extLst>
          </xdr:cNvPr>
          <xdr:cNvSpPr>
            <a:spLocks noChangeShapeType="1"/>
          </xdr:cNvSpPr>
        </xdr:nvSpPr>
        <xdr:spPr bwMode="auto">
          <a:xfrm flipV="1">
            <a:off x="210" y="653"/>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7" name="Line 175">
            <a:extLst>
              <a:ext uri="{FF2B5EF4-FFF2-40B4-BE49-F238E27FC236}">
                <a16:creationId xmlns:a16="http://schemas.microsoft.com/office/drawing/2014/main" id="{00000000-0008-0000-0100-000039000000}"/>
              </a:ext>
            </a:extLst>
          </xdr:cNvPr>
          <xdr:cNvSpPr>
            <a:spLocks noChangeShapeType="1"/>
          </xdr:cNvSpPr>
        </xdr:nvSpPr>
        <xdr:spPr bwMode="auto">
          <a:xfrm>
            <a:off x="210" y="707"/>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8" name="Line 176">
            <a:extLst>
              <a:ext uri="{FF2B5EF4-FFF2-40B4-BE49-F238E27FC236}">
                <a16:creationId xmlns:a16="http://schemas.microsoft.com/office/drawing/2014/main" id="{00000000-0008-0000-0100-00003A000000}"/>
              </a:ext>
            </a:extLst>
          </xdr:cNvPr>
          <xdr:cNvSpPr>
            <a:spLocks noChangeShapeType="1"/>
          </xdr:cNvSpPr>
        </xdr:nvSpPr>
        <xdr:spPr bwMode="auto">
          <a:xfrm flipV="1">
            <a:off x="134" y="739"/>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59" name="Line 177">
            <a:extLst>
              <a:ext uri="{FF2B5EF4-FFF2-40B4-BE49-F238E27FC236}">
                <a16:creationId xmlns:a16="http://schemas.microsoft.com/office/drawing/2014/main" id="{00000000-0008-0000-0100-00003B000000}"/>
              </a:ext>
            </a:extLst>
          </xdr:cNvPr>
          <xdr:cNvSpPr>
            <a:spLocks noChangeShapeType="1"/>
          </xdr:cNvSpPr>
        </xdr:nvSpPr>
        <xdr:spPr bwMode="auto">
          <a:xfrm>
            <a:off x="132" y="713"/>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0" name="Line 178">
            <a:extLst>
              <a:ext uri="{FF2B5EF4-FFF2-40B4-BE49-F238E27FC236}">
                <a16:creationId xmlns:a16="http://schemas.microsoft.com/office/drawing/2014/main" id="{00000000-0008-0000-0100-00003C000000}"/>
              </a:ext>
            </a:extLst>
          </xdr:cNvPr>
          <xdr:cNvSpPr>
            <a:spLocks noChangeShapeType="1"/>
          </xdr:cNvSpPr>
        </xdr:nvSpPr>
        <xdr:spPr bwMode="auto">
          <a:xfrm>
            <a:off x="128" y="723"/>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179">
            <a:extLst>
              <a:ext uri="{FF2B5EF4-FFF2-40B4-BE49-F238E27FC236}">
                <a16:creationId xmlns:a16="http://schemas.microsoft.com/office/drawing/2014/main" id="{00000000-0008-0000-0100-00003D000000}"/>
              </a:ext>
            </a:extLst>
          </xdr:cNvPr>
          <xdr:cNvSpPr>
            <a:spLocks noChangeShapeType="1"/>
          </xdr:cNvSpPr>
        </xdr:nvSpPr>
        <xdr:spPr bwMode="auto">
          <a:xfrm flipV="1">
            <a:off x="193" y="636"/>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180">
            <a:extLst>
              <a:ext uri="{FF2B5EF4-FFF2-40B4-BE49-F238E27FC236}">
                <a16:creationId xmlns:a16="http://schemas.microsoft.com/office/drawing/2014/main" id="{00000000-0008-0000-0100-00003E000000}"/>
              </a:ext>
            </a:extLst>
          </xdr:cNvPr>
          <xdr:cNvSpPr>
            <a:spLocks noChangeShapeType="1"/>
          </xdr:cNvSpPr>
        </xdr:nvSpPr>
        <xdr:spPr bwMode="auto">
          <a:xfrm flipV="1">
            <a:off x="145" y="637"/>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181">
            <a:extLst>
              <a:ext uri="{FF2B5EF4-FFF2-40B4-BE49-F238E27FC236}">
                <a16:creationId xmlns:a16="http://schemas.microsoft.com/office/drawing/2014/main" id="{00000000-0008-0000-0100-00003F000000}"/>
              </a:ext>
            </a:extLst>
          </xdr:cNvPr>
          <xdr:cNvSpPr>
            <a:spLocks noChangeShapeType="1"/>
          </xdr:cNvSpPr>
        </xdr:nvSpPr>
        <xdr:spPr bwMode="auto">
          <a:xfrm>
            <a:off x="154" y="642"/>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4" name="Line 182">
            <a:extLst>
              <a:ext uri="{FF2B5EF4-FFF2-40B4-BE49-F238E27FC236}">
                <a16:creationId xmlns:a16="http://schemas.microsoft.com/office/drawing/2014/main" id="{00000000-0008-0000-0100-000040000000}"/>
              </a:ext>
            </a:extLst>
          </xdr:cNvPr>
          <xdr:cNvSpPr>
            <a:spLocks noChangeShapeType="1"/>
          </xdr:cNvSpPr>
        </xdr:nvSpPr>
        <xdr:spPr bwMode="auto">
          <a:xfrm flipH="1">
            <a:off x="149" y="642"/>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5" name="Line 183">
            <a:extLst>
              <a:ext uri="{FF2B5EF4-FFF2-40B4-BE49-F238E27FC236}">
                <a16:creationId xmlns:a16="http://schemas.microsoft.com/office/drawing/2014/main" id="{00000000-0008-0000-0100-000041000000}"/>
              </a:ext>
            </a:extLst>
          </xdr:cNvPr>
          <xdr:cNvSpPr>
            <a:spLocks noChangeShapeType="1"/>
          </xdr:cNvSpPr>
        </xdr:nvSpPr>
        <xdr:spPr bwMode="auto">
          <a:xfrm>
            <a:off x="140" y="723"/>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184">
            <a:extLst>
              <a:ext uri="{FF2B5EF4-FFF2-40B4-BE49-F238E27FC236}">
                <a16:creationId xmlns:a16="http://schemas.microsoft.com/office/drawing/2014/main" id="{00000000-0008-0000-0100-000042000000}"/>
              </a:ext>
            </a:extLst>
          </xdr:cNvPr>
          <xdr:cNvSpPr>
            <a:spLocks noChangeShapeType="1"/>
          </xdr:cNvSpPr>
        </xdr:nvSpPr>
        <xdr:spPr bwMode="auto">
          <a:xfrm>
            <a:off x="192"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185">
            <a:extLst>
              <a:ext uri="{FF2B5EF4-FFF2-40B4-BE49-F238E27FC236}">
                <a16:creationId xmlns:a16="http://schemas.microsoft.com/office/drawing/2014/main" id="{00000000-0008-0000-0100-000043000000}"/>
              </a:ext>
            </a:extLst>
          </xdr:cNvPr>
          <xdr:cNvSpPr>
            <a:spLocks noChangeShapeType="1"/>
          </xdr:cNvSpPr>
        </xdr:nvSpPr>
        <xdr:spPr bwMode="auto">
          <a:xfrm flipV="1">
            <a:off x="200" y="721"/>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186">
            <a:extLst>
              <a:ext uri="{FF2B5EF4-FFF2-40B4-BE49-F238E27FC236}">
                <a16:creationId xmlns:a16="http://schemas.microsoft.com/office/drawing/2014/main" id="{00000000-0008-0000-0100-000044000000}"/>
              </a:ext>
            </a:extLst>
          </xdr:cNvPr>
          <xdr:cNvSpPr>
            <a:spLocks noChangeShapeType="1"/>
          </xdr:cNvSpPr>
        </xdr:nvSpPr>
        <xdr:spPr bwMode="auto">
          <a:xfrm>
            <a:off x="193" y="722"/>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179294</xdr:colOff>
      <xdr:row>42</xdr:row>
      <xdr:rowOff>66114</xdr:rowOff>
    </xdr:from>
    <xdr:to>
      <xdr:col>3</xdr:col>
      <xdr:colOff>503144</xdr:colOff>
      <xdr:row>42</xdr:row>
      <xdr:rowOff>191060</xdr:rowOff>
    </xdr:to>
    <xdr:sp macro="" textlink="">
      <xdr:nvSpPr>
        <xdr:cNvPr id="69" name="Radius">
          <a:extLst>
            <a:ext uri="{FF2B5EF4-FFF2-40B4-BE49-F238E27FC236}">
              <a16:creationId xmlns:a16="http://schemas.microsoft.com/office/drawing/2014/main" id="{00000000-0008-0000-0100-000045000000}"/>
            </a:ext>
          </a:extLst>
        </xdr:cNvPr>
        <xdr:cNvSpPr txBox="1">
          <a:spLocks noChangeArrowheads="1"/>
        </xdr:cNvSpPr>
      </xdr:nvSpPr>
      <xdr:spPr bwMode="auto">
        <a:xfrm>
          <a:off x="1912844" y="9733989"/>
          <a:ext cx="323850" cy="124946"/>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308.4</a:t>
          </a:r>
        </a:p>
      </xdr:txBody>
    </xdr:sp>
    <xdr:clientData/>
  </xdr:twoCellAnchor>
  <xdr:twoCellAnchor>
    <xdr:from>
      <xdr:col>3</xdr:col>
      <xdr:colOff>333376</xdr:colOff>
      <xdr:row>40</xdr:row>
      <xdr:rowOff>64247</xdr:rowOff>
    </xdr:from>
    <xdr:to>
      <xdr:col>3</xdr:col>
      <xdr:colOff>598955</xdr:colOff>
      <xdr:row>40</xdr:row>
      <xdr:rowOff>158376</xdr:rowOff>
    </xdr:to>
    <xdr:sp macro="" textlink="">
      <xdr:nvSpPr>
        <xdr:cNvPr id="70" name="Height">
          <a:extLst>
            <a:ext uri="{FF2B5EF4-FFF2-40B4-BE49-F238E27FC236}">
              <a16:creationId xmlns:a16="http://schemas.microsoft.com/office/drawing/2014/main" id="{00000000-0008-0000-0100-000046000000}"/>
            </a:ext>
          </a:extLst>
        </xdr:cNvPr>
        <xdr:cNvSpPr txBox="1">
          <a:spLocks noChangeArrowheads="1"/>
        </xdr:cNvSpPr>
      </xdr:nvSpPr>
      <xdr:spPr bwMode="auto">
        <a:xfrm>
          <a:off x="2066926" y="9274922"/>
          <a:ext cx="265579" cy="94129"/>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43.0</a:t>
          </a:r>
        </a:p>
      </xdr:txBody>
    </xdr:sp>
    <xdr:clientData/>
  </xdr:twoCellAnchor>
  <xdr:twoCellAnchor>
    <xdr:from>
      <xdr:col>2</xdr:col>
      <xdr:colOff>130548</xdr:colOff>
      <xdr:row>41</xdr:row>
      <xdr:rowOff>52107</xdr:rowOff>
    </xdr:from>
    <xdr:to>
      <xdr:col>2</xdr:col>
      <xdr:colOff>387723</xdr:colOff>
      <xdr:row>41</xdr:row>
      <xdr:rowOff>166407</xdr:rowOff>
    </xdr:to>
    <xdr:sp macro="" textlink="">
      <xdr:nvSpPr>
        <xdr:cNvPr id="71" name="Clear">
          <a:extLst>
            <a:ext uri="{FF2B5EF4-FFF2-40B4-BE49-F238E27FC236}">
              <a16:creationId xmlns:a16="http://schemas.microsoft.com/office/drawing/2014/main" id="{00000000-0008-0000-0100-000047000000}"/>
            </a:ext>
          </a:extLst>
        </xdr:cNvPr>
        <xdr:cNvSpPr txBox="1">
          <a:spLocks noChangeArrowheads="1"/>
        </xdr:cNvSpPr>
      </xdr:nvSpPr>
      <xdr:spPr bwMode="auto">
        <a:xfrm>
          <a:off x="1349748" y="9491382"/>
          <a:ext cx="257175"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63.5</a:t>
          </a:r>
        </a:p>
      </xdr:txBody>
    </xdr:sp>
    <xdr:clientData/>
  </xdr:twoCellAnchor>
  <xdr:twoCellAnchor>
    <xdr:from>
      <xdr:col>2</xdr:col>
      <xdr:colOff>418353</xdr:colOff>
      <xdr:row>41</xdr:row>
      <xdr:rowOff>169582</xdr:rowOff>
    </xdr:from>
    <xdr:to>
      <xdr:col>3</xdr:col>
      <xdr:colOff>190874</xdr:colOff>
      <xdr:row>42</xdr:row>
      <xdr:rowOff>45757</xdr:rowOff>
    </xdr:to>
    <xdr:sp macro="" textlink="">
      <xdr:nvSpPr>
        <xdr:cNvPr id="72" name="Thickness">
          <a:extLst>
            <a:ext uri="{FF2B5EF4-FFF2-40B4-BE49-F238E27FC236}">
              <a16:creationId xmlns:a16="http://schemas.microsoft.com/office/drawing/2014/main" id="{00000000-0008-0000-0100-000048000000}"/>
            </a:ext>
          </a:extLst>
        </xdr:cNvPr>
        <xdr:cNvSpPr txBox="1">
          <a:spLocks noChangeArrowheads="1"/>
        </xdr:cNvSpPr>
      </xdr:nvSpPr>
      <xdr:spPr bwMode="auto">
        <a:xfrm>
          <a:off x="1637553" y="9608857"/>
          <a:ext cx="286871"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46.0</a:t>
          </a:r>
        </a:p>
      </xdr:txBody>
    </xdr:sp>
    <xdr:clientData/>
  </xdr:twoCellAnchor>
  <xdr:twoCellAnchor>
    <xdr:from>
      <xdr:col>12</xdr:col>
      <xdr:colOff>9525</xdr:colOff>
      <xdr:row>31</xdr:row>
      <xdr:rowOff>0</xdr:rowOff>
    </xdr:from>
    <xdr:to>
      <xdr:col>13</xdr:col>
      <xdr:colOff>400050</xdr:colOff>
      <xdr:row>34</xdr:row>
      <xdr:rowOff>66675</xdr:rowOff>
    </xdr:to>
    <xdr:grpSp>
      <xdr:nvGrpSpPr>
        <xdr:cNvPr id="73" name="Group 191">
          <a:extLst>
            <a:ext uri="{FF2B5EF4-FFF2-40B4-BE49-F238E27FC236}">
              <a16:creationId xmlns:a16="http://schemas.microsoft.com/office/drawing/2014/main" id="{00000000-0008-0000-0100-000049000000}"/>
            </a:ext>
          </a:extLst>
        </xdr:cNvPr>
        <xdr:cNvGrpSpPr>
          <a:grpSpLocks/>
        </xdr:cNvGrpSpPr>
      </xdr:nvGrpSpPr>
      <xdr:grpSpPr bwMode="auto">
        <a:xfrm>
          <a:off x="8134350" y="7153275"/>
          <a:ext cx="1000125" cy="752475"/>
          <a:chOff x="92" y="938"/>
          <a:chExt cx="121" cy="79"/>
        </a:xfrm>
      </xdr:grpSpPr>
      <xdr:sp macro="" textlink="">
        <xdr:nvSpPr>
          <xdr:cNvPr id="74" name="Line 192">
            <a:extLst>
              <a:ext uri="{FF2B5EF4-FFF2-40B4-BE49-F238E27FC236}">
                <a16:creationId xmlns:a16="http://schemas.microsoft.com/office/drawing/2014/main" id="{00000000-0008-0000-0100-00004A000000}"/>
              </a:ext>
            </a:extLst>
          </xdr:cNvPr>
          <xdr:cNvSpPr>
            <a:spLocks noChangeShapeType="1"/>
          </xdr:cNvSpPr>
        </xdr:nvSpPr>
        <xdr:spPr bwMode="auto">
          <a:xfrm flipH="1">
            <a:off x="189" y="965"/>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193">
            <a:extLst>
              <a:ext uri="{FF2B5EF4-FFF2-40B4-BE49-F238E27FC236}">
                <a16:creationId xmlns:a16="http://schemas.microsoft.com/office/drawing/2014/main" id="{00000000-0008-0000-0100-00004B000000}"/>
              </a:ext>
            </a:extLst>
          </xdr:cNvPr>
          <xdr:cNvSpPr>
            <a:spLocks noChangeShapeType="1"/>
          </xdr:cNvSpPr>
        </xdr:nvSpPr>
        <xdr:spPr bwMode="auto">
          <a:xfrm flipV="1">
            <a:off x="154" y="986"/>
            <a:ext cx="0" cy="1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Line 194">
            <a:extLst>
              <a:ext uri="{FF2B5EF4-FFF2-40B4-BE49-F238E27FC236}">
                <a16:creationId xmlns:a16="http://schemas.microsoft.com/office/drawing/2014/main" id="{00000000-0008-0000-0100-00004C000000}"/>
              </a:ext>
            </a:extLst>
          </xdr:cNvPr>
          <xdr:cNvSpPr>
            <a:spLocks noChangeShapeType="1"/>
          </xdr:cNvSpPr>
        </xdr:nvSpPr>
        <xdr:spPr bwMode="auto">
          <a:xfrm flipV="1">
            <a:off x="186" y="987"/>
            <a:ext cx="0" cy="1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195">
            <a:extLst>
              <a:ext uri="{FF2B5EF4-FFF2-40B4-BE49-F238E27FC236}">
                <a16:creationId xmlns:a16="http://schemas.microsoft.com/office/drawing/2014/main" id="{00000000-0008-0000-0100-00004D000000}"/>
              </a:ext>
            </a:extLst>
          </xdr:cNvPr>
          <xdr:cNvSpPr>
            <a:spLocks noChangeShapeType="1"/>
          </xdr:cNvSpPr>
        </xdr:nvSpPr>
        <xdr:spPr bwMode="auto">
          <a:xfrm flipV="1">
            <a:off x="155" y="991"/>
            <a:ext cx="30"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78" name="Line 196">
            <a:extLst>
              <a:ext uri="{FF2B5EF4-FFF2-40B4-BE49-F238E27FC236}">
                <a16:creationId xmlns:a16="http://schemas.microsoft.com/office/drawing/2014/main" id="{00000000-0008-0000-0100-00004E000000}"/>
              </a:ext>
            </a:extLst>
          </xdr:cNvPr>
          <xdr:cNvSpPr>
            <a:spLocks noChangeShapeType="1"/>
          </xdr:cNvSpPr>
        </xdr:nvSpPr>
        <xdr:spPr bwMode="auto">
          <a:xfrm flipV="1">
            <a:off x="200" y="965"/>
            <a:ext cx="0" cy="41"/>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9" name="Line 197">
            <a:extLst>
              <a:ext uri="{FF2B5EF4-FFF2-40B4-BE49-F238E27FC236}">
                <a16:creationId xmlns:a16="http://schemas.microsoft.com/office/drawing/2014/main" id="{00000000-0008-0000-0100-00004F000000}"/>
              </a:ext>
            </a:extLst>
          </xdr:cNvPr>
          <xdr:cNvSpPr>
            <a:spLocks noChangeShapeType="1"/>
          </xdr:cNvSpPr>
        </xdr:nvSpPr>
        <xdr:spPr bwMode="auto">
          <a:xfrm flipV="1">
            <a:off x="162" y="964"/>
            <a:ext cx="0" cy="2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80" name="Text 583">
            <a:extLst>
              <a:ext uri="{FF2B5EF4-FFF2-40B4-BE49-F238E27FC236}">
                <a16:creationId xmlns:a16="http://schemas.microsoft.com/office/drawing/2014/main" id="{00000000-0008-0000-0100-000050000000}"/>
              </a:ext>
            </a:extLst>
          </xdr:cNvPr>
          <xdr:cNvSpPr txBox="1">
            <a:spLocks noChangeArrowheads="1"/>
          </xdr:cNvSpPr>
        </xdr:nvSpPr>
        <xdr:spPr bwMode="auto">
          <a:xfrm>
            <a:off x="200" y="1007"/>
            <a:ext cx="13" cy="10"/>
          </a:xfrm>
          <a:prstGeom prst="rect">
            <a:avLst/>
          </a:prstGeom>
          <a:solidFill>
            <a:srgbClr val="FFFFFF"/>
          </a:solidFill>
          <a:ln w="1">
            <a:noFill/>
            <a:miter lim="800000"/>
            <a:headEnd/>
            <a:tailEnd/>
          </a:ln>
        </xdr:spPr>
        <xdr:txBody>
          <a:bodyPr vertOverflow="clip" wrap="square" lIns="36576" tIns="18288" rIns="0" bIns="0" anchor="t" upright="1"/>
          <a:lstStyle/>
          <a:p>
            <a:pPr algn="l" rtl="0">
              <a:defRPr sz="1000"/>
            </a:pPr>
            <a:r>
              <a:rPr lang="en-US" sz="600" b="1" i="0" u="none" strike="noStrike" baseline="0">
                <a:solidFill>
                  <a:srgbClr val="000000"/>
                </a:solidFill>
                <a:latin typeface="WP Greek Century"/>
              </a:rPr>
              <a:t>M</a:t>
            </a:r>
          </a:p>
        </xdr:txBody>
      </xdr:sp>
      <xdr:grpSp>
        <xdr:nvGrpSpPr>
          <xdr:cNvPr id="81" name="Group 199">
            <a:extLst>
              <a:ext uri="{FF2B5EF4-FFF2-40B4-BE49-F238E27FC236}">
                <a16:creationId xmlns:a16="http://schemas.microsoft.com/office/drawing/2014/main" id="{00000000-0008-0000-0100-000051000000}"/>
              </a:ext>
            </a:extLst>
          </xdr:cNvPr>
          <xdr:cNvGrpSpPr>
            <a:grpSpLocks/>
          </xdr:cNvGrpSpPr>
        </xdr:nvGrpSpPr>
        <xdr:grpSpPr bwMode="auto">
          <a:xfrm>
            <a:off x="92" y="938"/>
            <a:ext cx="93" cy="77"/>
            <a:chOff x="13440000" y="15720000"/>
            <a:chExt cx="1901469" cy="1540000"/>
          </a:xfrm>
        </xdr:grpSpPr>
        <xdr:grpSp>
          <xdr:nvGrpSpPr>
            <xdr:cNvPr id="83" name="Group 200">
              <a:extLst>
                <a:ext uri="{FF2B5EF4-FFF2-40B4-BE49-F238E27FC236}">
                  <a16:creationId xmlns:a16="http://schemas.microsoft.com/office/drawing/2014/main" id="{00000000-0008-0000-0100-000053000000}"/>
                </a:ext>
              </a:extLst>
            </xdr:cNvPr>
            <xdr:cNvGrpSpPr>
              <a:grpSpLocks/>
            </xdr:cNvGrpSpPr>
          </xdr:nvGrpSpPr>
          <xdr:grpSpPr bwMode="auto">
            <a:xfrm>
              <a:off x="13440000" y="15720000"/>
              <a:ext cx="1901469" cy="1540000"/>
              <a:chOff x="13440000" y="15720000"/>
              <a:chExt cx="1901469" cy="1540000"/>
            </a:xfrm>
          </xdr:grpSpPr>
          <xdr:sp macro="" textlink="">
            <xdr:nvSpPr>
              <xdr:cNvPr id="85" name="Line 201">
                <a:extLst>
                  <a:ext uri="{FF2B5EF4-FFF2-40B4-BE49-F238E27FC236}">
                    <a16:creationId xmlns:a16="http://schemas.microsoft.com/office/drawing/2014/main" id="{00000000-0008-0000-0100-000055000000}"/>
                  </a:ext>
                </a:extLst>
              </xdr:cNvPr>
              <xdr:cNvSpPr>
                <a:spLocks noChangeShapeType="1"/>
              </xdr:cNvSpPr>
            </xdr:nvSpPr>
            <xdr:spPr bwMode="auto">
              <a:xfrm flipV="1">
                <a:off x="13440000" y="1572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202">
                <a:extLst>
                  <a:ext uri="{FF2B5EF4-FFF2-40B4-BE49-F238E27FC236}">
                    <a16:creationId xmlns:a16="http://schemas.microsoft.com/office/drawing/2014/main" id="{00000000-0008-0000-0100-000056000000}"/>
                  </a:ext>
                </a:extLst>
              </xdr:cNvPr>
              <xdr:cNvSpPr>
                <a:spLocks noChangeShapeType="1"/>
              </xdr:cNvSpPr>
            </xdr:nvSpPr>
            <xdr:spPr bwMode="auto">
              <a:xfrm>
                <a:off x="14060000" y="15720000"/>
                <a:ext cx="0" cy="1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203">
                <a:extLst>
                  <a:ext uri="{FF2B5EF4-FFF2-40B4-BE49-F238E27FC236}">
                    <a16:creationId xmlns:a16="http://schemas.microsoft.com/office/drawing/2014/main" id="{00000000-0008-0000-0100-000057000000}"/>
                  </a:ext>
                </a:extLst>
              </xdr:cNvPr>
              <xdr:cNvSpPr>
                <a:spLocks noChangeShapeType="1"/>
              </xdr:cNvSpPr>
            </xdr:nvSpPr>
            <xdr:spPr bwMode="auto">
              <a:xfrm>
                <a:off x="14060001" y="15819999"/>
                <a:ext cx="1281468" cy="314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204">
                <a:extLst>
                  <a:ext uri="{FF2B5EF4-FFF2-40B4-BE49-F238E27FC236}">
                    <a16:creationId xmlns:a16="http://schemas.microsoft.com/office/drawing/2014/main" id="{00000000-0008-0000-0100-000058000000}"/>
                  </a:ext>
                </a:extLst>
              </xdr:cNvPr>
              <xdr:cNvSpPr>
                <a:spLocks noChangeShapeType="1"/>
              </xdr:cNvSpPr>
            </xdr:nvSpPr>
            <xdr:spPr bwMode="auto">
              <a:xfrm flipH="1">
                <a:off x="15340000" y="15820000"/>
                <a:ext cx="0" cy="82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Line 205">
                <a:extLst>
                  <a:ext uri="{FF2B5EF4-FFF2-40B4-BE49-F238E27FC236}">
                    <a16:creationId xmlns:a16="http://schemas.microsoft.com/office/drawing/2014/main" id="{00000000-0008-0000-0100-000059000000}"/>
                  </a:ext>
                </a:extLst>
              </xdr:cNvPr>
              <xdr:cNvSpPr>
                <a:spLocks noChangeShapeType="1"/>
              </xdr:cNvSpPr>
            </xdr:nvSpPr>
            <xdr:spPr bwMode="auto">
              <a:xfrm flipV="1">
                <a:off x="14060000" y="16260000"/>
                <a:ext cx="126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206">
                <a:extLst>
                  <a:ext uri="{FF2B5EF4-FFF2-40B4-BE49-F238E27FC236}">
                    <a16:creationId xmlns:a16="http://schemas.microsoft.com/office/drawing/2014/main" id="{00000000-0008-0000-0100-00005A000000}"/>
                  </a:ext>
                </a:extLst>
              </xdr:cNvPr>
              <xdr:cNvSpPr>
                <a:spLocks noChangeShapeType="1"/>
              </xdr:cNvSpPr>
            </xdr:nvSpPr>
            <xdr:spPr bwMode="auto">
              <a:xfrm flipH="1">
                <a:off x="14700000" y="16280000"/>
                <a:ext cx="0" cy="36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84" name="Line 207">
              <a:extLst>
                <a:ext uri="{FF2B5EF4-FFF2-40B4-BE49-F238E27FC236}">
                  <a16:creationId xmlns:a16="http://schemas.microsoft.com/office/drawing/2014/main" id="{00000000-0008-0000-0100-000054000000}"/>
                </a:ext>
              </a:extLst>
            </xdr:cNvPr>
            <xdr:cNvSpPr>
              <a:spLocks noChangeShapeType="1"/>
            </xdr:cNvSpPr>
          </xdr:nvSpPr>
          <xdr:spPr bwMode="auto">
            <a:xfrm flipH="1" flipV="1">
              <a:off x="14720000" y="1664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82" name="Line 208">
            <a:extLst>
              <a:ext uri="{FF2B5EF4-FFF2-40B4-BE49-F238E27FC236}">
                <a16:creationId xmlns:a16="http://schemas.microsoft.com/office/drawing/2014/main" id="{00000000-0008-0000-0100-000052000000}"/>
              </a:ext>
            </a:extLst>
          </xdr:cNvPr>
          <xdr:cNvSpPr>
            <a:spLocks noChangeShapeType="1"/>
          </xdr:cNvSpPr>
        </xdr:nvSpPr>
        <xdr:spPr bwMode="auto">
          <a:xfrm flipV="1">
            <a:off x="124" y="975"/>
            <a:ext cx="29"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91" name="Rectangle 210">
          <a:extLst>
            <a:ext uri="{FF2B5EF4-FFF2-40B4-BE49-F238E27FC236}">
              <a16:creationId xmlns:a16="http://schemas.microsoft.com/office/drawing/2014/main" id="{00000000-0008-0000-0100-00005B000000}"/>
            </a:ext>
          </a:extLst>
        </xdr:cNvPr>
        <xdr:cNvSpPr>
          <a:spLocks noChangeArrowheads="1"/>
        </xdr:cNvSpPr>
      </xdr:nvSpPr>
      <xdr:spPr bwMode="auto">
        <a:xfrm>
          <a:off x="56102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92" name="Rectangle 211">
          <a:extLst>
            <a:ext uri="{FF2B5EF4-FFF2-40B4-BE49-F238E27FC236}">
              <a16:creationId xmlns:a16="http://schemas.microsoft.com/office/drawing/2014/main" id="{00000000-0008-0000-0100-00005C000000}"/>
            </a:ext>
          </a:extLst>
        </xdr:cNvPr>
        <xdr:cNvSpPr>
          <a:spLocks noChangeArrowheads="1"/>
        </xdr:cNvSpPr>
      </xdr:nvSpPr>
      <xdr:spPr bwMode="auto">
        <a:xfrm>
          <a:off x="54768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93" name="Rectangle 212">
          <a:extLst>
            <a:ext uri="{FF2B5EF4-FFF2-40B4-BE49-F238E27FC236}">
              <a16:creationId xmlns:a16="http://schemas.microsoft.com/office/drawing/2014/main" id="{00000000-0008-0000-0100-00005D000000}"/>
            </a:ext>
          </a:extLst>
        </xdr:cNvPr>
        <xdr:cNvSpPr>
          <a:spLocks noChangeArrowheads="1"/>
        </xdr:cNvSpPr>
      </xdr:nvSpPr>
      <xdr:spPr bwMode="auto">
        <a:xfrm>
          <a:off x="54864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94" name="Rectangle 213">
          <a:extLst>
            <a:ext uri="{FF2B5EF4-FFF2-40B4-BE49-F238E27FC236}">
              <a16:creationId xmlns:a16="http://schemas.microsoft.com/office/drawing/2014/main" id="{00000000-0008-0000-0100-00005E000000}"/>
            </a:ext>
          </a:extLst>
        </xdr:cNvPr>
        <xdr:cNvSpPr>
          <a:spLocks noChangeArrowheads="1"/>
        </xdr:cNvSpPr>
      </xdr:nvSpPr>
      <xdr:spPr bwMode="auto">
        <a:xfrm>
          <a:off x="54578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95" name="Rectangle 214">
          <a:extLst>
            <a:ext uri="{FF2B5EF4-FFF2-40B4-BE49-F238E27FC236}">
              <a16:creationId xmlns:a16="http://schemas.microsoft.com/office/drawing/2014/main" id="{00000000-0008-0000-0100-00005F000000}"/>
            </a:ext>
          </a:extLst>
        </xdr:cNvPr>
        <xdr:cNvSpPr>
          <a:spLocks noChangeArrowheads="1"/>
        </xdr:cNvSpPr>
      </xdr:nvSpPr>
      <xdr:spPr bwMode="auto">
        <a:xfrm>
          <a:off x="56007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238125</xdr:colOff>
      <xdr:row>39</xdr:row>
      <xdr:rowOff>104775</xdr:rowOff>
    </xdr:from>
    <xdr:to>
      <xdr:col>3</xdr:col>
      <xdr:colOff>428625</xdr:colOff>
      <xdr:row>42</xdr:row>
      <xdr:rowOff>152400</xdr:rowOff>
    </xdr:to>
    <xdr:grpSp>
      <xdr:nvGrpSpPr>
        <xdr:cNvPr id="96" name="Group 104">
          <a:extLst>
            <a:ext uri="{FF2B5EF4-FFF2-40B4-BE49-F238E27FC236}">
              <a16:creationId xmlns:a16="http://schemas.microsoft.com/office/drawing/2014/main" id="{00000000-0008-0000-0100-000060000000}"/>
            </a:ext>
          </a:extLst>
        </xdr:cNvPr>
        <xdr:cNvGrpSpPr>
          <a:grpSpLocks/>
        </xdr:cNvGrpSpPr>
      </xdr:nvGrpSpPr>
      <xdr:grpSpPr bwMode="auto">
        <a:xfrm>
          <a:off x="1047750" y="9086850"/>
          <a:ext cx="1114425" cy="733425"/>
          <a:chOff x="921807" y="9129183"/>
          <a:chExt cx="1110192" cy="729192"/>
        </a:xfrm>
      </xdr:grpSpPr>
      <xdr:grpSp>
        <xdr:nvGrpSpPr>
          <xdr:cNvPr id="97" name="Group 112">
            <a:extLst>
              <a:ext uri="{FF2B5EF4-FFF2-40B4-BE49-F238E27FC236}">
                <a16:creationId xmlns:a16="http://schemas.microsoft.com/office/drawing/2014/main" id="{00000000-0008-0000-0100-000061000000}"/>
              </a:ext>
            </a:extLst>
          </xdr:cNvPr>
          <xdr:cNvGrpSpPr>
            <a:grpSpLocks/>
          </xdr:cNvGrpSpPr>
        </xdr:nvGrpSpPr>
        <xdr:grpSpPr bwMode="auto">
          <a:xfrm>
            <a:off x="921807" y="9129183"/>
            <a:ext cx="887941" cy="729192"/>
            <a:chOff x="13440000" y="15720000"/>
            <a:chExt cx="1904539" cy="1540000"/>
          </a:xfrm>
        </xdr:grpSpPr>
        <xdr:grpSp>
          <xdr:nvGrpSpPr>
            <xdr:cNvPr id="108" name="Group 113">
              <a:extLst>
                <a:ext uri="{FF2B5EF4-FFF2-40B4-BE49-F238E27FC236}">
                  <a16:creationId xmlns:a16="http://schemas.microsoft.com/office/drawing/2014/main" id="{00000000-0008-0000-0100-00006C000000}"/>
                </a:ext>
              </a:extLst>
            </xdr:cNvPr>
            <xdr:cNvGrpSpPr>
              <a:grpSpLocks/>
            </xdr:cNvGrpSpPr>
          </xdr:nvGrpSpPr>
          <xdr:grpSpPr bwMode="auto">
            <a:xfrm>
              <a:off x="13440000" y="15720000"/>
              <a:ext cx="1904539" cy="1540000"/>
              <a:chOff x="13440000" y="15720000"/>
              <a:chExt cx="1904539" cy="1540000"/>
            </a:xfrm>
          </xdr:grpSpPr>
          <xdr:sp macro="" textlink="">
            <xdr:nvSpPr>
              <xdr:cNvPr id="110" name="Line 114">
                <a:extLst>
                  <a:ext uri="{FF2B5EF4-FFF2-40B4-BE49-F238E27FC236}">
                    <a16:creationId xmlns:a16="http://schemas.microsoft.com/office/drawing/2014/main" id="{00000000-0008-0000-0100-00006E000000}"/>
                  </a:ext>
                </a:extLst>
              </xdr:cNvPr>
              <xdr:cNvSpPr>
                <a:spLocks noChangeShapeType="1"/>
              </xdr:cNvSpPr>
            </xdr:nvSpPr>
            <xdr:spPr bwMode="auto">
              <a:xfrm flipV="1">
                <a:off x="13440000" y="1572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115">
                <a:extLst>
                  <a:ext uri="{FF2B5EF4-FFF2-40B4-BE49-F238E27FC236}">
                    <a16:creationId xmlns:a16="http://schemas.microsoft.com/office/drawing/2014/main" id="{00000000-0008-0000-0100-00006F000000}"/>
                  </a:ext>
                </a:extLst>
              </xdr:cNvPr>
              <xdr:cNvSpPr>
                <a:spLocks noChangeShapeType="1"/>
              </xdr:cNvSpPr>
            </xdr:nvSpPr>
            <xdr:spPr bwMode="auto">
              <a:xfrm>
                <a:off x="14060000" y="15720000"/>
                <a:ext cx="0" cy="1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116">
                <a:extLst>
                  <a:ext uri="{FF2B5EF4-FFF2-40B4-BE49-F238E27FC236}">
                    <a16:creationId xmlns:a16="http://schemas.microsoft.com/office/drawing/2014/main" id="{00000000-0008-0000-0100-000070000000}"/>
                  </a:ext>
                </a:extLst>
              </xdr:cNvPr>
              <xdr:cNvSpPr>
                <a:spLocks noChangeShapeType="1"/>
              </xdr:cNvSpPr>
            </xdr:nvSpPr>
            <xdr:spPr bwMode="auto">
              <a:xfrm flipV="1">
                <a:off x="14059999" y="15818346"/>
                <a:ext cx="1284540" cy="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117">
                <a:extLst>
                  <a:ext uri="{FF2B5EF4-FFF2-40B4-BE49-F238E27FC236}">
                    <a16:creationId xmlns:a16="http://schemas.microsoft.com/office/drawing/2014/main" id="{00000000-0008-0000-0100-000071000000}"/>
                  </a:ext>
                </a:extLst>
              </xdr:cNvPr>
              <xdr:cNvSpPr>
                <a:spLocks noChangeShapeType="1"/>
              </xdr:cNvSpPr>
            </xdr:nvSpPr>
            <xdr:spPr bwMode="auto">
              <a:xfrm flipH="1">
                <a:off x="15340000" y="15820000"/>
                <a:ext cx="0" cy="82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118">
                <a:extLst>
                  <a:ext uri="{FF2B5EF4-FFF2-40B4-BE49-F238E27FC236}">
                    <a16:creationId xmlns:a16="http://schemas.microsoft.com/office/drawing/2014/main" id="{00000000-0008-0000-0100-000072000000}"/>
                  </a:ext>
                </a:extLst>
              </xdr:cNvPr>
              <xdr:cNvSpPr>
                <a:spLocks noChangeShapeType="1"/>
              </xdr:cNvSpPr>
            </xdr:nvSpPr>
            <xdr:spPr bwMode="auto">
              <a:xfrm>
                <a:off x="14060000" y="16259998"/>
                <a:ext cx="644580" cy="745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5" name="Line 119">
                <a:extLst>
                  <a:ext uri="{FF2B5EF4-FFF2-40B4-BE49-F238E27FC236}">
                    <a16:creationId xmlns:a16="http://schemas.microsoft.com/office/drawing/2014/main" id="{00000000-0008-0000-0100-000073000000}"/>
                  </a:ext>
                </a:extLst>
              </xdr:cNvPr>
              <xdr:cNvSpPr>
                <a:spLocks noChangeShapeType="1"/>
              </xdr:cNvSpPr>
            </xdr:nvSpPr>
            <xdr:spPr bwMode="auto">
              <a:xfrm>
                <a:off x="14686237" y="15818346"/>
                <a:ext cx="13764" cy="82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109" name="Line 120">
              <a:extLst>
                <a:ext uri="{FF2B5EF4-FFF2-40B4-BE49-F238E27FC236}">
                  <a16:creationId xmlns:a16="http://schemas.microsoft.com/office/drawing/2014/main" id="{00000000-0008-0000-0100-00006D000000}"/>
                </a:ext>
              </a:extLst>
            </xdr:cNvPr>
            <xdr:cNvSpPr>
              <a:spLocks noChangeShapeType="1"/>
            </xdr:cNvSpPr>
          </xdr:nvSpPr>
          <xdr:spPr bwMode="auto">
            <a:xfrm flipH="1" flipV="1">
              <a:off x="14720000" y="1664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98" name="Group 106">
            <a:extLst>
              <a:ext uri="{FF2B5EF4-FFF2-40B4-BE49-F238E27FC236}">
                <a16:creationId xmlns:a16="http://schemas.microsoft.com/office/drawing/2014/main" id="{00000000-0008-0000-0100-000062000000}"/>
              </a:ext>
            </a:extLst>
          </xdr:cNvPr>
          <xdr:cNvGrpSpPr>
            <a:grpSpLocks/>
          </xdr:cNvGrpSpPr>
        </xdr:nvGrpSpPr>
        <xdr:grpSpPr bwMode="auto">
          <a:xfrm>
            <a:off x="1214967" y="9175750"/>
            <a:ext cx="817032" cy="597957"/>
            <a:chOff x="1214967" y="9175750"/>
            <a:chExt cx="817032" cy="597957"/>
          </a:xfrm>
        </xdr:grpSpPr>
        <xdr:sp macro="" textlink="">
          <xdr:nvSpPr>
            <xdr:cNvPr id="99" name="Line 121">
              <a:extLst>
                <a:ext uri="{FF2B5EF4-FFF2-40B4-BE49-F238E27FC236}">
                  <a16:creationId xmlns:a16="http://schemas.microsoft.com/office/drawing/2014/main" id="{00000000-0008-0000-0100-000063000000}"/>
                </a:ext>
              </a:extLst>
            </xdr:cNvPr>
            <xdr:cNvSpPr>
              <a:spLocks noChangeShapeType="1"/>
            </xdr:cNvSpPr>
          </xdr:nvSpPr>
          <xdr:spPr bwMode="auto">
            <a:xfrm flipV="1">
              <a:off x="1214967" y="9479492"/>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grpSp>
          <xdr:nvGrpSpPr>
            <xdr:cNvPr id="100" name="Group 108">
              <a:extLst>
                <a:ext uri="{FF2B5EF4-FFF2-40B4-BE49-F238E27FC236}">
                  <a16:creationId xmlns:a16="http://schemas.microsoft.com/office/drawing/2014/main" id="{00000000-0008-0000-0100-000064000000}"/>
                </a:ext>
              </a:extLst>
            </xdr:cNvPr>
            <xdr:cNvGrpSpPr>
              <a:grpSpLocks/>
            </xdr:cNvGrpSpPr>
          </xdr:nvGrpSpPr>
          <xdr:grpSpPr bwMode="auto">
            <a:xfrm>
              <a:off x="1500717" y="9175750"/>
              <a:ext cx="531282" cy="597957"/>
              <a:chOff x="1500717" y="9175750"/>
              <a:chExt cx="531282" cy="597957"/>
            </a:xfrm>
          </xdr:grpSpPr>
          <xdr:sp macro="" textlink="">
            <xdr:nvSpPr>
              <xdr:cNvPr id="101" name="Line 102">
                <a:extLst>
                  <a:ext uri="{FF2B5EF4-FFF2-40B4-BE49-F238E27FC236}">
                    <a16:creationId xmlns:a16="http://schemas.microsoft.com/office/drawing/2014/main" id="{00000000-0008-0000-0100-000065000000}"/>
                  </a:ext>
                </a:extLst>
              </xdr:cNvPr>
              <xdr:cNvSpPr>
                <a:spLocks noChangeShapeType="1"/>
              </xdr:cNvSpPr>
            </xdr:nvSpPr>
            <xdr:spPr bwMode="auto">
              <a:xfrm flipH="1">
                <a:off x="1841499" y="95599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03">
                <a:extLst>
                  <a:ext uri="{FF2B5EF4-FFF2-40B4-BE49-F238E27FC236}">
                    <a16:creationId xmlns:a16="http://schemas.microsoft.com/office/drawing/2014/main" id="{00000000-0008-0000-0100-000066000000}"/>
                  </a:ext>
                </a:extLst>
              </xdr:cNvPr>
              <xdr:cNvSpPr>
                <a:spLocks noChangeShapeType="1"/>
              </xdr:cNvSpPr>
            </xdr:nvSpPr>
            <xdr:spPr bwMode="auto">
              <a:xfrm flipV="1">
                <a:off x="1500717" y="9584267"/>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104">
                <a:extLst>
                  <a:ext uri="{FF2B5EF4-FFF2-40B4-BE49-F238E27FC236}">
                    <a16:creationId xmlns:a16="http://schemas.microsoft.com/office/drawing/2014/main" id="{00000000-0008-0000-0100-000067000000}"/>
                  </a:ext>
                </a:extLst>
              </xdr:cNvPr>
              <xdr:cNvSpPr>
                <a:spLocks noChangeShapeType="1"/>
              </xdr:cNvSpPr>
            </xdr:nvSpPr>
            <xdr:spPr bwMode="auto">
              <a:xfrm flipV="1">
                <a:off x="1807633" y="9593792"/>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105">
                <a:extLst>
                  <a:ext uri="{FF2B5EF4-FFF2-40B4-BE49-F238E27FC236}">
                    <a16:creationId xmlns:a16="http://schemas.microsoft.com/office/drawing/2014/main" id="{00000000-0008-0000-0100-000068000000}"/>
                  </a:ext>
                </a:extLst>
              </xdr:cNvPr>
              <xdr:cNvSpPr>
                <a:spLocks noChangeShapeType="1"/>
              </xdr:cNvSpPr>
            </xdr:nvSpPr>
            <xdr:spPr bwMode="auto">
              <a:xfrm flipV="1">
                <a:off x="1510242" y="9630833"/>
                <a:ext cx="287866"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05" name="Line 106">
                <a:extLst>
                  <a:ext uri="{FF2B5EF4-FFF2-40B4-BE49-F238E27FC236}">
                    <a16:creationId xmlns:a16="http://schemas.microsoft.com/office/drawing/2014/main" id="{00000000-0008-0000-0100-000069000000}"/>
                  </a:ext>
                </a:extLst>
              </xdr:cNvPr>
              <xdr:cNvSpPr>
                <a:spLocks noChangeShapeType="1"/>
              </xdr:cNvSpPr>
            </xdr:nvSpPr>
            <xdr:spPr bwMode="auto">
              <a:xfrm flipV="1">
                <a:off x="1940982" y="9572624"/>
                <a:ext cx="1059" cy="20108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06" name="Line 107">
                <a:extLst>
                  <a:ext uri="{FF2B5EF4-FFF2-40B4-BE49-F238E27FC236}">
                    <a16:creationId xmlns:a16="http://schemas.microsoft.com/office/drawing/2014/main" id="{00000000-0008-0000-0100-00006A000000}"/>
                  </a:ext>
                </a:extLst>
              </xdr:cNvPr>
              <xdr:cNvSpPr>
                <a:spLocks noChangeShapeType="1"/>
              </xdr:cNvSpPr>
            </xdr:nvSpPr>
            <xdr:spPr bwMode="auto">
              <a:xfrm flipV="1">
                <a:off x="1942041" y="9191624"/>
                <a:ext cx="5292" cy="352426"/>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07" name="Line 102">
                <a:extLst>
                  <a:ext uri="{FF2B5EF4-FFF2-40B4-BE49-F238E27FC236}">
                    <a16:creationId xmlns:a16="http://schemas.microsoft.com/office/drawing/2014/main" id="{00000000-0008-0000-0100-00006B000000}"/>
                  </a:ext>
                </a:extLst>
              </xdr:cNvPr>
              <xdr:cNvSpPr>
                <a:spLocks noChangeShapeType="1"/>
              </xdr:cNvSpPr>
            </xdr:nvSpPr>
            <xdr:spPr bwMode="auto">
              <a:xfrm flipH="1">
                <a:off x="1825625" y="9175750"/>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clientData/>
  </xdr:twoCellAnchor>
  <xdr:twoCellAnchor>
    <xdr:from>
      <xdr:col>6</xdr:col>
      <xdr:colOff>19050</xdr:colOff>
      <xdr:row>52</xdr:row>
      <xdr:rowOff>152400</xdr:rowOff>
    </xdr:from>
    <xdr:to>
      <xdr:col>6</xdr:col>
      <xdr:colOff>314325</xdr:colOff>
      <xdr:row>53</xdr:row>
      <xdr:rowOff>47625</xdr:rowOff>
    </xdr:to>
    <xdr:sp macro="" textlink="">
      <xdr:nvSpPr>
        <xdr:cNvPr id="116" name="Radius">
          <a:extLst>
            <a:ext uri="{FF2B5EF4-FFF2-40B4-BE49-F238E27FC236}">
              <a16:creationId xmlns:a16="http://schemas.microsoft.com/office/drawing/2014/main" id="{00000000-0008-0000-0100-000074000000}"/>
            </a:ext>
          </a:extLst>
        </xdr:cNvPr>
        <xdr:cNvSpPr txBox="1">
          <a:spLocks noChangeArrowheads="1"/>
        </xdr:cNvSpPr>
      </xdr:nvSpPr>
      <xdr:spPr bwMode="auto">
        <a:xfrm>
          <a:off x="4133850" y="11906250"/>
          <a:ext cx="29527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5</xdr:col>
      <xdr:colOff>361950</xdr:colOff>
      <xdr:row>52</xdr:row>
      <xdr:rowOff>19050</xdr:rowOff>
    </xdr:from>
    <xdr:to>
      <xdr:col>6</xdr:col>
      <xdr:colOff>57150</xdr:colOff>
      <xdr:row>52</xdr:row>
      <xdr:rowOff>123825</xdr:rowOff>
    </xdr:to>
    <xdr:sp macro="" textlink="">
      <xdr:nvSpPr>
        <xdr:cNvPr id="117" name="Thickness">
          <a:extLst>
            <a:ext uri="{FF2B5EF4-FFF2-40B4-BE49-F238E27FC236}">
              <a16:creationId xmlns:a16="http://schemas.microsoft.com/office/drawing/2014/main" id="{00000000-0008-0000-0100-000075000000}"/>
            </a:ext>
          </a:extLst>
        </xdr:cNvPr>
        <xdr:cNvSpPr txBox="1">
          <a:spLocks noChangeArrowheads="1"/>
        </xdr:cNvSpPr>
      </xdr:nvSpPr>
      <xdr:spPr bwMode="auto">
        <a:xfrm>
          <a:off x="3848100" y="11772900"/>
          <a:ext cx="32385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6</xdr:col>
      <xdr:colOff>19050</xdr:colOff>
      <xdr:row>52</xdr:row>
      <xdr:rowOff>152400</xdr:rowOff>
    </xdr:from>
    <xdr:to>
      <xdr:col>6</xdr:col>
      <xdr:colOff>314325</xdr:colOff>
      <xdr:row>53</xdr:row>
      <xdr:rowOff>47625</xdr:rowOff>
    </xdr:to>
    <xdr:sp macro="" textlink="">
      <xdr:nvSpPr>
        <xdr:cNvPr id="118" name="Radius">
          <a:extLst>
            <a:ext uri="{FF2B5EF4-FFF2-40B4-BE49-F238E27FC236}">
              <a16:creationId xmlns:a16="http://schemas.microsoft.com/office/drawing/2014/main" id="{00000000-0008-0000-0100-000076000000}"/>
            </a:ext>
          </a:extLst>
        </xdr:cNvPr>
        <xdr:cNvSpPr txBox="1">
          <a:spLocks noChangeArrowheads="1"/>
        </xdr:cNvSpPr>
      </xdr:nvSpPr>
      <xdr:spPr bwMode="auto">
        <a:xfrm>
          <a:off x="4133850" y="11906250"/>
          <a:ext cx="29527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5</xdr:col>
      <xdr:colOff>361950</xdr:colOff>
      <xdr:row>52</xdr:row>
      <xdr:rowOff>19050</xdr:rowOff>
    </xdr:from>
    <xdr:to>
      <xdr:col>6</xdr:col>
      <xdr:colOff>57150</xdr:colOff>
      <xdr:row>52</xdr:row>
      <xdr:rowOff>123825</xdr:rowOff>
    </xdr:to>
    <xdr:sp macro="" textlink="">
      <xdr:nvSpPr>
        <xdr:cNvPr id="119" name="Thickness">
          <a:extLst>
            <a:ext uri="{FF2B5EF4-FFF2-40B4-BE49-F238E27FC236}">
              <a16:creationId xmlns:a16="http://schemas.microsoft.com/office/drawing/2014/main" id="{00000000-0008-0000-0100-000077000000}"/>
            </a:ext>
          </a:extLst>
        </xdr:cNvPr>
        <xdr:cNvSpPr txBox="1">
          <a:spLocks noChangeArrowheads="1"/>
        </xdr:cNvSpPr>
      </xdr:nvSpPr>
      <xdr:spPr bwMode="auto">
        <a:xfrm>
          <a:off x="3848100" y="11772900"/>
          <a:ext cx="32385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6</xdr:col>
      <xdr:colOff>19050</xdr:colOff>
      <xdr:row>52</xdr:row>
      <xdr:rowOff>152400</xdr:rowOff>
    </xdr:from>
    <xdr:to>
      <xdr:col>6</xdr:col>
      <xdr:colOff>314325</xdr:colOff>
      <xdr:row>53</xdr:row>
      <xdr:rowOff>47625</xdr:rowOff>
    </xdr:to>
    <xdr:sp macro="" textlink="">
      <xdr:nvSpPr>
        <xdr:cNvPr id="120" name="Radius">
          <a:extLst>
            <a:ext uri="{FF2B5EF4-FFF2-40B4-BE49-F238E27FC236}">
              <a16:creationId xmlns:a16="http://schemas.microsoft.com/office/drawing/2014/main" id="{00000000-0008-0000-0100-000078000000}"/>
            </a:ext>
          </a:extLst>
        </xdr:cNvPr>
        <xdr:cNvSpPr txBox="1">
          <a:spLocks noChangeArrowheads="1"/>
        </xdr:cNvSpPr>
      </xdr:nvSpPr>
      <xdr:spPr bwMode="auto">
        <a:xfrm>
          <a:off x="4133850" y="11906250"/>
          <a:ext cx="29527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5</xdr:col>
      <xdr:colOff>361950</xdr:colOff>
      <xdr:row>52</xdr:row>
      <xdr:rowOff>19050</xdr:rowOff>
    </xdr:from>
    <xdr:to>
      <xdr:col>6</xdr:col>
      <xdr:colOff>57150</xdr:colOff>
      <xdr:row>52</xdr:row>
      <xdr:rowOff>123825</xdr:rowOff>
    </xdr:to>
    <xdr:sp macro="" textlink="">
      <xdr:nvSpPr>
        <xdr:cNvPr id="121" name="Thickness">
          <a:extLst>
            <a:ext uri="{FF2B5EF4-FFF2-40B4-BE49-F238E27FC236}">
              <a16:creationId xmlns:a16="http://schemas.microsoft.com/office/drawing/2014/main" id="{00000000-0008-0000-0100-000079000000}"/>
            </a:ext>
          </a:extLst>
        </xdr:cNvPr>
        <xdr:cNvSpPr txBox="1">
          <a:spLocks noChangeArrowheads="1"/>
        </xdr:cNvSpPr>
      </xdr:nvSpPr>
      <xdr:spPr bwMode="auto">
        <a:xfrm>
          <a:off x="3848100" y="11772900"/>
          <a:ext cx="32385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6</xdr:col>
      <xdr:colOff>19050</xdr:colOff>
      <xdr:row>52</xdr:row>
      <xdr:rowOff>152400</xdr:rowOff>
    </xdr:from>
    <xdr:to>
      <xdr:col>6</xdr:col>
      <xdr:colOff>304800</xdr:colOff>
      <xdr:row>53</xdr:row>
      <xdr:rowOff>47625</xdr:rowOff>
    </xdr:to>
    <xdr:sp macro="" textlink="">
      <xdr:nvSpPr>
        <xdr:cNvPr id="122" name="Radius">
          <a:extLst>
            <a:ext uri="{FF2B5EF4-FFF2-40B4-BE49-F238E27FC236}">
              <a16:creationId xmlns:a16="http://schemas.microsoft.com/office/drawing/2014/main" id="{00000000-0008-0000-0100-00007A000000}"/>
            </a:ext>
          </a:extLst>
        </xdr:cNvPr>
        <xdr:cNvSpPr txBox="1">
          <a:spLocks noChangeArrowheads="1"/>
        </xdr:cNvSpPr>
      </xdr:nvSpPr>
      <xdr:spPr bwMode="auto">
        <a:xfrm>
          <a:off x="4133850" y="11906250"/>
          <a:ext cx="28575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5</xdr:col>
      <xdr:colOff>352425</xdr:colOff>
      <xdr:row>52</xdr:row>
      <xdr:rowOff>19050</xdr:rowOff>
    </xdr:from>
    <xdr:to>
      <xdr:col>6</xdr:col>
      <xdr:colOff>47625</xdr:colOff>
      <xdr:row>52</xdr:row>
      <xdr:rowOff>123825</xdr:rowOff>
    </xdr:to>
    <xdr:sp macro="" textlink="">
      <xdr:nvSpPr>
        <xdr:cNvPr id="123" name="Thickness">
          <a:extLst>
            <a:ext uri="{FF2B5EF4-FFF2-40B4-BE49-F238E27FC236}">
              <a16:creationId xmlns:a16="http://schemas.microsoft.com/office/drawing/2014/main" id="{00000000-0008-0000-0100-00007B000000}"/>
            </a:ext>
          </a:extLst>
        </xdr:cNvPr>
        <xdr:cNvSpPr txBox="1">
          <a:spLocks noChangeArrowheads="1"/>
        </xdr:cNvSpPr>
      </xdr:nvSpPr>
      <xdr:spPr bwMode="auto">
        <a:xfrm>
          <a:off x="3838575" y="11772900"/>
          <a:ext cx="32385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6</xdr:col>
      <xdr:colOff>381000</xdr:colOff>
      <xdr:row>52</xdr:row>
      <xdr:rowOff>133350</xdr:rowOff>
    </xdr:from>
    <xdr:to>
      <xdr:col>6</xdr:col>
      <xdr:colOff>504825</xdr:colOff>
      <xdr:row>53</xdr:row>
      <xdr:rowOff>0</xdr:rowOff>
    </xdr:to>
    <xdr:sp macro="" textlink="">
      <xdr:nvSpPr>
        <xdr:cNvPr id="124" name="Text 583">
          <a:extLst>
            <a:ext uri="{FF2B5EF4-FFF2-40B4-BE49-F238E27FC236}">
              <a16:creationId xmlns:a16="http://schemas.microsoft.com/office/drawing/2014/main" id="{00000000-0008-0000-0100-00007C000000}"/>
            </a:ext>
          </a:extLst>
        </xdr:cNvPr>
        <xdr:cNvSpPr txBox="1">
          <a:spLocks noChangeArrowheads="1"/>
        </xdr:cNvSpPr>
      </xdr:nvSpPr>
      <xdr:spPr bwMode="auto">
        <a:xfrm>
          <a:off x="4495800" y="11887200"/>
          <a:ext cx="0" cy="666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11</xdr:col>
      <xdr:colOff>942975</xdr:colOff>
      <xdr:row>35</xdr:row>
      <xdr:rowOff>180975</xdr:rowOff>
    </xdr:from>
    <xdr:to>
      <xdr:col>13</xdr:col>
      <xdr:colOff>533400</xdr:colOff>
      <xdr:row>39</xdr:row>
      <xdr:rowOff>200025</xdr:rowOff>
    </xdr:to>
    <xdr:grpSp>
      <xdr:nvGrpSpPr>
        <xdr:cNvPr id="125" name="Group 3">
          <a:extLst>
            <a:ext uri="{FF2B5EF4-FFF2-40B4-BE49-F238E27FC236}">
              <a16:creationId xmlns:a16="http://schemas.microsoft.com/office/drawing/2014/main" id="{00000000-0008-0000-0100-00007D000000}"/>
            </a:ext>
          </a:extLst>
        </xdr:cNvPr>
        <xdr:cNvGrpSpPr>
          <a:grpSpLocks/>
        </xdr:cNvGrpSpPr>
      </xdr:nvGrpSpPr>
      <xdr:grpSpPr bwMode="auto">
        <a:xfrm>
          <a:off x="8001000" y="8248650"/>
          <a:ext cx="1266825" cy="933450"/>
          <a:chOff x="0" y="12606618"/>
          <a:chExt cx="1416423" cy="937933"/>
        </a:xfrm>
      </xdr:grpSpPr>
      <xdr:sp macro="" textlink="">
        <xdr:nvSpPr>
          <xdr:cNvPr id="126" name="Line 128">
            <a:extLst>
              <a:ext uri="{FF2B5EF4-FFF2-40B4-BE49-F238E27FC236}">
                <a16:creationId xmlns:a16="http://schemas.microsoft.com/office/drawing/2014/main" id="{00000000-0008-0000-0100-00007E000000}"/>
              </a:ext>
            </a:extLst>
          </xdr:cNvPr>
          <xdr:cNvSpPr>
            <a:spLocks noChangeShapeType="1"/>
          </xdr:cNvSpPr>
        </xdr:nvSpPr>
        <xdr:spPr bwMode="auto">
          <a:xfrm>
            <a:off x="263338" y="13094074"/>
            <a:ext cx="326651" cy="5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Line 146">
            <a:extLst>
              <a:ext uri="{FF2B5EF4-FFF2-40B4-BE49-F238E27FC236}">
                <a16:creationId xmlns:a16="http://schemas.microsoft.com/office/drawing/2014/main" id="{00000000-0008-0000-0100-00007F000000}"/>
              </a:ext>
            </a:extLst>
          </xdr:cNvPr>
          <xdr:cNvSpPr>
            <a:spLocks noChangeShapeType="1"/>
          </xdr:cNvSpPr>
        </xdr:nvSpPr>
        <xdr:spPr bwMode="auto">
          <a:xfrm>
            <a:off x="1025898" y="12912539"/>
            <a:ext cx="2190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128" name="Group 2">
            <a:extLst>
              <a:ext uri="{FF2B5EF4-FFF2-40B4-BE49-F238E27FC236}">
                <a16:creationId xmlns:a16="http://schemas.microsoft.com/office/drawing/2014/main" id="{00000000-0008-0000-0100-000080000000}"/>
              </a:ext>
            </a:extLst>
          </xdr:cNvPr>
          <xdr:cNvGrpSpPr>
            <a:grpSpLocks/>
          </xdr:cNvGrpSpPr>
        </xdr:nvGrpSpPr>
        <xdr:grpSpPr bwMode="auto">
          <a:xfrm>
            <a:off x="0" y="12606618"/>
            <a:ext cx="1416423" cy="937933"/>
            <a:chOff x="0" y="12606618"/>
            <a:chExt cx="1416423" cy="937933"/>
          </a:xfrm>
        </xdr:grpSpPr>
        <xdr:sp macro="" textlink="">
          <xdr:nvSpPr>
            <xdr:cNvPr id="129" name="Line 150">
              <a:extLst>
                <a:ext uri="{FF2B5EF4-FFF2-40B4-BE49-F238E27FC236}">
                  <a16:creationId xmlns:a16="http://schemas.microsoft.com/office/drawing/2014/main" id="{00000000-0008-0000-0100-000081000000}"/>
                </a:ext>
              </a:extLst>
            </xdr:cNvPr>
            <xdr:cNvSpPr>
              <a:spLocks noChangeShapeType="1"/>
            </xdr:cNvSpPr>
          </xdr:nvSpPr>
          <xdr:spPr bwMode="auto">
            <a:xfrm flipV="1">
              <a:off x="761439" y="12606618"/>
              <a:ext cx="0" cy="16304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151">
              <a:extLst>
                <a:ext uri="{FF2B5EF4-FFF2-40B4-BE49-F238E27FC236}">
                  <a16:creationId xmlns:a16="http://schemas.microsoft.com/office/drawing/2014/main" id="{00000000-0008-0000-0100-000082000000}"/>
                </a:ext>
              </a:extLst>
            </xdr:cNvPr>
            <xdr:cNvSpPr>
              <a:spLocks noChangeShapeType="1"/>
            </xdr:cNvSpPr>
          </xdr:nvSpPr>
          <xdr:spPr bwMode="auto">
            <a:xfrm flipV="1">
              <a:off x="988359" y="12606618"/>
              <a:ext cx="0" cy="16304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131" name="Group 1">
              <a:extLst>
                <a:ext uri="{FF2B5EF4-FFF2-40B4-BE49-F238E27FC236}">
                  <a16:creationId xmlns:a16="http://schemas.microsoft.com/office/drawing/2014/main" id="{00000000-0008-0000-0100-000083000000}"/>
                </a:ext>
              </a:extLst>
            </xdr:cNvPr>
            <xdr:cNvGrpSpPr>
              <a:grpSpLocks/>
            </xdr:cNvGrpSpPr>
          </xdr:nvGrpSpPr>
          <xdr:grpSpPr bwMode="auto">
            <a:xfrm>
              <a:off x="0" y="12635193"/>
              <a:ext cx="1416423" cy="909358"/>
              <a:chOff x="0" y="12635193"/>
              <a:chExt cx="1416423" cy="909358"/>
            </a:xfrm>
          </xdr:grpSpPr>
          <xdr:sp macro="" textlink="">
            <xdr:nvSpPr>
              <xdr:cNvPr id="133" name="Line 125">
                <a:extLst>
                  <a:ext uri="{FF2B5EF4-FFF2-40B4-BE49-F238E27FC236}">
                    <a16:creationId xmlns:a16="http://schemas.microsoft.com/office/drawing/2014/main" id="{00000000-0008-0000-0100-000085000000}"/>
                  </a:ext>
                </a:extLst>
              </xdr:cNvPr>
              <xdr:cNvSpPr>
                <a:spLocks noChangeShapeType="1"/>
              </xdr:cNvSpPr>
            </xdr:nvSpPr>
            <xdr:spPr bwMode="auto">
              <a:xfrm flipV="1">
                <a:off x="0" y="12807764"/>
                <a:ext cx="2762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4" name="Line 126">
                <a:extLst>
                  <a:ext uri="{FF2B5EF4-FFF2-40B4-BE49-F238E27FC236}">
                    <a16:creationId xmlns:a16="http://schemas.microsoft.com/office/drawing/2014/main" id="{00000000-0008-0000-0100-000086000000}"/>
                  </a:ext>
                </a:extLst>
              </xdr:cNvPr>
              <xdr:cNvSpPr>
                <a:spLocks noChangeShapeType="1"/>
              </xdr:cNvSpPr>
            </xdr:nvSpPr>
            <xdr:spPr bwMode="auto">
              <a:xfrm>
                <a:off x="266700" y="12807764"/>
                <a:ext cx="0" cy="73678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127">
                <a:extLst>
                  <a:ext uri="{FF2B5EF4-FFF2-40B4-BE49-F238E27FC236}">
                    <a16:creationId xmlns:a16="http://schemas.microsoft.com/office/drawing/2014/main" id="{00000000-0008-0000-0100-000087000000}"/>
                  </a:ext>
                </a:extLst>
              </xdr:cNvPr>
              <xdr:cNvSpPr>
                <a:spLocks noChangeShapeType="1"/>
              </xdr:cNvSpPr>
            </xdr:nvSpPr>
            <xdr:spPr bwMode="auto">
              <a:xfrm flipV="1">
                <a:off x="295275" y="13219580"/>
                <a:ext cx="275664"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36" name="Line 129">
                <a:extLst>
                  <a:ext uri="{FF2B5EF4-FFF2-40B4-BE49-F238E27FC236}">
                    <a16:creationId xmlns:a16="http://schemas.microsoft.com/office/drawing/2014/main" id="{00000000-0008-0000-0100-000088000000}"/>
                  </a:ext>
                </a:extLst>
              </xdr:cNvPr>
              <xdr:cNvSpPr>
                <a:spLocks noChangeShapeType="1"/>
              </xdr:cNvSpPr>
            </xdr:nvSpPr>
            <xdr:spPr bwMode="auto">
              <a:xfrm>
                <a:off x="266700" y="12836339"/>
                <a:ext cx="3042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 name="Line 130">
                <a:extLst>
                  <a:ext uri="{FF2B5EF4-FFF2-40B4-BE49-F238E27FC236}">
                    <a16:creationId xmlns:a16="http://schemas.microsoft.com/office/drawing/2014/main" id="{00000000-0008-0000-0100-000089000000}"/>
                  </a:ext>
                </a:extLst>
              </xdr:cNvPr>
              <xdr:cNvSpPr>
                <a:spLocks noChangeShapeType="1"/>
              </xdr:cNvSpPr>
            </xdr:nvSpPr>
            <xdr:spPr bwMode="auto">
              <a:xfrm flipV="1">
                <a:off x="1235448" y="13132734"/>
                <a:ext cx="0" cy="1820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38" name="Rectangle 132">
                <a:extLst>
                  <a:ext uri="{FF2B5EF4-FFF2-40B4-BE49-F238E27FC236}">
                    <a16:creationId xmlns:a16="http://schemas.microsoft.com/office/drawing/2014/main" id="{00000000-0008-0000-0100-00008A000000}"/>
                  </a:ext>
                </a:extLst>
              </xdr:cNvPr>
              <xdr:cNvSpPr>
                <a:spLocks noChangeArrowheads="1"/>
              </xdr:cNvSpPr>
            </xdr:nvSpPr>
            <xdr:spPr bwMode="auto">
              <a:xfrm>
                <a:off x="570939" y="12807764"/>
                <a:ext cx="416859" cy="334495"/>
              </a:xfrm>
              <a:prstGeom prst="rect">
                <a:avLst/>
              </a:prstGeom>
              <a:solidFill>
                <a:srgbClr val="FFFFFF"/>
              </a:solidFill>
              <a:ln w="9525">
                <a:solidFill>
                  <a:srgbClr val="000000"/>
                </a:solidFill>
                <a:miter lim="800000"/>
                <a:headEnd/>
                <a:tailEnd/>
              </a:ln>
            </xdr:spPr>
          </xdr:sp>
          <xdr:sp macro="" textlink="">
            <xdr:nvSpPr>
              <xdr:cNvPr id="139" name="Rectangle 133">
                <a:extLst>
                  <a:ext uri="{FF2B5EF4-FFF2-40B4-BE49-F238E27FC236}">
                    <a16:creationId xmlns:a16="http://schemas.microsoft.com/office/drawing/2014/main" id="{00000000-0008-0000-0100-00008B000000}"/>
                  </a:ext>
                </a:extLst>
              </xdr:cNvPr>
              <xdr:cNvSpPr>
                <a:spLocks noChangeArrowheads="1"/>
              </xdr:cNvSpPr>
            </xdr:nvSpPr>
            <xdr:spPr bwMode="auto">
              <a:xfrm>
                <a:off x="761439" y="12807764"/>
                <a:ext cx="226359" cy="104775"/>
              </a:xfrm>
              <a:prstGeom prst="rect">
                <a:avLst/>
              </a:prstGeom>
              <a:solidFill>
                <a:srgbClr val="FFFFFF"/>
              </a:solidFill>
              <a:ln w="9525">
                <a:solidFill>
                  <a:srgbClr val="000000"/>
                </a:solidFill>
                <a:miter lim="800000"/>
                <a:headEnd/>
                <a:tailEnd/>
              </a:ln>
            </xdr:spPr>
          </xdr:sp>
          <xdr:sp macro="" textlink="">
            <xdr:nvSpPr>
              <xdr:cNvPr id="140" name="Line 137">
                <a:extLst>
                  <a:ext uri="{FF2B5EF4-FFF2-40B4-BE49-F238E27FC236}">
                    <a16:creationId xmlns:a16="http://schemas.microsoft.com/office/drawing/2014/main" id="{00000000-0008-0000-0100-00008C000000}"/>
                  </a:ext>
                </a:extLst>
              </xdr:cNvPr>
              <xdr:cNvSpPr>
                <a:spLocks noChangeShapeType="1"/>
              </xdr:cNvSpPr>
            </xdr:nvSpPr>
            <xdr:spPr bwMode="auto">
              <a:xfrm flipH="1">
                <a:off x="570938" y="13217338"/>
                <a:ext cx="353546" cy="2242"/>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1" name="Line 138">
                <a:extLst>
                  <a:ext uri="{FF2B5EF4-FFF2-40B4-BE49-F238E27FC236}">
                    <a16:creationId xmlns:a16="http://schemas.microsoft.com/office/drawing/2014/main" id="{00000000-0008-0000-0100-00008D000000}"/>
                  </a:ext>
                </a:extLst>
              </xdr:cNvPr>
              <xdr:cNvSpPr>
                <a:spLocks noChangeShapeType="1"/>
              </xdr:cNvSpPr>
            </xdr:nvSpPr>
            <xdr:spPr bwMode="auto">
              <a:xfrm flipV="1">
                <a:off x="1311648" y="12817289"/>
                <a:ext cx="0" cy="952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2" name="Line 139">
                <a:extLst>
                  <a:ext uri="{FF2B5EF4-FFF2-40B4-BE49-F238E27FC236}">
                    <a16:creationId xmlns:a16="http://schemas.microsoft.com/office/drawing/2014/main" id="{00000000-0008-0000-0100-00008E000000}"/>
                  </a:ext>
                </a:extLst>
              </xdr:cNvPr>
              <xdr:cNvSpPr>
                <a:spLocks noChangeShapeType="1"/>
              </xdr:cNvSpPr>
            </xdr:nvSpPr>
            <xdr:spPr bwMode="auto">
              <a:xfrm>
                <a:off x="1302123" y="13037484"/>
                <a:ext cx="0" cy="857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3" name="Line 140">
                <a:extLst>
                  <a:ext uri="{FF2B5EF4-FFF2-40B4-BE49-F238E27FC236}">
                    <a16:creationId xmlns:a16="http://schemas.microsoft.com/office/drawing/2014/main" id="{00000000-0008-0000-0100-00008F000000}"/>
                  </a:ext>
                </a:extLst>
              </xdr:cNvPr>
              <xdr:cNvSpPr>
                <a:spLocks noChangeShapeType="1"/>
              </xdr:cNvSpPr>
            </xdr:nvSpPr>
            <xdr:spPr bwMode="auto">
              <a:xfrm>
                <a:off x="1025898" y="13132734"/>
                <a:ext cx="390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4" name="Line 141">
                <a:extLst>
                  <a:ext uri="{FF2B5EF4-FFF2-40B4-BE49-F238E27FC236}">
                    <a16:creationId xmlns:a16="http://schemas.microsoft.com/office/drawing/2014/main" id="{00000000-0008-0000-0100-000090000000}"/>
                  </a:ext>
                </a:extLst>
              </xdr:cNvPr>
              <xdr:cNvSpPr>
                <a:spLocks noChangeShapeType="1"/>
              </xdr:cNvSpPr>
            </xdr:nvSpPr>
            <xdr:spPr bwMode="auto">
              <a:xfrm>
                <a:off x="1016373" y="12807764"/>
                <a:ext cx="4000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143">
                <a:extLst>
                  <a:ext uri="{FF2B5EF4-FFF2-40B4-BE49-F238E27FC236}">
                    <a16:creationId xmlns:a16="http://schemas.microsoft.com/office/drawing/2014/main" id="{00000000-0008-0000-0100-000091000000}"/>
                  </a:ext>
                </a:extLst>
              </xdr:cNvPr>
              <xdr:cNvSpPr>
                <a:spLocks noChangeShapeType="1"/>
              </xdr:cNvSpPr>
            </xdr:nvSpPr>
            <xdr:spPr bwMode="auto">
              <a:xfrm flipV="1">
                <a:off x="1070161" y="12933830"/>
                <a:ext cx="0" cy="8684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6" name="Line 144">
                <a:extLst>
                  <a:ext uri="{FF2B5EF4-FFF2-40B4-BE49-F238E27FC236}">
                    <a16:creationId xmlns:a16="http://schemas.microsoft.com/office/drawing/2014/main" id="{00000000-0008-0000-0100-000092000000}"/>
                  </a:ext>
                </a:extLst>
              </xdr:cNvPr>
              <xdr:cNvSpPr>
                <a:spLocks noChangeShapeType="1"/>
              </xdr:cNvSpPr>
            </xdr:nvSpPr>
            <xdr:spPr bwMode="auto">
              <a:xfrm>
                <a:off x="1083048" y="12673293"/>
                <a:ext cx="0" cy="12494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7" name="Line 149">
                <a:extLst>
                  <a:ext uri="{FF2B5EF4-FFF2-40B4-BE49-F238E27FC236}">
                    <a16:creationId xmlns:a16="http://schemas.microsoft.com/office/drawing/2014/main" id="{00000000-0008-0000-0100-000093000000}"/>
                  </a:ext>
                </a:extLst>
              </xdr:cNvPr>
              <xdr:cNvSpPr>
                <a:spLocks noChangeShapeType="1"/>
              </xdr:cNvSpPr>
            </xdr:nvSpPr>
            <xdr:spPr bwMode="auto">
              <a:xfrm>
                <a:off x="656664" y="12635193"/>
                <a:ext cx="857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8" name="Line 134">
                <a:extLst>
                  <a:ext uri="{FF2B5EF4-FFF2-40B4-BE49-F238E27FC236}">
                    <a16:creationId xmlns:a16="http://schemas.microsoft.com/office/drawing/2014/main" id="{00000000-0008-0000-0100-000094000000}"/>
                  </a:ext>
                </a:extLst>
              </xdr:cNvPr>
              <xdr:cNvSpPr>
                <a:spLocks noChangeShapeType="1"/>
              </xdr:cNvSpPr>
            </xdr:nvSpPr>
            <xdr:spPr bwMode="auto">
              <a:xfrm>
                <a:off x="571500" y="13170834"/>
                <a:ext cx="0" cy="19162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9" name="Line 135">
                <a:extLst>
                  <a:ext uri="{FF2B5EF4-FFF2-40B4-BE49-F238E27FC236}">
                    <a16:creationId xmlns:a16="http://schemas.microsoft.com/office/drawing/2014/main" id="{00000000-0008-0000-0100-000095000000}"/>
                  </a:ext>
                </a:extLst>
              </xdr:cNvPr>
              <xdr:cNvSpPr>
                <a:spLocks noChangeShapeType="1"/>
              </xdr:cNvSpPr>
            </xdr:nvSpPr>
            <xdr:spPr bwMode="auto">
              <a:xfrm>
                <a:off x="988359" y="13161309"/>
                <a:ext cx="0" cy="18209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0" name="Line 148">
                <a:extLst>
                  <a:ext uri="{FF2B5EF4-FFF2-40B4-BE49-F238E27FC236}">
                    <a16:creationId xmlns:a16="http://schemas.microsoft.com/office/drawing/2014/main" id="{00000000-0008-0000-0100-000096000000}"/>
                  </a:ext>
                </a:extLst>
              </xdr:cNvPr>
              <xdr:cNvSpPr>
                <a:spLocks noChangeShapeType="1"/>
              </xdr:cNvSpPr>
            </xdr:nvSpPr>
            <xdr:spPr bwMode="auto">
              <a:xfrm flipH="1">
                <a:off x="999565" y="12640235"/>
                <a:ext cx="762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132" name="Line 149">
              <a:extLst>
                <a:ext uri="{FF2B5EF4-FFF2-40B4-BE49-F238E27FC236}">
                  <a16:creationId xmlns:a16="http://schemas.microsoft.com/office/drawing/2014/main" id="{00000000-0008-0000-0100-000084000000}"/>
                </a:ext>
              </a:extLst>
            </xdr:cNvPr>
            <xdr:cNvSpPr>
              <a:spLocks noChangeShapeType="1"/>
            </xdr:cNvSpPr>
          </xdr:nvSpPr>
          <xdr:spPr bwMode="auto">
            <a:xfrm>
              <a:off x="890867" y="13211734"/>
              <a:ext cx="857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grpSp>
    <xdr:clientData/>
  </xdr:twoCellAnchor>
  <xdr:twoCellAnchor>
    <xdr:from>
      <xdr:col>3</xdr:col>
      <xdr:colOff>695325</xdr:colOff>
      <xdr:row>28</xdr:row>
      <xdr:rowOff>190500</xdr:rowOff>
    </xdr:from>
    <xdr:to>
      <xdr:col>4</xdr:col>
      <xdr:colOff>722098</xdr:colOff>
      <xdr:row>29</xdr:row>
      <xdr:rowOff>123825</xdr:rowOff>
    </xdr:to>
    <xdr:sp macro="" textlink="">
      <xdr:nvSpPr>
        <xdr:cNvPr id="151" name="Text 219">
          <a:extLst>
            <a:ext uri="{FF2B5EF4-FFF2-40B4-BE49-F238E27FC236}">
              <a16:creationId xmlns:a16="http://schemas.microsoft.com/office/drawing/2014/main" id="{00000000-0008-0000-0100-000097000000}"/>
            </a:ext>
          </a:extLst>
        </xdr:cNvPr>
        <xdr:cNvSpPr txBox="1">
          <a:spLocks noChangeArrowheads="1"/>
        </xdr:cNvSpPr>
      </xdr:nvSpPr>
      <xdr:spPr bwMode="auto">
        <a:xfrm>
          <a:off x="2428875" y="6657975"/>
          <a:ext cx="903073"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a:t>
          </a:r>
        </a:p>
      </xdr:txBody>
    </xdr:sp>
    <xdr:clientData/>
  </xdr:twoCellAnchor>
  <xdr:twoCellAnchor>
    <xdr:from>
      <xdr:col>3</xdr:col>
      <xdr:colOff>695325</xdr:colOff>
      <xdr:row>34</xdr:row>
      <xdr:rowOff>200025</xdr:rowOff>
    </xdr:from>
    <xdr:to>
      <xdr:col>4</xdr:col>
      <xdr:colOff>722098</xdr:colOff>
      <xdr:row>35</xdr:row>
      <xdr:rowOff>133350</xdr:rowOff>
    </xdr:to>
    <xdr:sp macro="" textlink="">
      <xdr:nvSpPr>
        <xdr:cNvPr id="152" name="Text 219">
          <a:extLst>
            <a:ext uri="{FF2B5EF4-FFF2-40B4-BE49-F238E27FC236}">
              <a16:creationId xmlns:a16="http://schemas.microsoft.com/office/drawing/2014/main" id="{00000000-0008-0000-0100-000098000000}"/>
            </a:ext>
          </a:extLst>
        </xdr:cNvPr>
        <xdr:cNvSpPr txBox="1">
          <a:spLocks noChangeArrowheads="1"/>
        </xdr:cNvSpPr>
      </xdr:nvSpPr>
      <xdr:spPr bwMode="auto">
        <a:xfrm>
          <a:off x="2428875" y="8039100"/>
          <a:ext cx="903073"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a:t>
          </a:r>
        </a:p>
      </xdr:txBody>
    </xdr:sp>
    <xdr:clientData/>
  </xdr:twoCellAnchor>
  <xdr:twoCellAnchor>
    <xdr:from>
      <xdr:col>3</xdr:col>
      <xdr:colOff>695325</xdr:colOff>
      <xdr:row>40</xdr:row>
      <xdr:rowOff>142875</xdr:rowOff>
    </xdr:from>
    <xdr:to>
      <xdr:col>4</xdr:col>
      <xdr:colOff>722098</xdr:colOff>
      <xdr:row>41</xdr:row>
      <xdr:rowOff>76200</xdr:rowOff>
    </xdr:to>
    <xdr:sp macro="" textlink="">
      <xdr:nvSpPr>
        <xdr:cNvPr id="153" name="Text 219">
          <a:extLst>
            <a:ext uri="{FF2B5EF4-FFF2-40B4-BE49-F238E27FC236}">
              <a16:creationId xmlns:a16="http://schemas.microsoft.com/office/drawing/2014/main" id="{00000000-0008-0000-0100-000099000000}"/>
            </a:ext>
          </a:extLst>
        </xdr:cNvPr>
        <xdr:cNvSpPr txBox="1">
          <a:spLocks noChangeArrowheads="1"/>
        </xdr:cNvSpPr>
      </xdr:nvSpPr>
      <xdr:spPr bwMode="auto">
        <a:xfrm>
          <a:off x="2428875" y="9353550"/>
          <a:ext cx="903073"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a:extLst>
            <a:ext uri="{FF2B5EF4-FFF2-40B4-BE49-F238E27FC236}">
              <a16:creationId xmlns:a16="http://schemas.microsoft.com/office/drawing/2014/main" id="{00000000-0008-0000-0200-000002000000}"/>
            </a:ext>
          </a:extLst>
        </xdr:cNvPr>
        <xdr:cNvSpPr>
          <a:spLocks noChangeShapeType="1"/>
        </xdr:cNvSpPr>
      </xdr:nvSpPr>
      <xdr:spPr bwMode="auto">
        <a:xfrm>
          <a:off x="609600" y="1285875"/>
          <a:ext cx="942975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381000</xdr:colOff>
      <xdr:row>9</xdr:row>
      <xdr:rowOff>9525</xdr:rowOff>
    </xdr:to>
    <xdr:sp macro="" textlink="">
      <xdr:nvSpPr>
        <xdr:cNvPr id="3" name="Line 2">
          <a:extLst>
            <a:ext uri="{FF2B5EF4-FFF2-40B4-BE49-F238E27FC236}">
              <a16:creationId xmlns:a16="http://schemas.microsoft.com/office/drawing/2014/main" id="{00000000-0008-0000-0200-000003000000}"/>
            </a:ext>
          </a:extLst>
        </xdr:cNvPr>
        <xdr:cNvSpPr>
          <a:spLocks noChangeShapeType="1"/>
        </xdr:cNvSpPr>
      </xdr:nvSpPr>
      <xdr:spPr bwMode="auto">
        <a:xfrm flipV="1">
          <a:off x="609600" y="1447800"/>
          <a:ext cx="11877675" cy="95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a:extLst>
            <a:ext uri="{FF2B5EF4-FFF2-40B4-BE49-F238E27FC236}">
              <a16:creationId xmlns:a16="http://schemas.microsoft.com/office/drawing/2014/main" id="{00000000-0008-0000-0200-000004000000}"/>
            </a:ext>
          </a:extLst>
        </xdr:cNvPr>
        <xdr:cNvSpPr>
          <a:spLocks noChangeShapeType="1"/>
        </xdr:cNvSpPr>
      </xdr:nvSpPr>
      <xdr:spPr bwMode="auto">
        <a:xfrm flipV="1">
          <a:off x="11858625"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a:extLst>
            <a:ext uri="{FF2B5EF4-FFF2-40B4-BE49-F238E27FC236}">
              <a16:creationId xmlns:a16="http://schemas.microsoft.com/office/drawing/2014/main" id="{00000000-0008-0000-0200-000005000000}"/>
            </a:ext>
          </a:extLst>
        </xdr:cNvPr>
        <xdr:cNvSpPr>
          <a:spLocks noChangeShapeType="1"/>
        </xdr:cNvSpPr>
      </xdr:nvSpPr>
      <xdr:spPr bwMode="auto">
        <a:xfrm flipV="1">
          <a:off x="11858625"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9525</xdr:rowOff>
    </xdr:from>
    <xdr:to>
      <xdr:col>1</xdr:col>
      <xdr:colOff>0</xdr:colOff>
      <xdr:row>7</xdr:row>
      <xdr:rowOff>152400</xdr:rowOff>
    </xdr:to>
    <xdr:sp macro="" textlink="">
      <xdr:nvSpPr>
        <xdr:cNvPr id="6" name="Line 5">
          <a:extLst>
            <a:ext uri="{FF2B5EF4-FFF2-40B4-BE49-F238E27FC236}">
              <a16:creationId xmlns:a16="http://schemas.microsoft.com/office/drawing/2014/main" id="{00000000-0008-0000-0200-000006000000}"/>
            </a:ext>
          </a:extLst>
        </xdr:cNvPr>
        <xdr:cNvSpPr>
          <a:spLocks noChangeShapeType="1"/>
        </xdr:cNvSpPr>
      </xdr:nvSpPr>
      <xdr:spPr bwMode="auto">
        <a:xfrm flipH="1">
          <a:off x="609600" y="495300"/>
          <a:ext cx="0" cy="78105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800100</xdr:colOff>
      <xdr:row>15</xdr:row>
      <xdr:rowOff>161925</xdr:rowOff>
    </xdr:from>
    <xdr:to>
      <xdr:col>5</xdr:col>
      <xdr:colOff>657225</xdr:colOff>
      <xdr:row>36</xdr:row>
      <xdr:rowOff>171450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314325</xdr:colOff>
      <xdr:row>11</xdr:row>
      <xdr:rowOff>0</xdr:rowOff>
    </xdr:from>
    <xdr:to>
      <xdr:col>5</xdr:col>
      <xdr:colOff>590550</xdr:colOff>
      <xdr:row>38</xdr:row>
      <xdr:rowOff>9525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0.6502</cdr:x>
      <cdr:y>0.57702</cdr:y>
    </cdr:from>
    <cdr:to>
      <cdr:x>0.88605</cdr:x>
      <cdr:y>0.59771</cdr:y>
    </cdr:to>
    <cdr:sp macro="" textlink="">
      <cdr:nvSpPr>
        <cdr:cNvPr id="5133" name="Hot Stall"/>
        <cdr:cNvSpPr txBox="1">
          <a:spLocks xmlns:a="http://schemas.openxmlformats.org/drawingml/2006/main" noChangeArrowheads="1"/>
        </cdr:cNvSpPr>
      </cdr:nvSpPr>
      <cdr:spPr bwMode="auto">
        <a:xfrm xmlns:a="http://schemas.openxmlformats.org/drawingml/2006/main">
          <a:off x="3802609" y="3715405"/>
          <a:ext cx="1379333" cy="133221"/>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0.64043</cdr:x>
      <cdr:y>0.49798</cdr:y>
    </cdr:from>
    <cdr:to>
      <cdr:x>0.92325</cdr:x>
      <cdr:y>0.52311</cdr:y>
    </cdr:to>
    <cdr:sp macro="" textlink="">
      <cdr:nvSpPr>
        <cdr:cNvPr id="5134" name="Cold Stall"/>
        <cdr:cNvSpPr txBox="1">
          <a:spLocks xmlns:a="http://schemas.openxmlformats.org/drawingml/2006/main" noChangeArrowheads="1"/>
        </cdr:cNvSpPr>
      </cdr:nvSpPr>
      <cdr:spPr bwMode="auto">
        <a:xfrm xmlns:a="http://schemas.openxmlformats.org/drawingml/2006/main">
          <a:off x="3745459" y="3206456"/>
          <a:ext cx="1654030" cy="161810"/>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0.29932</cdr:x>
      <cdr:y>0.36182</cdr:y>
    </cdr:from>
    <cdr:to>
      <cdr:x>0.62444</cdr:x>
      <cdr:y>0.3899</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628650</xdr:colOff>
      <xdr:row>16</xdr:row>
      <xdr:rowOff>66675</xdr:rowOff>
    </xdr:from>
    <xdr:to>
      <xdr:col>0</xdr:col>
      <xdr:colOff>1104900</xdr:colOff>
      <xdr:row>17</xdr:row>
      <xdr:rowOff>0</xdr:rowOff>
    </xdr:to>
    <xdr:sp macro="" textlink="$N$37">
      <xdr:nvSpPr>
        <xdr:cNvPr id="3" name="RPM11">
          <a:extLst>
            <a:ext uri="{FF2B5EF4-FFF2-40B4-BE49-F238E27FC236}">
              <a16:creationId xmlns:a16="http://schemas.microsoft.com/office/drawing/2014/main" id="{00000000-0008-0000-0700-000003000000}"/>
            </a:ext>
          </a:extLst>
        </xdr:cNvPr>
        <xdr:cNvSpPr txBox="1">
          <a:spLocks noChangeArrowheads="1"/>
        </xdr:cNvSpPr>
      </xdr:nvSpPr>
      <xdr:spPr bwMode="auto">
        <a:xfrm>
          <a:off x="628650" y="396240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4A5C442C-D32C-419E-927F-56CF6E60C888}" type="TxLink">
            <a:rPr lang="en-US" sz="1000" b="0" i="0" u="none" strike="noStrike">
              <a:solidFill>
                <a:srgbClr val="000000"/>
              </a:solidFill>
              <a:latin typeface="Arial"/>
              <a:cs typeface="Arial"/>
            </a:rPr>
            <a:pPr/>
            <a:t>1800</a:t>
          </a:fld>
          <a:endParaRPr lang="en-US"/>
        </a:p>
      </xdr:txBody>
    </xdr:sp>
    <xdr:clientData/>
  </xdr:twoCellAnchor>
  <xdr:twoCellAnchor>
    <xdr:from>
      <xdr:col>0</xdr:col>
      <xdr:colOff>619125</xdr:colOff>
      <xdr:row>18</xdr:row>
      <xdr:rowOff>9525</xdr:rowOff>
    </xdr:from>
    <xdr:to>
      <xdr:col>0</xdr:col>
      <xdr:colOff>1095375</xdr:colOff>
      <xdr:row>18</xdr:row>
      <xdr:rowOff>180975</xdr:rowOff>
    </xdr:to>
    <xdr:sp macro="" textlink="$N$38">
      <xdr:nvSpPr>
        <xdr:cNvPr id="4" name="RPM10">
          <a:extLst>
            <a:ext uri="{FF2B5EF4-FFF2-40B4-BE49-F238E27FC236}">
              <a16:creationId xmlns:a16="http://schemas.microsoft.com/office/drawing/2014/main" id="{00000000-0008-0000-0700-000004000000}"/>
            </a:ext>
          </a:extLst>
        </xdr:cNvPr>
        <xdr:cNvSpPr txBox="1">
          <a:spLocks noChangeArrowheads="1"/>
        </xdr:cNvSpPr>
      </xdr:nvSpPr>
      <xdr:spPr bwMode="auto">
        <a:xfrm>
          <a:off x="619125" y="438150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496A2A88-D412-49B9-9C21-A1DA716434A2}" type="TxLink">
            <a:rPr lang="en-US" sz="1000" b="0" i="0" u="none" strike="noStrike">
              <a:solidFill>
                <a:srgbClr val="000000"/>
              </a:solidFill>
              <a:latin typeface="Arial"/>
              <a:cs typeface="Arial"/>
            </a:rPr>
            <a:pPr/>
            <a:t>1798</a:t>
          </a:fld>
          <a:endParaRPr lang="en-US"/>
        </a:p>
      </xdr:txBody>
    </xdr:sp>
    <xdr:clientData/>
  </xdr:twoCellAnchor>
  <xdr:twoCellAnchor>
    <xdr:from>
      <xdr:col>0</xdr:col>
      <xdr:colOff>609600</xdr:colOff>
      <xdr:row>19</xdr:row>
      <xdr:rowOff>180975</xdr:rowOff>
    </xdr:from>
    <xdr:to>
      <xdr:col>0</xdr:col>
      <xdr:colOff>1085850</xdr:colOff>
      <xdr:row>20</xdr:row>
      <xdr:rowOff>114300</xdr:rowOff>
    </xdr:to>
    <xdr:sp macro="" textlink="$N$39">
      <xdr:nvSpPr>
        <xdr:cNvPr id="5" name="RPM9">
          <a:extLst>
            <a:ext uri="{FF2B5EF4-FFF2-40B4-BE49-F238E27FC236}">
              <a16:creationId xmlns:a16="http://schemas.microsoft.com/office/drawing/2014/main" id="{00000000-0008-0000-0700-000005000000}"/>
            </a:ext>
          </a:extLst>
        </xdr:cNvPr>
        <xdr:cNvSpPr txBox="1">
          <a:spLocks noChangeArrowheads="1"/>
        </xdr:cNvSpPr>
      </xdr:nvSpPr>
      <xdr:spPr bwMode="auto">
        <a:xfrm>
          <a:off x="609600" y="479107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9C841EC0-8618-4DC8-94F1-CC5F10FF0BEB}" type="TxLink">
            <a:rPr lang="en-US" sz="1000" b="0" i="0" u="none" strike="noStrike">
              <a:solidFill>
                <a:srgbClr val="000000"/>
              </a:solidFill>
              <a:latin typeface="Arial"/>
              <a:cs typeface="Arial"/>
            </a:rPr>
            <a:pPr/>
            <a:t>1796</a:t>
          </a:fld>
          <a:endParaRPr lang="en-US"/>
        </a:p>
      </xdr:txBody>
    </xdr:sp>
    <xdr:clientData/>
  </xdr:twoCellAnchor>
  <xdr:twoCellAnchor>
    <xdr:from>
      <xdr:col>0</xdr:col>
      <xdr:colOff>609600</xdr:colOff>
      <xdr:row>21</xdr:row>
      <xdr:rowOff>114300</xdr:rowOff>
    </xdr:from>
    <xdr:to>
      <xdr:col>0</xdr:col>
      <xdr:colOff>1085850</xdr:colOff>
      <xdr:row>22</xdr:row>
      <xdr:rowOff>47625</xdr:rowOff>
    </xdr:to>
    <xdr:sp macro="" textlink="$N$40">
      <xdr:nvSpPr>
        <xdr:cNvPr id="6" name="RPM8">
          <a:extLst>
            <a:ext uri="{FF2B5EF4-FFF2-40B4-BE49-F238E27FC236}">
              <a16:creationId xmlns:a16="http://schemas.microsoft.com/office/drawing/2014/main" id="{00000000-0008-0000-0700-000006000000}"/>
            </a:ext>
          </a:extLst>
        </xdr:cNvPr>
        <xdr:cNvSpPr txBox="1">
          <a:spLocks noChangeArrowheads="1"/>
        </xdr:cNvSpPr>
      </xdr:nvSpPr>
      <xdr:spPr bwMode="auto">
        <a:xfrm>
          <a:off x="609600" y="520065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3752FA6C-A1FD-4133-8633-79978DBEB014}" type="TxLink">
            <a:rPr lang="en-US" sz="1000" b="0" i="0" u="none" strike="noStrike">
              <a:solidFill>
                <a:srgbClr val="000000"/>
              </a:solidFill>
              <a:latin typeface="Arial"/>
              <a:cs typeface="Arial"/>
            </a:rPr>
            <a:pPr/>
            <a:t>1794</a:t>
          </a:fld>
          <a:endParaRPr lang="en-US"/>
        </a:p>
      </xdr:txBody>
    </xdr:sp>
    <xdr:clientData/>
  </xdr:twoCellAnchor>
  <xdr:twoCellAnchor>
    <xdr:from>
      <xdr:col>0</xdr:col>
      <xdr:colOff>619125</xdr:colOff>
      <xdr:row>23</xdr:row>
      <xdr:rowOff>47625</xdr:rowOff>
    </xdr:from>
    <xdr:to>
      <xdr:col>0</xdr:col>
      <xdr:colOff>1095375</xdr:colOff>
      <xdr:row>23</xdr:row>
      <xdr:rowOff>219075</xdr:rowOff>
    </xdr:to>
    <xdr:sp macro="" textlink="$N$41">
      <xdr:nvSpPr>
        <xdr:cNvPr id="7" name="RPM7">
          <a:extLst>
            <a:ext uri="{FF2B5EF4-FFF2-40B4-BE49-F238E27FC236}">
              <a16:creationId xmlns:a16="http://schemas.microsoft.com/office/drawing/2014/main" id="{00000000-0008-0000-0700-000007000000}"/>
            </a:ext>
          </a:extLst>
        </xdr:cNvPr>
        <xdr:cNvSpPr txBox="1">
          <a:spLocks noChangeArrowheads="1"/>
        </xdr:cNvSpPr>
      </xdr:nvSpPr>
      <xdr:spPr bwMode="auto">
        <a:xfrm>
          <a:off x="619125" y="561022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688585A-55D3-4354-923F-F63B3BE6A820}" type="TxLink">
            <a:rPr lang="en-US" sz="1000" b="0" i="0" u="none" strike="noStrike">
              <a:solidFill>
                <a:srgbClr val="000000"/>
              </a:solidFill>
              <a:latin typeface="Arial"/>
              <a:cs typeface="Arial"/>
            </a:rPr>
            <a:pPr/>
            <a:t>1792</a:t>
          </a:fld>
          <a:endParaRPr lang="en-US"/>
        </a:p>
      </xdr:txBody>
    </xdr:sp>
    <xdr:clientData/>
  </xdr:twoCellAnchor>
  <xdr:twoCellAnchor>
    <xdr:from>
      <xdr:col>0</xdr:col>
      <xdr:colOff>619125</xdr:colOff>
      <xdr:row>24</xdr:row>
      <xdr:rowOff>219075</xdr:rowOff>
    </xdr:from>
    <xdr:to>
      <xdr:col>0</xdr:col>
      <xdr:colOff>1095375</xdr:colOff>
      <xdr:row>25</xdr:row>
      <xdr:rowOff>152400</xdr:rowOff>
    </xdr:to>
    <xdr:sp macro="" textlink="$N$42">
      <xdr:nvSpPr>
        <xdr:cNvPr id="8" name="RPM6">
          <a:extLst>
            <a:ext uri="{FF2B5EF4-FFF2-40B4-BE49-F238E27FC236}">
              <a16:creationId xmlns:a16="http://schemas.microsoft.com/office/drawing/2014/main" id="{00000000-0008-0000-0700-000008000000}"/>
            </a:ext>
          </a:extLst>
        </xdr:cNvPr>
        <xdr:cNvSpPr txBox="1">
          <a:spLocks noChangeArrowheads="1"/>
        </xdr:cNvSpPr>
      </xdr:nvSpPr>
      <xdr:spPr bwMode="auto">
        <a:xfrm>
          <a:off x="619125" y="601980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116FB1F6-5E35-4176-BCB3-8F0C4AB600E6}" type="TxLink">
            <a:rPr lang="en-US" sz="1000" b="0" i="0" u="none" strike="noStrike">
              <a:solidFill>
                <a:srgbClr val="000000"/>
              </a:solidFill>
              <a:latin typeface="Arial"/>
              <a:cs typeface="Arial"/>
            </a:rPr>
            <a:pPr/>
            <a:t>1790</a:t>
          </a:fld>
          <a:endParaRPr lang="en-US"/>
        </a:p>
      </xdr:txBody>
    </xdr:sp>
    <xdr:clientData/>
  </xdr:twoCellAnchor>
  <xdr:twoCellAnchor>
    <xdr:from>
      <xdr:col>0</xdr:col>
      <xdr:colOff>609600</xdr:colOff>
      <xdr:row>26</xdr:row>
      <xdr:rowOff>152400</xdr:rowOff>
    </xdr:from>
    <xdr:to>
      <xdr:col>0</xdr:col>
      <xdr:colOff>1085850</xdr:colOff>
      <xdr:row>27</xdr:row>
      <xdr:rowOff>85725</xdr:rowOff>
    </xdr:to>
    <xdr:sp macro="" textlink="$N$43">
      <xdr:nvSpPr>
        <xdr:cNvPr id="9" name="RPM5">
          <a:extLst>
            <a:ext uri="{FF2B5EF4-FFF2-40B4-BE49-F238E27FC236}">
              <a16:creationId xmlns:a16="http://schemas.microsoft.com/office/drawing/2014/main" id="{00000000-0008-0000-0700-000009000000}"/>
            </a:ext>
          </a:extLst>
        </xdr:cNvPr>
        <xdr:cNvSpPr txBox="1">
          <a:spLocks noChangeArrowheads="1"/>
        </xdr:cNvSpPr>
      </xdr:nvSpPr>
      <xdr:spPr bwMode="auto">
        <a:xfrm>
          <a:off x="609600" y="642937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587DB38D-9BF5-4960-AB9E-7C6283FFF84E}" type="TxLink">
            <a:rPr lang="en-US" sz="1000" b="0" i="0" u="none" strike="noStrike">
              <a:solidFill>
                <a:srgbClr val="000000"/>
              </a:solidFill>
              <a:latin typeface="Arial"/>
              <a:cs typeface="Arial"/>
            </a:rPr>
            <a:pPr/>
            <a:t>1788</a:t>
          </a:fld>
          <a:endParaRPr lang="en-US"/>
        </a:p>
      </xdr:txBody>
    </xdr:sp>
    <xdr:clientData/>
  </xdr:twoCellAnchor>
  <xdr:twoCellAnchor>
    <xdr:from>
      <xdr:col>0</xdr:col>
      <xdr:colOff>600075</xdr:colOff>
      <xdr:row>28</xdr:row>
      <xdr:rowOff>85725</xdr:rowOff>
    </xdr:from>
    <xdr:to>
      <xdr:col>0</xdr:col>
      <xdr:colOff>1076325</xdr:colOff>
      <xdr:row>29</xdr:row>
      <xdr:rowOff>19050</xdr:rowOff>
    </xdr:to>
    <xdr:sp macro="" textlink="$N$44">
      <xdr:nvSpPr>
        <xdr:cNvPr id="10" name="RPM4">
          <a:extLst>
            <a:ext uri="{FF2B5EF4-FFF2-40B4-BE49-F238E27FC236}">
              <a16:creationId xmlns:a16="http://schemas.microsoft.com/office/drawing/2014/main" id="{00000000-0008-0000-0700-00000A000000}"/>
            </a:ext>
          </a:extLst>
        </xdr:cNvPr>
        <xdr:cNvSpPr txBox="1">
          <a:spLocks noChangeArrowheads="1"/>
        </xdr:cNvSpPr>
      </xdr:nvSpPr>
      <xdr:spPr bwMode="auto">
        <a:xfrm>
          <a:off x="600075" y="683895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781EDD5D-C967-40A3-8915-A3FE8CBF206F}" type="TxLink">
            <a:rPr lang="en-US" sz="1000" b="0" i="0" u="none" strike="noStrike">
              <a:solidFill>
                <a:srgbClr val="000000"/>
              </a:solidFill>
              <a:latin typeface="Arial"/>
              <a:cs typeface="Arial"/>
            </a:rPr>
            <a:pPr/>
            <a:t>1786</a:t>
          </a:fld>
          <a:endParaRPr lang="en-US"/>
        </a:p>
      </xdr:txBody>
    </xdr:sp>
    <xdr:clientData/>
  </xdr:twoCellAnchor>
  <xdr:twoCellAnchor>
    <xdr:from>
      <xdr:col>0</xdr:col>
      <xdr:colOff>600075</xdr:colOff>
      <xdr:row>30</xdr:row>
      <xdr:rowOff>28575</xdr:rowOff>
    </xdr:from>
    <xdr:to>
      <xdr:col>0</xdr:col>
      <xdr:colOff>1076325</xdr:colOff>
      <xdr:row>30</xdr:row>
      <xdr:rowOff>200025</xdr:rowOff>
    </xdr:to>
    <xdr:sp macro="" textlink="$N$45">
      <xdr:nvSpPr>
        <xdr:cNvPr id="11" name="RPM3">
          <a:extLst>
            <a:ext uri="{FF2B5EF4-FFF2-40B4-BE49-F238E27FC236}">
              <a16:creationId xmlns:a16="http://schemas.microsoft.com/office/drawing/2014/main" id="{00000000-0008-0000-0700-00000B000000}"/>
            </a:ext>
          </a:extLst>
        </xdr:cNvPr>
        <xdr:cNvSpPr txBox="1">
          <a:spLocks noChangeArrowheads="1"/>
        </xdr:cNvSpPr>
      </xdr:nvSpPr>
      <xdr:spPr bwMode="auto">
        <a:xfrm>
          <a:off x="600075" y="725805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088CE38C-159D-4C8F-985D-3AF655335F02}" type="TxLink">
            <a:rPr lang="en-US" sz="1000" b="0" i="0" u="none" strike="noStrike">
              <a:solidFill>
                <a:srgbClr val="000000"/>
              </a:solidFill>
              <a:latin typeface="Arial"/>
              <a:cs typeface="Arial"/>
            </a:rPr>
            <a:pPr/>
            <a:t>1784</a:t>
          </a:fld>
          <a:endParaRPr lang="en-US"/>
        </a:p>
      </xdr:txBody>
    </xdr:sp>
    <xdr:clientData/>
  </xdr:twoCellAnchor>
  <xdr:twoCellAnchor>
    <xdr:from>
      <xdr:col>0</xdr:col>
      <xdr:colOff>600075</xdr:colOff>
      <xdr:row>31</xdr:row>
      <xdr:rowOff>200025</xdr:rowOff>
    </xdr:from>
    <xdr:to>
      <xdr:col>0</xdr:col>
      <xdr:colOff>1076325</xdr:colOff>
      <xdr:row>32</xdr:row>
      <xdr:rowOff>133350</xdr:rowOff>
    </xdr:to>
    <xdr:sp macro="" textlink="$N$46">
      <xdr:nvSpPr>
        <xdr:cNvPr id="12" name="RPM2">
          <a:extLst>
            <a:ext uri="{FF2B5EF4-FFF2-40B4-BE49-F238E27FC236}">
              <a16:creationId xmlns:a16="http://schemas.microsoft.com/office/drawing/2014/main" id="{00000000-0008-0000-0700-00000C000000}"/>
            </a:ext>
          </a:extLst>
        </xdr:cNvPr>
        <xdr:cNvSpPr txBox="1">
          <a:spLocks noChangeArrowheads="1"/>
        </xdr:cNvSpPr>
      </xdr:nvSpPr>
      <xdr:spPr bwMode="auto">
        <a:xfrm>
          <a:off x="600075" y="766762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BF8BB95E-ACD7-4187-B6E9-5EDE14D6F64F}" type="TxLink">
            <a:rPr lang="en-US" sz="1000" b="0" i="0" u="none" strike="noStrike">
              <a:solidFill>
                <a:srgbClr val="000000"/>
              </a:solidFill>
              <a:latin typeface="Arial"/>
              <a:cs typeface="Arial"/>
            </a:rPr>
            <a:pPr/>
            <a:t>1782</a:t>
          </a:fld>
          <a:endParaRPr lang="en-US"/>
        </a:p>
      </xdr:txBody>
    </xdr:sp>
    <xdr:clientData/>
  </xdr:twoCellAnchor>
  <xdr:twoCellAnchor>
    <xdr:from>
      <xdr:col>0</xdr:col>
      <xdr:colOff>609600</xdr:colOff>
      <xdr:row>33</xdr:row>
      <xdr:rowOff>133350</xdr:rowOff>
    </xdr:from>
    <xdr:to>
      <xdr:col>0</xdr:col>
      <xdr:colOff>1085850</xdr:colOff>
      <xdr:row>34</xdr:row>
      <xdr:rowOff>66675</xdr:rowOff>
    </xdr:to>
    <xdr:sp macro="" textlink="$N$47">
      <xdr:nvSpPr>
        <xdr:cNvPr id="13" name="RPM1">
          <a:extLst>
            <a:ext uri="{FF2B5EF4-FFF2-40B4-BE49-F238E27FC236}">
              <a16:creationId xmlns:a16="http://schemas.microsoft.com/office/drawing/2014/main" id="{00000000-0008-0000-0700-00000D000000}"/>
            </a:ext>
          </a:extLst>
        </xdr:cNvPr>
        <xdr:cNvSpPr txBox="1">
          <a:spLocks noChangeArrowheads="1"/>
        </xdr:cNvSpPr>
      </xdr:nvSpPr>
      <xdr:spPr bwMode="auto">
        <a:xfrm>
          <a:off x="609600" y="807720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140AF5B6-F288-4C98-BEB8-E8AEA81E79FA}" type="TxLink">
            <a:rPr lang="en-US" sz="1000" b="0" i="0" u="none" strike="noStrike">
              <a:solidFill>
                <a:srgbClr val="000000"/>
              </a:solidFill>
              <a:latin typeface="Arial"/>
              <a:cs typeface="Arial"/>
            </a:rPr>
            <a:pPr/>
            <a:t>1780</a:t>
          </a:fld>
          <a:endParaRPr lang="en-US"/>
        </a:p>
      </xdr:txBody>
    </xdr:sp>
    <xdr:clientData/>
  </xdr:twoCellAnchor>
  <xdr:twoCellAnchor>
    <xdr:from>
      <xdr:col>0</xdr:col>
      <xdr:colOff>390525</xdr:colOff>
      <xdr:row>24</xdr:row>
      <xdr:rowOff>104775</xdr:rowOff>
    </xdr:from>
    <xdr:to>
      <xdr:col>0</xdr:col>
      <xdr:colOff>600075</xdr:colOff>
      <xdr:row>26</xdr:row>
      <xdr:rowOff>209550</xdr:rowOff>
    </xdr:to>
    <xdr:sp macro="" textlink="">
      <xdr:nvSpPr>
        <xdr:cNvPr id="14" name="RPM">
          <a:extLst>
            <a:ext uri="{FF2B5EF4-FFF2-40B4-BE49-F238E27FC236}">
              <a16:creationId xmlns:a16="http://schemas.microsoft.com/office/drawing/2014/main" id="{00000000-0008-0000-0700-00000E000000}"/>
            </a:ext>
          </a:extLst>
        </xdr:cNvPr>
        <xdr:cNvSpPr txBox="1">
          <a:spLocks noChangeArrowheads="1"/>
        </xdr:cNvSpPr>
      </xdr:nvSpPr>
      <xdr:spPr bwMode="auto">
        <a:xfrm>
          <a:off x="390525" y="5905500"/>
          <a:ext cx="209550" cy="581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352424</xdr:colOff>
      <xdr:row>16</xdr:row>
      <xdr:rowOff>85725</xdr:rowOff>
    </xdr:from>
    <xdr:to>
      <xdr:col>5</xdr:col>
      <xdr:colOff>876300</xdr:colOff>
      <xdr:row>17</xdr:row>
      <xdr:rowOff>38100</xdr:rowOff>
    </xdr:to>
    <xdr:sp macro="" textlink="$O$37">
      <xdr:nvSpPr>
        <xdr:cNvPr id="15" name="Watts11">
          <a:extLst>
            <a:ext uri="{FF2B5EF4-FFF2-40B4-BE49-F238E27FC236}">
              <a16:creationId xmlns:a16="http://schemas.microsoft.com/office/drawing/2014/main" id="{00000000-0008-0000-0700-00000F000000}"/>
            </a:ext>
          </a:extLst>
        </xdr:cNvPr>
        <xdr:cNvSpPr txBox="1">
          <a:spLocks noChangeArrowheads="1"/>
        </xdr:cNvSpPr>
      </xdr:nvSpPr>
      <xdr:spPr bwMode="auto">
        <a:xfrm>
          <a:off x="5924549" y="3981450"/>
          <a:ext cx="5238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5A2104A4-9FFA-42BE-A409-3DE508504040}" type="TxLink">
            <a:rPr lang="en-US" sz="1000" b="0" i="0" u="none" strike="noStrike">
              <a:solidFill>
                <a:srgbClr val="000000"/>
              </a:solidFill>
              <a:latin typeface="Arial"/>
              <a:cs typeface="Arial"/>
            </a:rPr>
            <a:pPr/>
            <a:t>1600</a:t>
          </a:fld>
          <a:endParaRPr lang="en-US"/>
        </a:p>
      </xdr:txBody>
    </xdr:sp>
    <xdr:clientData/>
  </xdr:twoCellAnchor>
  <xdr:twoCellAnchor>
    <xdr:from>
      <xdr:col>5</xdr:col>
      <xdr:colOff>381000</xdr:colOff>
      <xdr:row>25</xdr:row>
      <xdr:rowOff>0</xdr:rowOff>
    </xdr:from>
    <xdr:to>
      <xdr:col>5</xdr:col>
      <xdr:colOff>851209</xdr:colOff>
      <xdr:row>25</xdr:row>
      <xdr:rowOff>200025</xdr:rowOff>
    </xdr:to>
    <xdr:sp macro="" textlink="$O$42">
      <xdr:nvSpPr>
        <xdr:cNvPr id="16" name="Watts6">
          <a:extLst>
            <a:ext uri="{FF2B5EF4-FFF2-40B4-BE49-F238E27FC236}">
              <a16:creationId xmlns:a16="http://schemas.microsoft.com/office/drawing/2014/main" id="{00000000-0008-0000-0700-000010000000}"/>
            </a:ext>
          </a:extLst>
        </xdr:cNvPr>
        <xdr:cNvSpPr txBox="1">
          <a:spLocks noChangeArrowheads="1"/>
        </xdr:cNvSpPr>
      </xdr:nvSpPr>
      <xdr:spPr bwMode="auto">
        <a:xfrm>
          <a:off x="5953125" y="6038850"/>
          <a:ext cx="470209"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6254B877-6BA7-4CD5-8788-7D4CB646C0F8}" type="TxLink">
            <a:rPr lang="en-US" sz="1000" b="0" i="0" u="none" strike="noStrike">
              <a:solidFill>
                <a:srgbClr val="000000"/>
              </a:solidFill>
              <a:latin typeface="Arial"/>
              <a:cs typeface="Arial"/>
            </a:rPr>
            <a:pPr/>
            <a:t>800</a:t>
          </a:fld>
          <a:endParaRPr lang="en-US"/>
        </a:p>
      </xdr:txBody>
    </xdr:sp>
    <xdr:clientData/>
  </xdr:twoCellAnchor>
  <xdr:twoCellAnchor>
    <xdr:from>
      <xdr:col>5</xdr:col>
      <xdr:colOff>371474</xdr:colOff>
      <xdr:row>26</xdr:row>
      <xdr:rowOff>180975</xdr:rowOff>
    </xdr:from>
    <xdr:to>
      <xdr:col>5</xdr:col>
      <xdr:colOff>788250</xdr:colOff>
      <xdr:row>27</xdr:row>
      <xdr:rowOff>133350</xdr:rowOff>
    </xdr:to>
    <xdr:sp macro="" textlink="$O$43">
      <xdr:nvSpPr>
        <xdr:cNvPr id="17" name="Watts5">
          <a:extLst>
            <a:ext uri="{FF2B5EF4-FFF2-40B4-BE49-F238E27FC236}">
              <a16:creationId xmlns:a16="http://schemas.microsoft.com/office/drawing/2014/main" id="{00000000-0008-0000-0700-000011000000}"/>
            </a:ext>
          </a:extLst>
        </xdr:cNvPr>
        <xdr:cNvSpPr txBox="1">
          <a:spLocks noChangeArrowheads="1"/>
        </xdr:cNvSpPr>
      </xdr:nvSpPr>
      <xdr:spPr bwMode="auto">
        <a:xfrm>
          <a:off x="5943599" y="6457950"/>
          <a:ext cx="416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14F704E1-8D8F-43C4-BEEF-ACFCED74DA2D}" type="TxLink">
            <a:rPr lang="en-US" sz="1000" b="0" i="0" u="none" strike="noStrike">
              <a:solidFill>
                <a:srgbClr val="000000"/>
              </a:solidFill>
              <a:latin typeface="Arial"/>
              <a:cs typeface="Arial"/>
            </a:rPr>
            <a:pPr/>
            <a:t>640</a:t>
          </a:fld>
          <a:endParaRPr lang="en-US"/>
        </a:p>
      </xdr:txBody>
    </xdr:sp>
    <xdr:clientData/>
  </xdr:twoCellAnchor>
  <xdr:twoCellAnchor>
    <xdr:from>
      <xdr:col>5</xdr:col>
      <xdr:colOff>380999</xdr:colOff>
      <xdr:row>28</xdr:row>
      <xdr:rowOff>114300</xdr:rowOff>
    </xdr:from>
    <xdr:to>
      <xdr:col>5</xdr:col>
      <xdr:colOff>797775</xdr:colOff>
      <xdr:row>29</xdr:row>
      <xdr:rowOff>66675</xdr:rowOff>
    </xdr:to>
    <xdr:sp macro="" textlink="$O$44">
      <xdr:nvSpPr>
        <xdr:cNvPr id="18" name="Watts4">
          <a:extLst>
            <a:ext uri="{FF2B5EF4-FFF2-40B4-BE49-F238E27FC236}">
              <a16:creationId xmlns:a16="http://schemas.microsoft.com/office/drawing/2014/main" id="{00000000-0008-0000-0700-000012000000}"/>
            </a:ext>
          </a:extLst>
        </xdr:cNvPr>
        <xdr:cNvSpPr txBox="1">
          <a:spLocks noChangeArrowheads="1"/>
        </xdr:cNvSpPr>
      </xdr:nvSpPr>
      <xdr:spPr bwMode="auto">
        <a:xfrm>
          <a:off x="5953124" y="6867525"/>
          <a:ext cx="416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15866EF6-FADE-4343-A90B-BE990E6396E9}" type="TxLink">
            <a:rPr lang="en-US" sz="1000" b="0" i="0" u="none" strike="noStrike">
              <a:solidFill>
                <a:srgbClr val="000000"/>
              </a:solidFill>
              <a:latin typeface="Arial"/>
              <a:cs typeface="Arial"/>
            </a:rPr>
            <a:pPr/>
            <a:t>480</a:t>
          </a:fld>
          <a:endParaRPr lang="en-US"/>
        </a:p>
      </xdr:txBody>
    </xdr:sp>
    <xdr:clientData/>
  </xdr:twoCellAnchor>
  <xdr:twoCellAnchor>
    <xdr:from>
      <xdr:col>5</xdr:col>
      <xdr:colOff>371474</xdr:colOff>
      <xdr:row>30</xdr:row>
      <xdr:rowOff>38100</xdr:rowOff>
    </xdr:from>
    <xdr:to>
      <xdr:col>5</xdr:col>
      <xdr:colOff>788250</xdr:colOff>
      <xdr:row>30</xdr:row>
      <xdr:rowOff>228600</xdr:rowOff>
    </xdr:to>
    <xdr:sp macro="" textlink="$O$45">
      <xdr:nvSpPr>
        <xdr:cNvPr id="19" name="Watts3">
          <a:extLst>
            <a:ext uri="{FF2B5EF4-FFF2-40B4-BE49-F238E27FC236}">
              <a16:creationId xmlns:a16="http://schemas.microsoft.com/office/drawing/2014/main" id="{00000000-0008-0000-0700-000013000000}"/>
            </a:ext>
          </a:extLst>
        </xdr:cNvPr>
        <xdr:cNvSpPr txBox="1">
          <a:spLocks noChangeArrowheads="1"/>
        </xdr:cNvSpPr>
      </xdr:nvSpPr>
      <xdr:spPr bwMode="auto">
        <a:xfrm>
          <a:off x="5943599" y="7267575"/>
          <a:ext cx="416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C7399BA-6F96-4818-AADB-E027876E2336}" type="TxLink">
            <a:rPr lang="en-US" sz="1000" b="0" i="0" u="none" strike="noStrike">
              <a:solidFill>
                <a:srgbClr val="000000"/>
              </a:solidFill>
              <a:latin typeface="Arial"/>
              <a:cs typeface="Arial"/>
            </a:rPr>
            <a:pPr/>
            <a:t>320</a:t>
          </a:fld>
          <a:endParaRPr lang="en-US"/>
        </a:p>
      </xdr:txBody>
    </xdr:sp>
    <xdr:clientData/>
  </xdr:twoCellAnchor>
  <xdr:twoCellAnchor>
    <xdr:from>
      <xdr:col>5</xdr:col>
      <xdr:colOff>371474</xdr:colOff>
      <xdr:row>31</xdr:row>
      <xdr:rowOff>219075</xdr:rowOff>
    </xdr:from>
    <xdr:to>
      <xdr:col>5</xdr:col>
      <xdr:colOff>788250</xdr:colOff>
      <xdr:row>32</xdr:row>
      <xdr:rowOff>171450</xdr:rowOff>
    </xdr:to>
    <xdr:sp macro="" textlink="$O$46">
      <xdr:nvSpPr>
        <xdr:cNvPr id="20" name="Watts2">
          <a:extLst>
            <a:ext uri="{FF2B5EF4-FFF2-40B4-BE49-F238E27FC236}">
              <a16:creationId xmlns:a16="http://schemas.microsoft.com/office/drawing/2014/main" id="{00000000-0008-0000-0700-000014000000}"/>
            </a:ext>
          </a:extLst>
        </xdr:cNvPr>
        <xdr:cNvSpPr txBox="1">
          <a:spLocks noChangeArrowheads="1"/>
        </xdr:cNvSpPr>
      </xdr:nvSpPr>
      <xdr:spPr bwMode="auto">
        <a:xfrm>
          <a:off x="5943599" y="7686675"/>
          <a:ext cx="416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D2DB331-7678-4CDA-A198-166AEEC71BB1}" type="TxLink">
            <a:rPr lang="en-US" sz="1000" b="0" i="0" u="none" strike="noStrike">
              <a:solidFill>
                <a:srgbClr val="000000"/>
              </a:solidFill>
              <a:latin typeface="Arial"/>
              <a:cs typeface="Arial"/>
            </a:rPr>
            <a:pPr/>
            <a:t>160</a:t>
          </a:fld>
          <a:endParaRPr lang="en-US"/>
        </a:p>
      </xdr:txBody>
    </xdr:sp>
    <xdr:clientData/>
  </xdr:twoCellAnchor>
  <xdr:twoCellAnchor>
    <xdr:from>
      <xdr:col>5</xdr:col>
      <xdr:colOff>733425</xdr:colOff>
      <xdr:row>23</xdr:row>
      <xdr:rowOff>9525</xdr:rowOff>
    </xdr:from>
    <xdr:to>
      <xdr:col>5</xdr:col>
      <xdr:colOff>952500</xdr:colOff>
      <xdr:row>28</xdr:row>
      <xdr:rowOff>142875</xdr:rowOff>
    </xdr:to>
    <xdr:sp macro="" textlink="">
      <xdr:nvSpPr>
        <xdr:cNvPr id="21" name="Input Watts">
          <a:extLst>
            <a:ext uri="{FF2B5EF4-FFF2-40B4-BE49-F238E27FC236}">
              <a16:creationId xmlns:a16="http://schemas.microsoft.com/office/drawing/2014/main" id="{00000000-0008-0000-0700-000015000000}"/>
            </a:ext>
          </a:extLst>
        </xdr:cNvPr>
        <xdr:cNvSpPr txBox="1">
          <a:spLocks noChangeArrowheads="1"/>
        </xdr:cNvSpPr>
      </xdr:nvSpPr>
      <xdr:spPr bwMode="auto">
        <a:xfrm>
          <a:off x="6305550" y="5572125"/>
          <a:ext cx="219075" cy="1323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371474</xdr:colOff>
      <xdr:row>23</xdr:row>
      <xdr:rowOff>66675</xdr:rowOff>
    </xdr:from>
    <xdr:to>
      <xdr:col>5</xdr:col>
      <xdr:colOff>788250</xdr:colOff>
      <xdr:row>24</xdr:row>
      <xdr:rowOff>19050</xdr:rowOff>
    </xdr:to>
    <xdr:sp macro="" textlink="$O$41">
      <xdr:nvSpPr>
        <xdr:cNvPr id="22" name="Watts7">
          <a:extLst>
            <a:ext uri="{FF2B5EF4-FFF2-40B4-BE49-F238E27FC236}">
              <a16:creationId xmlns:a16="http://schemas.microsoft.com/office/drawing/2014/main" id="{00000000-0008-0000-0700-000016000000}"/>
            </a:ext>
          </a:extLst>
        </xdr:cNvPr>
        <xdr:cNvSpPr txBox="1">
          <a:spLocks noChangeArrowheads="1"/>
        </xdr:cNvSpPr>
      </xdr:nvSpPr>
      <xdr:spPr bwMode="auto">
        <a:xfrm>
          <a:off x="5943599" y="5629275"/>
          <a:ext cx="416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E35A1AB9-74E6-40A9-8353-9DBDCDABB6BD}" type="TxLink">
            <a:rPr lang="en-US" sz="1000" b="0" i="0" u="none" strike="noStrike">
              <a:solidFill>
                <a:srgbClr val="000000"/>
              </a:solidFill>
              <a:latin typeface="Arial"/>
              <a:cs typeface="Arial"/>
            </a:rPr>
            <a:pPr/>
            <a:t>960</a:t>
          </a:fld>
          <a:endParaRPr lang="en-US"/>
        </a:p>
      </xdr:txBody>
    </xdr:sp>
    <xdr:clientData/>
  </xdr:twoCellAnchor>
  <xdr:twoCellAnchor>
    <xdr:from>
      <xdr:col>5</xdr:col>
      <xdr:colOff>371473</xdr:colOff>
      <xdr:row>21</xdr:row>
      <xdr:rowOff>133350</xdr:rowOff>
    </xdr:from>
    <xdr:to>
      <xdr:col>5</xdr:col>
      <xdr:colOff>866774</xdr:colOff>
      <xdr:row>22</xdr:row>
      <xdr:rowOff>66675</xdr:rowOff>
    </xdr:to>
    <xdr:sp macro="" textlink="$O$40">
      <xdr:nvSpPr>
        <xdr:cNvPr id="23" name="Watts8">
          <a:extLst>
            <a:ext uri="{FF2B5EF4-FFF2-40B4-BE49-F238E27FC236}">
              <a16:creationId xmlns:a16="http://schemas.microsoft.com/office/drawing/2014/main" id="{00000000-0008-0000-0700-000017000000}"/>
            </a:ext>
          </a:extLst>
        </xdr:cNvPr>
        <xdr:cNvSpPr txBox="1">
          <a:spLocks noChangeArrowheads="1"/>
        </xdr:cNvSpPr>
      </xdr:nvSpPr>
      <xdr:spPr bwMode="auto">
        <a:xfrm>
          <a:off x="5943598" y="5219700"/>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E417A18-0C28-4FEC-898E-12BAD2F15D4B}" type="TxLink">
            <a:rPr lang="en-US" sz="1000" b="0" i="0" u="none" strike="noStrike">
              <a:solidFill>
                <a:srgbClr val="000000"/>
              </a:solidFill>
              <a:latin typeface="Arial"/>
              <a:cs typeface="Arial"/>
            </a:rPr>
            <a:pPr/>
            <a:t>1120</a:t>
          </a:fld>
          <a:endParaRPr lang="en-US"/>
        </a:p>
      </xdr:txBody>
    </xdr:sp>
    <xdr:clientData/>
  </xdr:twoCellAnchor>
  <xdr:twoCellAnchor>
    <xdr:from>
      <xdr:col>5</xdr:col>
      <xdr:colOff>361948</xdr:colOff>
      <xdr:row>19</xdr:row>
      <xdr:rowOff>200025</xdr:rowOff>
    </xdr:from>
    <xdr:to>
      <xdr:col>5</xdr:col>
      <xdr:colOff>857249</xdr:colOff>
      <xdr:row>20</xdr:row>
      <xdr:rowOff>133350</xdr:rowOff>
    </xdr:to>
    <xdr:sp macro="" textlink="$O$39">
      <xdr:nvSpPr>
        <xdr:cNvPr id="24" name="Watts9">
          <a:extLst>
            <a:ext uri="{FF2B5EF4-FFF2-40B4-BE49-F238E27FC236}">
              <a16:creationId xmlns:a16="http://schemas.microsoft.com/office/drawing/2014/main" id="{00000000-0008-0000-0700-000018000000}"/>
            </a:ext>
          </a:extLst>
        </xdr:cNvPr>
        <xdr:cNvSpPr txBox="1">
          <a:spLocks noChangeArrowheads="1"/>
        </xdr:cNvSpPr>
      </xdr:nvSpPr>
      <xdr:spPr bwMode="auto">
        <a:xfrm>
          <a:off x="5934073" y="4810125"/>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247872A-8C21-4F21-880C-DA9EF5421E5C}" type="TxLink">
            <a:rPr lang="en-US" sz="1000" b="0" i="0" u="none" strike="noStrike">
              <a:solidFill>
                <a:srgbClr val="000000"/>
              </a:solidFill>
              <a:latin typeface="Arial"/>
              <a:cs typeface="Arial"/>
            </a:rPr>
            <a:pPr/>
            <a:t>1280</a:t>
          </a:fld>
          <a:endParaRPr lang="en-US"/>
        </a:p>
      </xdr:txBody>
    </xdr:sp>
    <xdr:clientData/>
  </xdr:twoCellAnchor>
  <xdr:twoCellAnchor>
    <xdr:from>
      <xdr:col>5</xdr:col>
      <xdr:colOff>361948</xdr:colOff>
      <xdr:row>18</xdr:row>
      <xdr:rowOff>28575</xdr:rowOff>
    </xdr:from>
    <xdr:to>
      <xdr:col>5</xdr:col>
      <xdr:colOff>857249</xdr:colOff>
      <xdr:row>18</xdr:row>
      <xdr:rowOff>200025</xdr:rowOff>
    </xdr:to>
    <xdr:sp macro="" textlink="$O$38">
      <xdr:nvSpPr>
        <xdr:cNvPr id="25" name="Watts10">
          <a:extLst>
            <a:ext uri="{FF2B5EF4-FFF2-40B4-BE49-F238E27FC236}">
              <a16:creationId xmlns:a16="http://schemas.microsoft.com/office/drawing/2014/main" id="{00000000-0008-0000-0700-000019000000}"/>
            </a:ext>
          </a:extLst>
        </xdr:cNvPr>
        <xdr:cNvSpPr txBox="1">
          <a:spLocks noChangeArrowheads="1"/>
        </xdr:cNvSpPr>
      </xdr:nvSpPr>
      <xdr:spPr bwMode="auto">
        <a:xfrm>
          <a:off x="5934073" y="4400550"/>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114BF278-2B2E-4DEF-ACB0-1828DB9E5907}" type="TxLink">
            <a:rPr lang="en-US" sz="1000" b="0" i="0" u="none" strike="noStrike">
              <a:solidFill>
                <a:srgbClr val="000000"/>
              </a:solidFill>
              <a:latin typeface="Arial"/>
              <a:cs typeface="Arial"/>
            </a:rPr>
            <a:pPr/>
            <a:t>1440</a:t>
          </a:fld>
          <a:endParaRPr lang="en-US"/>
        </a:p>
      </xdr:txBody>
    </xdr:sp>
    <xdr:clientData/>
  </xdr:twoCellAnchor>
  <xdr:twoCellAnchor>
    <xdr:from>
      <xdr:col>2</xdr:col>
      <xdr:colOff>857250</xdr:colOff>
      <xdr:row>17</xdr:row>
      <xdr:rowOff>19050</xdr:rowOff>
    </xdr:from>
    <xdr:to>
      <xdr:col>3</xdr:col>
      <xdr:colOff>85725</xdr:colOff>
      <xdr:row>17</xdr:row>
      <xdr:rowOff>161925</xdr:rowOff>
    </xdr:to>
    <xdr:sp macro="" textlink="" fLocksText="0">
      <xdr:nvSpPr>
        <xdr:cNvPr id="26" name="Text Box 26">
          <a:extLst>
            <a:ext uri="{FF2B5EF4-FFF2-40B4-BE49-F238E27FC236}">
              <a16:creationId xmlns:a16="http://schemas.microsoft.com/office/drawing/2014/main" id="{00000000-0008-0000-0700-00001A000000}"/>
            </a:ext>
          </a:extLst>
        </xdr:cNvPr>
        <xdr:cNvSpPr txBox="1">
          <a:spLocks noChangeArrowheads="1"/>
        </xdr:cNvSpPr>
      </xdr:nvSpPr>
      <xdr:spPr bwMode="auto">
        <a:xfrm>
          <a:off x="3086100" y="41529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561975</xdr:colOff>
      <xdr:row>18</xdr:row>
      <xdr:rowOff>161925</xdr:rowOff>
    </xdr:from>
    <xdr:to>
      <xdr:col>3</xdr:col>
      <xdr:colOff>895350</xdr:colOff>
      <xdr:row>19</xdr:row>
      <xdr:rowOff>95250</xdr:rowOff>
    </xdr:to>
    <xdr:sp macro="" textlink="" fLocksText="0">
      <xdr:nvSpPr>
        <xdr:cNvPr id="27" name="Text Box 27">
          <a:extLst>
            <a:ext uri="{FF2B5EF4-FFF2-40B4-BE49-F238E27FC236}">
              <a16:creationId xmlns:a16="http://schemas.microsoft.com/office/drawing/2014/main" id="{00000000-0008-0000-0700-00001B000000}"/>
            </a:ext>
          </a:extLst>
        </xdr:cNvPr>
        <xdr:cNvSpPr txBox="1">
          <a:spLocks noChangeArrowheads="1"/>
        </xdr:cNvSpPr>
      </xdr:nvSpPr>
      <xdr:spPr bwMode="auto">
        <a:xfrm>
          <a:off x="3905250" y="4533900"/>
          <a:ext cx="3333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2</xdr:col>
      <xdr:colOff>923925</xdr:colOff>
      <xdr:row>23</xdr:row>
      <xdr:rowOff>228600</xdr:rowOff>
    </xdr:from>
    <xdr:to>
      <xdr:col>3</xdr:col>
      <xdr:colOff>152400</xdr:colOff>
      <xdr:row>24</xdr:row>
      <xdr:rowOff>133350</xdr:rowOff>
    </xdr:to>
    <xdr:sp macro="" textlink="" fLocksText="0">
      <xdr:nvSpPr>
        <xdr:cNvPr id="28" name="Speed">
          <a:extLst>
            <a:ext uri="{FF2B5EF4-FFF2-40B4-BE49-F238E27FC236}">
              <a16:creationId xmlns:a16="http://schemas.microsoft.com/office/drawing/2014/main" id="{00000000-0008-0000-0700-00001C000000}"/>
            </a:ext>
          </a:extLst>
        </xdr:cNvPr>
        <xdr:cNvSpPr txBox="1">
          <a:spLocks noChangeArrowheads="1"/>
        </xdr:cNvSpPr>
      </xdr:nvSpPr>
      <xdr:spPr bwMode="auto">
        <a:xfrm>
          <a:off x="3152775" y="57912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1047750</xdr:colOff>
      <xdr:row>29</xdr:row>
      <xdr:rowOff>219075</xdr:rowOff>
    </xdr:from>
    <xdr:to>
      <xdr:col>2</xdr:col>
      <xdr:colOff>371475</xdr:colOff>
      <xdr:row>30</xdr:row>
      <xdr:rowOff>133350</xdr:rowOff>
    </xdr:to>
    <xdr:sp macro="" textlink="" fLocksText="0">
      <xdr:nvSpPr>
        <xdr:cNvPr id="29" name="Amps">
          <a:extLst>
            <a:ext uri="{FF2B5EF4-FFF2-40B4-BE49-F238E27FC236}">
              <a16:creationId xmlns:a16="http://schemas.microsoft.com/office/drawing/2014/main" id="{00000000-0008-0000-0700-00001D000000}"/>
            </a:ext>
          </a:extLst>
        </xdr:cNvPr>
        <xdr:cNvSpPr txBox="1">
          <a:spLocks noChangeArrowheads="1"/>
        </xdr:cNvSpPr>
      </xdr:nvSpPr>
      <xdr:spPr bwMode="auto">
        <a:xfrm>
          <a:off x="2162175" y="7210425"/>
          <a:ext cx="438150"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571500</xdr:colOff>
      <xdr:row>31</xdr:row>
      <xdr:rowOff>180975</xdr:rowOff>
    </xdr:from>
    <xdr:to>
      <xdr:col>2</xdr:col>
      <xdr:colOff>1076325</xdr:colOff>
      <xdr:row>32</xdr:row>
      <xdr:rowOff>95250</xdr:rowOff>
    </xdr:to>
    <xdr:sp macro="" textlink="" fLocksText="0">
      <xdr:nvSpPr>
        <xdr:cNvPr id="30" name="Watts">
          <a:extLst>
            <a:ext uri="{FF2B5EF4-FFF2-40B4-BE49-F238E27FC236}">
              <a16:creationId xmlns:a16="http://schemas.microsoft.com/office/drawing/2014/main" id="{00000000-0008-0000-0700-00001E000000}"/>
            </a:ext>
          </a:extLst>
        </xdr:cNvPr>
        <xdr:cNvSpPr txBox="1">
          <a:spLocks noChangeArrowheads="1"/>
        </xdr:cNvSpPr>
      </xdr:nvSpPr>
      <xdr:spPr bwMode="auto">
        <a:xfrm>
          <a:off x="2800350" y="7648575"/>
          <a:ext cx="504825"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361949</xdr:colOff>
      <xdr:row>33</xdr:row>
      <xdr:rowOff>142875</xdr:rowOff>
    </xdr:from>
    <xdr:to>
      <xdr:col>5</xdr:col>
      <xdr:colOff>800098</xdr:colOff>
      <xdr:row>34</xdr:row>
      <xdr:rowOff>104775</xdr:rowOff>
    </xdr:to>
    <xdr:sp macro="" textlink="$O$47">
      <xdr:nvSpPr>
        <xdr:cNvPr id="31" name="Watts1">
          <a:extLst>
            <a:ext uri="{FF2B5EF4-FFF2-40B4-BE49-F238E27FC236}">
              <a16:creationId xmlns:a16="http://schemas.microsoft.com/office/drawing/2014/main" id="{00000000-0008-0000-0700-00001F000000}"/>
            </a:ext>
          </a:extLst>
        </xdr:cNvPr>
        <xdr:cNvSpPr txBox="1">
          <a:spLocks noChangeArrowheads="1"/>
        </xdr:cNvSpPr>
      </xdr:nvSpPr>
      <xdr:spPr bwMode="auto">
        <a:xfrm>
          <a:off x="5934074" y="8086725"/>
          <a:ext cx="438149"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7164061C-CD2B-4550-9D6B-8140272A308A}" type="TxLink">
            <a:rPr lang="en-US" sz="1000" b="0" i="0" u="none" strike="noStrike">
              <a:solidFill>
                <a:srgbClr val="000000"/>
              </a:solidFill>
              <a:latin typeface="Arial"/>
              <a:cs typeface="Arial"/>
            </a:rPr>
            <a:pPr/>
            <a:t>0</a:t>
          </a:fld>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R113"/>
  <sheetViews>
    <sheetView zoomScale="95" zoomScaleNormal="95" workbookViewId="0">
      <selection activeCell="R10" sqref="R10"/>
    </sheetView>
  </sheetViews>
  <sheetFormatPr defaultRowHeight="12.75"/>
  <cols>
    <col min="1" max="6" width="12.28515625" customWidth="1"/>
    <col min="7" max="7" width="12.42578125" customWidth="1"/>
    <col min="8" max="8" width="12.7109375" customWidth="1"/>
    <col min="9" max="10" width="12.28515625" customWidth="1"/>
    <col min="12" max="12" width="13.42578125" bestFit="1" customWidth="1"/>
    <col min="13" max="13" width="9" bestFit="1" customWidth="1"/>
  </cols>
  <sheetData>
    <row r="1" spans="1:18" ht="18.75">
      <c r="A1" s="32" t="s">
        <v>168</v>
      </c>
      <c r="B1" s="2"/>
      <c r="C1" s="2"/>
      <c r="D1" s="2"/>
      <c r="E1" s="2"/>
      <c r="F1" s="2"/>
      <c r="G1" s="2"/>
      <c r="H1" s="2"/>
      <c r="I1" s="122" t="s">
        <v>0</v>
      </c>
      <c r="J1" s="122" t="s">
        <v>218</v>
      </c>
    </row>
    <row r="2" spans="1:18" ht="18.75">
      <c r="A2" s="32" t="s">
        <v>174</v>
      </c>
      <c r="B2" s="2"/>
      <c r="C2" s="2"/>
      <c r="D2" s="2"/>
      <c r="E2" s="2"/>
      <c r="F2" s="2"/>
      <c r="G2" s="2"/>
      <c r="H2" s="2"/>
      <c r="I2" s="2"/>
      <c r="J2" s="128" t="s">
        <v>219</v>
      </c>
    </row>
    <row r="3" spans="1:18" ht="15" customHeight="1" thickBot="1">
      <c r="A3" s="47" t="s">
        <v>1</v>
      </c>
      <c r="B3" s="94" t="s">
        <v>217</v>
      </c>
      <c r="C3" s="1"/>
      <c r="D3" s="47"/>
      <c r="E3" s="1"/>
      <c r="F3" s="1"/>
      <c r="G3" s="47" t="s">
        <v>2</v>
      </c>
      <c r="H3" s="169">
        <v>43864</v>
      </c>
      <c r="I3" s="47" t="s">
        <v>3</v>
      </c>
      <c r="J3" s="170">
        <v>0.38600694444444444</v>
      </c>
    </row>
    <row r="4" spans="1:18" ht="15" customHeight="1" thickBot="1">
      <c r="A4" s="11" t="s">
        <v>4</v>
      </c>
      <c r="B4" s="11" t="s">
        <v>172</v>
      </c>
      <c r="C4" s="11" t="s">
        <v>5</v>
      </c>
      <c r="D4" s="11" t="s">
        <v>173</v>
      </c>
      <c r="E4" s="155" t="s">
        <v>6</v>
      </c>
      <c r="F4" s="11" t="s">
        <v>7</v>
      </c>
      <c r="G4" s="11" t="s">
        <v>176</v>
      </c>
      <c r="H4" s="11" t="s">
        <v>8</v>
      </c>
      <c r="I4" s="11" t="s">
        <v>9</v>
      </c>
      <c r="J4" s="11" t="s">
        <v>10</v>
      </c>
    </row>
    <row r="5" spans="1:18" ht="15" customHeight="1" thickBot="1">
      <c r="A5" s="48">
        <v>4</v>
      </c>
      <c r="B5" s="110">
        <v>799.99998363668738</v>
      </c>
      <c r="C5" s="138">
        <v>1800</v>
      </c>
      <c r="D5" s="48" t="s">
        <v>193</v>
      </c>
      <c r="E5" s="156">
        <v>4000</v>
      </c>
      <c r="F5" s="138">
        <v>60</v>
      </c>
      <c r="G5" s="48">
        <v>115</v>
      </c>
      <c r="H5" s="76" t="s">
        <v>252</v>
      </c>
      <c r="I5" s="75" t="s">
        <v>257</v>
      </c>
      <c r="J5" s="48" t="s">
        <v>194</v>
      </c>
    </row>
    <row r="6" spans="1:18" ht="15" customHeight="1" thickBot="1">
      <c r="A6" s="22" t="s">
        <v>11</v>
      </c>
      <c r="B6" s="23"/>
      <c r="C6" s="24"/>
      <c r="D6" s="106" t="s">
        <v>12</v>
      </c>
      <c r="E6" s="152"/>
      <c r="F6" s="13"/>
      <c r="G6" s="14"/>
      <c r="H6" s="41" t="s">
        <v>13</v>
      </c>
      <c r="I6" s="17"/>
      <c r="J6" s="28"/>
    </row>
    <row r="7" spans="1:18" ht="15" customHeight="1" thickBot="1">
      <c r="A7" s="140"/>
      <c r="B7" s="3" t="s">
        <v>14</v>
      </c>
      <c r="C7" s="15" t="s">
        <v>15</v>
      </c>
      <c r="D7" s="140"/>
      <c r="E7" s="157"/>
      <c r="F7" s="3" t="s">
        <v>16</v>
      </c>
      <c r="G7" s="15" t="s">
        <v>17</v>
      </c>
      <c r="H7" s="9" t="s">
        <v>18</v>
      </c>
      <c r="I7" s="66">
        <v>20.996293166666664</v>
      </c>
      <c r="J7" s="104" t="s">
        <v>19</v>
      </c>
    </row>
    <row r="8" spans="1:18" ht="15" customHeight="1">
      <c r="A8" s="9" t="s">
        <v>20</v>
      </c>
      <c r="B8" s="67">
        <v>2.2999999523162842</v>
      </c>
      <c r="C8" s="50"/>
      <c r="D8" s="5"/>
      <c r="E8" s="49"/>
      <c r="F8" s="3"/>
      <c r="G8" s="15"/>
      <c r="H8" s="9" t="s">
        <v>21</v>
      </c>
      <c r="I8" s="66">
        <v>24.906525525992105</v>
      </c>
      <c r="J8" s="101" t="s">
        <v>22</v>
      </c>
    </row>
    <row r="9" spans="1:18" ht="15" customHeight="1" thickBot="1">
      <c r="A9" s="9" t="s">
        <v>23</v>
      </c>
      <c r="B9" s="67">
        <v>0.93000000715255737</v>
      </c>
      <c r="C9" s="50"/>
      <c r="D9" s="9" t="s">
        <v>24</v>
      </c>
      <c r="E9" s="51" t="s">
        <v>200</v>
      </c>
      <c r="F9" s="105" t="s">
        <v>25</v>
      </c>
      <c r="G9" s="29"/>
      <c r="H9" s="9" t="s">
        <v>26</v>
      </c>
      <c r="I9" s="67">
        <v>22.951409346329385</v>
      </c>
      <c r="J9" s="102">
        <v>849.48731671425594</v>
      </c>
    </row>
    <row r="10" spans="1:18" ht="15" customHeight="1">
      <c r="A10" s="9" t="s">
        <v>27</v>
      </c>
      <c r="B10" s="67">
        <v>760</v>
      </c>
      <c r="C10" s="71">
        <v>760</v>
      </c>
      <c r="D10" s="5"/>
      <c r="E10" s="49"/>
      <c r="F10" s="114" t="s">
        <v>213</v>
      </c>
      <c r="G10" s="112" t="s">
        <v>214</v>
      </c>
      <c r="H10" s="9" t="s">
        <v>28</v>
      </c>
      <c r="I10" s="66">
        <v>12.101309915925404</v>
      </c>
      <c r="J10" s="101" t="s">
        <v>29</v>
      </c>
    </row>
    <row r="11" spans="1:18" ht="15" customHeight="1" thickBot="1">
      <c r="A11" s="9" t="s">
        <v>30</v>
      </c>
      <c r="B11" s="67">
        <v>610</v>
      </c>
      <c r="C11" s="71">
        <v>396.40000009536743</v>
      </c>
      <c r="D11" s="9" t="s">
        <v>31</v>
      </c>
      <c r="E11" s="66">
        <v>0.86657999999999991</v>
      </c>
      <c r="F11" s="115"/>
      <c r="G11" s="111"/>
      <c r="H11" s="9" t="s">
        <v>32</v>
      </c>
      <c r="I11" s="66">
        <v>24.32449577834004</v>
      </c>
      <c r="J11" s="102">
        <v>22118.194963645383</v>
      </c>
      <c r="R11">
        <f>21/4000*575 * 2</f>
        <v>6.0375000000000005</v>
      </c>
    </row>
    <row r="12" spans="1:18" ht="15" customHeight="1">
      <c r="A12" s="9" t="s">
        <v>33</v>
      </c>
      <c r="B12" s="67">
        <v>401</v>
      </c>
      <c r="C12" s="71">
        <v>155</v>
      </c>
      <c r="D12" s="9" t="s">
        <v>34</v>
      </c>
      <c r="E12" s="151" t="s">
        <v>175</v>
      </c>
      <c r="F12" s="121" t="s">
        <v>206</v>
      </c>
      <c r="G12" s="113" t="s">
        <v>205</v>
      </c>
      <c r="H12" s="9" t="s">
        <v>35</v>
      </c>
      <c r="I12" s="66">
        <v>1.215435057084771</v>
      </c>
      <c r="J12" s="101" t="s">
        <v>36</v>
      </c>
    </row>
    <row r="13" spans="1:18" ht="15" customHeight="1" thickBot="1">
      <c r="A13" s="9" t="s">
        <v>37</v>
      </c>
      <c r="B13" s="67">
        <v>51.5</v>
      </c>
      <c r="C13" s="71">
        <v>80.650000810623169</v>
      </c>
      <c r="D13" s="9" t="s">
        <v>38</v>
      </c>
      <c r="E13" s="68">
        <v>21</v>
      </c>
      <c r="F13" s="121"/>
      <c r="G13" s="113" t="s">
        <v>207</v>
      </c>
      <c r="H13" s="9" t="s">
        <v>40</v>
      </c>
      <c r="I13" s="66">
        <v>1.0239277209672046</v>
      </c>
      <c r="J13" s="102">
        <v>98.574317932128906</v>
      </c>
    </row>
    <row r="14" spans="1:18" ht="15" customHeight="1" thickBot="1">
      <c r="A14" s="160" t="s">
        <v>41</v>
      </c>
      <c r="B14" s="131">
        <v>706.79998779296875</v>
      </c>
      <c r="C14" s="132">
        <v>706.79998779296875</v>
      </c>
      <c r="D14" s="9" t="s">
        <v>42</v>
      </c>
      <c r="E14" s="49" t="s">
        <v>201</v>
      </c>
      <c r="F14" s="49" t="s">
        <v>209</v>
      </c>
      <c r="G14" s="113" t="s">
        <v>208</v>
      </c>
      <c r="H14" s="47" t="s">
        <v>43</v>
      </c>
      <c r="I14" s="66">
        <v>1.2445176479844537</v>
      </c>
      <c r="J14" s="101" t="s">
        <v>44</v>
      </c>
    </row>
    <row r="15" spans="1:18" ht="15" customHeight="1" thickBot="1">
      <c r="A15" s="12" t="s">
        <v>45</v>
      </c>
      <c r="B15" s="136"/>
      <c r="C15" s="137"/>
      <c r="D15" s="9" t="s">
        <v>46</v>
      </c>
      <c r="E15" s="49" t="s">
        <v>175</v>
      </c>
      <c r="F15" s="49"/>
      <c r="G15" s="113"/>
      <c r="H15" s="9" t="s">
        <v>47</v>
      </c>
      <c r="I15" s="66">
        <v>0.97811904826498275</v>
      </c>
      <c r="J15" s="102">
        <v>21.994940476190475</v>
      </c>
    </row>
    <row r="16" spans="1:18" ht="15" customHeight="1">
      <c r="A16" s="9" t="s">
        <v>48</v>
      </c>
      <c r="B16" s="49">
        <v>60</v>
      </c>
      <c r="C16" s="50">
        <v>50</v>
      </c>
      <c r="D16" s="9" t="s">
        <v>49</v>
      </c>
      <c r="E16" s="49">
        <v>2</v>
      </c>
      <c r="F16" s="49"/>
      <c r="G16" s="113"/>
      <c r="H16" s="9" t="s">
        <v>50</v>
      </c>
      <c r="I16" s="66">
        <v>0.95650599867242181</v>
      </c>
      <c r="J16" s="103" t="s">
        <v>51</v>
      </c>
    </row>
    <row r="17" spans="1:14" ht="15" customHeight="1" thickBot="1">
      <c r="A17" s="9" t="s">
        <v>52</v>
      </c>
      <c r="B17" s="49" t="s">
        <v>195</v>
      </c>
      <c r="C17" s="50" t="s">
        <v>196</v>
      </c>
      <c r="D17" s="47" t="s">
        <v>53</v>
      </c>
      <c r="E17" s="49" t="s">
        <v>202</v>
      </c>
      <c r="F17" s="49"/>
      <c r="G17" s="113"/>
      <c r="H17" s="9" t="s">
        <v>54</v>
      </c>
      <c r="I17" s="66">
        <v>0.93557673708121603</v>
      </c>
      <c r="J17" s="102">
        <v>492.95860467911018</v>
      </c>
    </row>
    <row r="18" spans="1:14" ht="15" customHeight="1">
      <c r="A18" s="9" t="s">
        <v>55</v>
      </c>
      <c r="B18" s="49" t="s">
        <v>175</v>
      </c>
      <c r="C18" s="71">
        <v>0</v>
      </c>
      <c r="D18" s="9" t="s">
        <v>56</v>
      </c>
      <c r="E18" s="135">
        <v>1265</v>
      </c>
      <c r="F18" s="68">
        <v>933</v>
      </c>
      <c r="G18" s="72"/>
      <c r="H18" s="12" t="s">
        <v>57</v>
      </c>
      <c r="I18" s="129" t="s">
        <v>215</v>
      </c>
      <c r="J18" s="130"/>
    </row>
    <row r="19" spans="1:14" ht="15" customHeight="1">
      <c r="A19" s="9" t="s">
        <v>58</v>
      </c>
      <c r="B19" s="67">
        <v>53</v>
      </c>
      <c r="C19" s="71">
        <v>40.049999237060547</v>
      </c>
      <c r="D19" s="9" t="s">
        <v>59</v>
      </c>
      <c r="E19" s="68">
        <v>210</v>
      </c>
      <c r="F19" s="49"/>
      <c r="G19" s="50"/>
      <c r="H19" s="141"/>
      <c r="I19" s="3" t="s">
        <v>60</v>
      </c>
      <c r="J19" s="30" t="s">
        <v>61</v>
      </c>
    </row>
    <row r="20" spans="1:14" ht="15" customHeight="1">
      <c r="A20" s="9" t="s">
        <v>62</v>
      </c>
      <c r="B20" s="67" t="s">
        <v>197</v>
      </c>
      <c r="C20" s="71">
        <v>10.050000190734863</v>
      </c>
      <c r="D20" s="9" t="s">
        <v>166</v>
      </c>
      <c r="E20" s="159">
        <v>0.16055210132092876</v>
      </c>
      <c r="F20" s="49"/>
      <c r="G20" s="50"/>
      <c r="H20" s="9" t="s">
        <v>63</v>
      </c>
      <c r="I20" s="66">
        <v>18.431888580322266</v>
      </c>
      <c r="J20" s="70">
        <v>18.431888580322266</v>
      </c>
    </row>
    <row r="21" spans="1:14" ht="15" customHeight="1">
      <c r="A21" s="9" t="s">
        <v>64</v>
      </c>
      <c r="B21" s="67">
        <v>13</v>
      </c>
      <c r="C21" s="71">
        <v>3</v>
      </c>
      <c r="D21" s="9" t="s">
        <v>167</v>
      </c>
      <c r="E21" s="65">
        <v>0.22048314110673714</v>
      </c>
      <c r="F21" s="65">
        <v>0.14914271235466003</v>
      </c>
      <c r="G21" s="69">
        <v>1.8919599773749105E-2</v>
      </c>
      <c r="H21" s="9" t="s">
        <v>65</v>
      </c>
      <c r="I21" s="66">
        <v>26.793094635009766</v>
      </c>
      <c r="J21" s="70">
        <v>20.53101921081543</v>
      </c>
    </row>
    <row r="22" spans="1:14" ht="15" customHeight="1">
      <c r="A22" s="9" t="s">
        <v>66</v>
      </c>
      <c r="B22" s="67">
        <v>2.8299999237060547</v>
      </c>
      <c r="C22" s="71">
        <v>5</v>
      </c>
      <c r="D22" s="9" t="s">
        <v>67</v>
      </c>
      <c r="E22" s="49" t="s">
        <v>203</v>
      </c>
      <c r="F22" s="49" t="s">
        <v>204</v>
      </c>
      <c r="G22" s="50" t="s">
        <v>204</v>
      </c>
      <c r="H22" s="9" t="s">
        <v>68</v>
      </c>
      <c r="I22" s="66">
        <v>4.5227980613708496</v>
      </c>
      <c r="J22" s="70">
        <v>4.2829298973083496</v>
      </c>
    </row>
    <row r="23" spans="1:14" ht="15" customHeight="1">
      <c r="A23" s="9" t="s">
        <v>69</v>
      </c>
      <c r="B23" s="67">
        <v>7.9962930679321289</v>
      </c>
      <c r="C23" s="71">
        <v>9.8304557800292969</v>
      </c>
      <c r="D23" s="9" t="s">
        <v>70</v>
      </c>
      <c r="E23" s="66">
        <v>1.7419999837875366</v>
      </c>
      <c r="F23" s="66">
        <v>1.7239999771118164</v>
      </c>
      <c r="G23" s="70">
        <v>1.7239999771118164</v>
      </c>
      <c r="H23" s="9" t="s">
        <v>71</v>
      </c>
      <c r="I23" s="66">
        <v>7.2307100343801016</v>
      </c>
      <c r="J23" s="15" t="s">
        <v>216</v>
      </c>
    </row>
    <row r="24" spans="1:14" ht="15" customHeight="1">
      <c r="A24" s="9" t="s">
        <v>72</v>
      </c>
      <c r="B24" s="67">
        <v>0</v>
      </c>
      <c r="C24" s="71">
        <v>0.80000001192092896</v>
      </c>
      <c r="D24" s="9" t="s">
        <v>73</v>
      </c>
      <c r="E24" s="66">
        <v>8.8900003433227539</v>
      </c>
      <c r="F24" s="66">
        <v>8.8900003433227539</v>
      </c>
      <c r="G24" s="70">
        <v>8.8900003433227539</v>
      </c>
      <c r="H24" s="9" t="s">
        <v>74</v>
      </c>
      <c r="I24" s="66">
        <v>4.0840141924916846</v>
      </c>
      <c r="J24" s="70">
        <v>3.9320205036986953</v>
      </c>
    </row>
    <row r="25" spans="1:14" ht="15" customHeight="1">
      <c r="A25" s="9" t="s">
        <v>75</v>
      </c>
      <c r="B25" s="49" t="s">
        <v>175</v>
      </c>
      <c r="C25" s="71">
        <v>0.80000001192092896</v>
      </c>
      <c r="D25" s="107" t="s">
        <v>76</v>
      </c>
      <c r="E25" s="51"/>
      <c r="F25" s="51"/>
      <c r="G25" s="58"/>
      <c r="H25" s="9" t="s">
        <v>77</v>
      </c>
      <c r="I25" s="66">
        <v>0.3885454535484314</v>
      </c>
      <c r="J25" s="70">
        <v>0.75875377655029297</v>
      </c>
    </row>
    <row r="26" spans="1:14" ht="15" customHeight="1">
      <c r="A26" s="9" t="s">
        <v>78</v>
      </c>
      <c r="B26" s="51" t="s">
        <v>198</v>
      </c>
      <c r="C26" s="58" t="s">
        <v>199</v>
      </c>
      <c r="D26" s="9" t="s">
        <v>79</v>
      </c>
      <c r="E26" s="67">
        <v>204.20897505205548</v>
      </c>
      <c r="F26" s="67">
        <v>152.30793088197709</v>
      </c>
      <c r="G26" s="71">
        <v>38.819284416127225</v>
      </c>
      <c r="H26" s="9" t="s">
        <v>80</v>
      </c>
      <c r="I26" s="66">
        <v>5.5253424644470215</v>
      </c>
      <c r="J26" s="70">
        <v>4.9174041748046875</v>
      </c>
    </row>
    <row r="27" spans="1:14" ht="15" customHeight="1" thickBot="1">
      <c r="A27" s="9" t="s">
        <v>81</v>
      </c>
      <c r="B27" s="49" t="s">
        <v>175</v>
      </c>
      <c r="C27" s="50" t="s">
        <v>175</v>
      </c>
      <c r="D27" s="10" t="s">
        <v>82</v>
      </c>
      <c r="E27" s="78" t="s">
        <v>175</v>
      </c>
      <c r="F27" s="78" t="s">
        <v>175</v>
      </c>
      <c r="G27" s="80" t="s">
        <v>175</v>
      </c>
      <c r="H27" s="10" t="s">
        <v>83</v>
      </c>
      <c r="I27" s="77">
        <v>5.5389866828918457</v>
      </c>
      <c r="J27" s="79">
        <v>4.9755973815917969</v>
      </c>
    </row>
    <row r="28" spans="1:14" ht="15" customHeight="1">
      <c r="A28" s="5" t="s">
        <v>84</v>
      </c>
      <c r="B28" s="1"/>
      <c r="C28" s="37"/>
      <c r="D28" s="12" t="s">
        <v>85</v>
      </c>
      <c r="E28" s="21"/>
      <c r="F28" s="18"/>
      <c r="G28" s="40"/>
      <c r="H28" s="14"/>
      <c r="I28" s="27" t="s">
        <v>86</v>
      </c>
      <c r="J28" s="14"/>
    </row>
    <row r="29" spans="1:14" ht="15" customHeight="1">
      <c r="A29" s="6"/>
      <c r="B29" s="33" t="s">
        <v>87</v>
      </c>
      <c r="C29" s="73">
        <v>35.003787950272944</v>
      </c>
      <c r="D29" s="6"/>
      <c r="E29" s="3" t="s">
        <v>88</v>
      </c>
      <c r="F29" s="3" t="s">
        <v>89</v>
      </c>
      <c r="G29" s="3" t="s">
        <v>90</v>
      </c>
      <c r="H29" s="15" t="s">
        <v>91</v>
      </c>
      <c r="I29" s="3" t="s">
        <v>92</v>
      </c>
      <c r="J29" s="15" t="s">
        <v>93</v>
      </c>
      <c r="M29" s="150" t="str">
        <f>RIGHT(F$41,SEARCH("/",F$41,1)-1)</f>
        <v xml:space="preserve"> 1785.9</v>
      </c>
      <c r="N29" t="s">
        <v>187</v>
      </c>
    </row>
    <row r="30" spans="1:14" ht="15" customHeight="1" thickBot="1">
      <c r="A30" s="7"/>
      <c r="B30" s="61" t="s">
        <v>94</v>
      </c>
      <c r="C30" s="74">
        <v>35.036779035201029</v>
      </c>
      <c r="D30" s="9" t="s">
        <v>95</v>
      </c>
      <c r="E30" s="163">
        <v>23.95462375</v>
      </c>
      <c r="F30" s="163">
        <v>728.00398742675782</v>
      </c>
      <c r="G30" s="163">
        <v>12.122031210136257</v>
      </c>
      <c r="H30" s="164">
        <v>138.58421904649185</v>
      </c>
      <c r="I30" s="68">
        <v>63866.989558566289</v>
      </c>
      <c r="J30" s="72">
        <v>3094.7995713633331</v>
      </c>
      <c r="M30" s="150" t="str">
        <f>RIGHT(E$41,SEARCH("/",E$41,1)-1)</f>
        <v xml:space="preserve"> 1789.0</v>
      </c>
      <c r="N30" t="s">
        <v>188</v>
      </c>
    </row>
    <row r="31" spans="1:14" ht="15" customHeight="1">
      <c r="A31" s="22" t="s">
        <v>96</v>
      </c>
      <c r="B31" s="142"/>
      <c r="C31" s="26"/>
      <c r="D31" s="9" t="s">
        <v>97</v>
      </c>
      <c r="E31" s="163">
        <v>5.3000000000000007</v>
      </c>
      <c r="F31" s="163">
        <v>847.76697642051442</v>
      </c>
      <c r="G31" s="163">
        <v>10.409566900036252</v>
      </c>
      <c r="H31" s="164">
        <v>19.04699142442913</v>
      </c>
      <c r="I31" s="68">
        <v>17972.659900114908</v>
      </c>
      <c r="J31" s="72">
        <v>680.48288129332332</v>
      </c>
      <c r="M31" s="150" t="str">
        <f>RIGHT(D$41,SEARCH("/",D$41,1)-1)</f>
        <v xml:space="preserve"> 1792.2</v>
      </c>
      <c r="N31" t="s">
        <v>189</v>
      </c>
    </row>
    <row r="32" spans="1:14" ht="15" customHeight="1">
      <c r="A32" s="5" t="s">
        <v>98</v>
      </c>
      <c r="B32" s="66" t="s">
        <v>259</v>
      </c>
      <c r="C32" s="108"/>
      <c r="D32" s="9" t="s">
        <v>99</v>
      </c>
      <c r="E32" s="163">
        <v>12.421061526166142</v>
      </c>
      <c r="F32" s="163">
        <v>1140.0683917690276</v>
      </c>
      <c r="G32" s="163">
        <v>7.7406646131091765</v>
      </c>
      <c r="H32" s="164">
        <v>24.001063294614855</v>
      </c>
      <c r="I32" s="8" t="s">
        <v>100</v>
      </c>
      <c r="J32" s="72">
        <v>3775.2824526566565</v>
      </c>
      <c r="M32" s="150" t="str">
        <f>RIGHT(C$41,SEARCH("/",C$41,1)-1)</f>
        <v xml:space="preserve"> 1795.1</v>
      </c>
      <c r="N32" t="s">
        <v>190</v>
      </c>
    </row>
    <row r="33" spans="1:15" ht="15" customHeight="1">
      <c r="A33" s="5" t="s">
        <v>101</v>
      </c>
      <c r="B33" s="66" t="s">
        <v>260</v>
      </c>
      <c r="C33" s="109" t="s">
        <v>102</v>
      </c>
      <c r="D33" s="9" t="s">
        <v>97</v>
      </c>
      <c r="E33" s="163">
        <v>4.0049999237060545</v>
      </c>
      <c r="F33" s="163">
        <v>868.52075316550327</v>
      </c>
      <c r="G33" s="163">
        <v>10.160824625694524</v>
      </c>
      <c r="H33" s="164">
        <v>13.411230242394367</v>
      </c>
      <c r="I33" s="8" t="s">
        <v>103</v>
      </c>
      <c r="J33" s="71" t="s">
        <v>227</v>
      </c>
      <c r="M33" s="150" t="str">
        <f>RIGHT(B$41,SEARCH("/",B$41,1)-1)</f>
        <v xml:space="preserve"> 1798.0</v>
      </c>
      <c r="N33" t="s">
        <v>191</v>
      </c>
    </row>
    <row r="34" spans="1:15" ht="15" customHeight="1" thickBot="1">
      <c r="A34" s="16" t="s">
        <v>104</v>
      </c>
      <c r="B34" s="77" t="s">
        <v>261</v>
      </c>
      <c r="C34" s="158">
        <v>8.8248870566908</v>
      </c>
      <c r="D34" s="10" t="s">
        <v>20</v>
      </c>
      <c r="E34" s="165">
        <v>0.22999999523162842</v>
      </c>
      <c r="F34" s="166">
        <v>1923.2972910239519</v>
      </c>
      <c r="G34" s="166">
        <v>4.5884154768358689</v>
      </c>
      <c r="H34" s="167">
        <v>839.81004665868227</v>
      </c>
      <c r="I34" s="8" t="s">
        <v>105</v>
      </c>
      <c r="J34" s="71">
        <v>6.0500001907348633</v>
      </c>
    </row>
    <row r="35" spans="1:15" ht="15" customHeight="1">
      <c r="A35" s="12" t="s">
        <v>106</v>
      </c>
      <c r="B35" s="13"/>
      <c r="C35" s="13"/>
      <c r="D35" s="133" t="s">
        <v>229</v>
      </c>
      <c r="E35" s="143" t="s">
        <v>228</v>
      </c>
      <c r="F35" s="14"/>
      <c r="G35" s="25" t="s">
        <v>107</v>
      </c>
      <c r="H35" s="83" t="s">
        <v>222</v>
      </c>
      <c r="I35" s="9" t="s">
        <v>108</v>
      </c>
      <c r="J35" s="72" t="s">
        <v>226</v>
      </c>
    </row>
    <row r="36" spans="1:15" ht="15" customHeight="1">
      <c r="A36" s="5" t="s">
        <v>109</v>
      </c>
      <c r="B36" s="3">
        <v>25</v>
      </c>
      <c r="C36" s="3">
        <v>50</v>
      </c>
      <c r="D36" s="3">
        <v>75</v>
      </c>
      <c r="E36" s="3">
        <v>100</v>
      </c>
      <c r="F36" s="15">
        <v>125</v>
      </c>
      <c r="G36" s="9" t="s">
        <v>110</v>
      </c>
      <c r="H36" s="72" t="s">
        <v>220</v>
      </c>
      <c r="I36" s="9" t="s">
        <v>111</v>
      </c>
      <c r="J36" s="72" t="s">
        <v>225</v>
      </c>
    </row>
    <row r="37" spans="1:15" ht="15" customHeight="1" thickBot="1">
      <c r="A37" s="9" t="s">
        <v>112</v>
      </c>
      <c r="B37" s="171" t="s">
        <v>241</v>
      </c>
      <c r="C37" s="171" t="s">
        <v>242</v>
      </c>
      <c r="D37" s="171" t="s">
        <v>243</v>
      </c>
      <c r="E37" s="171" t="s">
        <v>244</v>
      </c>
      <c r="F37" s="172" t="s">
        <v>245</v>
      </c>
      <c r="G37" s="9" t="s">
        <v>113</v>
      </c>
      <c r="H37" s="72" t="s">
        <v>221</v>
      </c>
      <c r="I37" s="10" t="s">
        <v>114</v>
      </c>
      <c r="J37" s="81" t="s">
        <v>224</v>
      </c>
      <c r="O37" s="148"/>
    </row>
    <row r="38" spans="1:15" ht="15" customHeight="1" thickBot="1">
      <c r="A38" s="9" t="s">
        <v>115</v>
      </c>
      <c r="B38" s="173" t="s">
        <v>231</v>
      </c>
      <c r="C38" s="173" t="s">
        <v>232</v>
      </c>
      <c r="D38" s="173" t="s">
        <v>233</v>
      </c>
      <c r="E38" s="173" t="s">
        <v>234</v>
      </c>
      <c r="F38" s="174" t="s">
        <v>235</v>
      </c>
      <c r="G38" s="16" t="s">
        <v>116</v>
      </c>
      <c r="H38" s="81" t="s">
        <v>223</v>
      </c>
      <c r="I38" s="134" t="s">
        <v>230</v>
      </c>
      <c r="J38" s="82">
        <v>6731.60009765625</v>
      </c>
      <c r="L38" t="str">
        <f>LEFT(E38,SEARCH("/",E38,1)-1)</f>
        <v xml:space="preserve">0.957 </v>
      </c>
      <c r="M38" t="str">
        <f>RIGHT(E38,SEARCH("/",E38,1)-1)</f>
        <v xml:space="preserve"> 0.955</v>
      </c>
      <c r="N38" s="149">
        <f>M38/L38</f>
        <v>0.99791013584117028</v>
      </c>
      <c r="O38" s="148" t="s">
        <v>178</v>
      </c>
    </row>
    <row r="39" spans="1:15" ht="15" customHeight="1">
      <c r="A39" s="9" t="s">
        <v>117</v>
      </c>
      <c r="B39" s="173" t="s">
        <v>236</v>
      </c>
      <c r="C39" s="173" t="s">
        <v>237</v>
      </c>
      <c r="D39" s="173" t="s">
        <v>238</v>
      </c>
      <c r="E39" s="173" t="s">
        <v>239</v>
      </c>
      <c r="F39" s="174" t="s">
        <v>240</v>
      </c>
      <c r="G39" s="12" t="s">
        <v>118</v>
      </c>
      <c r="H39" s="13"/>
      <c r="I39" s="38" t="s">
        <v>119</v>
      </c>
      <c r="J39" s="39" t="s">
        <v>120</v>
      </c>
      <c r="L39" t="str">
        <f>LEFT(E39,SEARCH("/",E39,1)-1)</f>
        <v xml:space="preserve">0.913 </v>
      </c>
      <c r="M39" t="str">
        <f>RIGHT(E39,SEARCH("/",E39,1)-1)</f>
        <v xml:space="preserve"> 0.903</v>
      </c>
      <c r="N39" s="149">
        <f>M39/L39</f>
        <v>0.98904709748083242</v>
      </c>
      <c r="O39" s="148" t="s">
        <v>179</v>
      </c>
    </row>
    <row r="40" spans="1:15" ht="15" customHeight="1">
      <c r="A40" s="9" t="s">
        <v>119</v>
      </c>
      <c r="B40" s="175" t="s">
        <v>254</v>
      </c>
      <c r="C40" s="175" t="s">
        <v>255</v>
      </c>
      <c r="D40" s="175" t="s">
        <v>256</v>
      </c>
      <c r="E40" s="175" t="s">
        <v>257</v>
      </c>
      <c r="F40" s="176" t="s">
        <v>258</v>
      </c>
      <c r="G40" s="34" t="s">
        <v>121</v>
      </c>
      <c r="H40" s="89" t="s">
        <v>262</v>
      </c>
      <c r="I40" s="53"/>
      <c r="J40" s="54"/>
      <c r="L40" t="str">
        <f>LEFT(E37,SEARCH("/",E37,1)-1)</f>
        <v xml:space="preserve">98.57 </v>
      </c>
      <c r="M40" t="str">
        <f>RIGHT(E37,SEARCH("/",E37,1)-1)</f>
        <v xml:space="preserve"> 99.87</v>
      </c>
      <c r="N40" s="149">
        <f>M40/L40</f>
        <v>1.0131885969361876</v>
      </c>
      <c r="O40" s="148" t="s">
        <v>177</v>
      </c>
    </row>
    <row r="41" spans="1:15" ht="15" customHeight="1">
      <c r="A41" s="9" t="s">
        <v>5</v>
      </c>
      <c r="B41" s="177" t="s">
        <v>249</v>
      </c>
      <c r="C41" s="177" t="s">
        <v>250</v>
      </c>
      <c r="D41" s="177" t="s">
        <v>251</v>
      </c>
      <c r="E41" s="177" t="s">
        <v>252</v>
      </c>
      <c r="F41" s="178" t="s">
        <v>253</v>
      </c>
      <c r="G41" s="35" t="s">
        <v>122</v>
      </c>
      <c r="H41" s="90" t="s">
        <v>263</v>
      </c>
      <c r="I41" s="55"/>
      <c r="J41" s="56"/>
      <c r="L41" t="str">
        <f>LEFT(E41,SEARCH("/",E41,1)-1)</f>
        <v xml:space="preserve">1788.0 </v>
      </c>
      <c r="M41" t="str">
        <f>RIGHT(E41,SEARCH("/",E41,1)-1)</f>
        <v xml:space="preserve"> 1789.0</v>
      </c>
      <c r="N41" s="149">
        <f>M41/L41</f>
        <v>1.0005592841163311</v>
      </c>
      <c r="O41" s="148" t="s">
        <v>5</v>
      </c>
    </row>
    <row r="42" spans="1:15" ht="15" customHeight="1">
      <c r="A42" s="9" t="s">
        <v>123</v>
      </c>
      <c r="B42" s="173">
        <v>11.781137287528558</v>
      </c>
      <c r="C42" s="173">
        <v>11.781137287528558</v>
      </c>
      <c r="D42" s="173">
        <v>11.781137287528558</v>
      </c>
      <c r="E42" s="173">
        <v>11.781137287528558</v>
      </c>
      <c r="F42" s="174">
        <v>11.781137287528558</v>
      </c>
      <c r="G42" s="34" t="s">
        <v>124</v>
      </c>
      <c r="H42" s="89" t="s">
        <v>264</v>
      </c>
      <c r="I42" s="53"/>
      <c r="J42" s="95">
        <v>0.15249955530845416</v>
      </c>
    </row>
    <row r="43" spans="1:15" ht="15" customHeight="1" thickBot="1">
      <c r="A43" s="10" t="s">
        <v>125</v>
      </c>
      <c r="B43" s="179">
        <v>11.781137287528558</v>
      </c>
      <c r="C43" s="180"/>
      <c r="D43" s="181" t="s">
        <v>267</v>
      </c>
      <c r="E43" s="181"/>
      <c r="F43" s="182"/>
      <c r="G43" s="35" t="s">
        <v>122</v>
      </c>
      <c r="H43" s="90" t="s">
        <v>265</v>
      </c>
      <c r="I43" s="55"/>
      <c r="J43" s="56"/>
    </row>
    <row r="44" spans="1:15" ht="15" customHeight="1">
      <c r="A44" s="4" t="s">
        <v>126</v>
      </c>
      <c r="B44" s="139"/>
      <c r="C44" s="1"/>
      <c r="D44" s="1"/>
      <c r="E44" s="4" t="s">
        <v>127</v>
      </c>
      <c r="F44" s="19"/>
      <c r="G44" s="34" t="s">
        <v>128</v>
      </c>
      <c r="H44" s="91">
        <v>1326.1885238470386</v>
      </c>
      <c r="I44" s="88">
        <v>3.0392446563946397E-2</v>
      </c>
      <c r="J44" s="95">
        <v>0.64086343935067613</v>
      </c>
    </row>
    <row r="45" spans="1:15" ht="15" customHeight="1">
      <c r="A45" s="9" t="s">
        <v>129</v>
      </c>
      <c r="B45" s="66">
        <v>0.21653898060321808</v>
      </c>
      <c r="C45" s="161" t="s">
        <v>130</v>
      </c>
      <c r="D45" s="70">
        <v>9.4604231417179108E-3</v>
      </c>
      <c r="E45" s="9" t="s">
        <v>131</v>
      </c>
      <c r="F45" s="72">
        <v>447.94200964918787</v>
      </c>
      <c r="G45" s="36" t="s">
        <v>122</v>
      </c>
      <c r="H45" s="84" t="s">
        <v>266</v>
      </c>
      <c r="I45" s="57"/>
      <c r="J45" s="58"/>
    </row>
    <row r="46" spans="1:15" ht="15" customHeight="1">
      <c r="A46" s="9" t="s">
        <v>132</v>
      </c>
      <c r="B46" s="66">
        <v>0.21881598234176636</v>
      </c>
      <c r="C46" s="161" t="s">
        <v>133</v>
      </c>
      <c r="D46" s="70">
        <v>6.6556455567479134E-3</v>
      </c>
      <c r="E46" s="9" t="s">
        <v>134</v>
      </c>
      <c r="F46" s="72">
        <v>798.45358589920932</v>
      </c>
      <c r="G46" s="35" t="s">
        <v>135</v>
      </c>
      <c r="H46" s="92">
        <v>289.60257195861141</v>
      </c>
      <c r="I46" s="55"/>
      <c r="J46" s="56"/>
      <c r="L46" s="144" t="s">
        <v>180</v>
      </c>
      <c r="M46" s="146">
        <f>B5^0.95</f>
        <v>572.71094007948739</v>
      </c>
    </row>
    <row r="47" spans="1:15" ht="15" customHeight="1">
      <c r="A47" s="9" t="s">
        <v>136</v>
      </c>
      <c r="B47" s="66">
        <v>0.43535494804382324</v>
      </c>
      <c r="C47" s="161" t="s">
        <v>137</v>
      </c>
      <c r="D47" s="70">
        <v>1.558311004191637E-2</v>
      </c>
      <c r="E47" s="9" t="s">
        <v>138</v>
      </c>
      <c r="F47" s="72">
        <v>650.72999837049201</v>
      </c>
      <c r="G47" s="62" t="s">
        <v>139</v>
      </c>
      <c r="H47" s="91">
        <v>1286.5184153408081</v>
      </c>
      <c r="I47" s="88">
        <v>2.9448198505924967E-2</v>
      </c>
      <c r="J47" s="93">
        <v>0.65153492634294752</v>
      </c>
      <c r="L47" s="144" t="s">
        <v>181</v>
      </c>
      <c r="M47" s="146">
        <f>B5^1.5</f>
        <v>22627.416303732971</v>
      </c>
    </row>
    <row r="48" spans="1:15" ht="15" customHeight="1">
      <c r="A48" s="9" t="s">
        <v>140</v>
      </c>
      <c r="B48" s="66">
        <v>1.076778769493103E-2</v>
      </c>
      <c r="C48" s="161" t="s">
        <v>100</v>
      </c>
      <c r="D48" s="70">
        <v>4.2466968297958374E-2</v>
      </c>
      <c r="E48" s="9" t="s">
        <v>141</v>
      </c>
      <c r="F48" s="72">
        <v>6.3096436046422495</v>
      </c>
      <c r="G48" s="63" t="s">
        <v>122</v>
      </c>
      <c r="H48" s="84">
        <v>215.56944397711754</v>
      </c>
      <c r="I48" s="57"/>
      <c r="J48" s="58"/>
      <c r="L48" s="144" t="s">
        <v>182</v>
      </c>
      <c r="M48" s="145">
        <f>IF(A5="",0,(7200/(1000*A5))^2.4)</f>
        <v>4.0987743736515299</v>
      </c>
    </row>
    <row r="49" spans="1:13" ht="15" customHeight="1" thickBot="1">
      <c r="A49" s="7"/>
      <c r="B49" s="52"/>
      <c r="C49" s="162" t="s">
        <v>142</v>
      </c>
      <c r="D49" s="79">
        <v>0.95753300189971924</v>
      </c>
      <c r="E49" s="10" t="s">
        <v>143</v>
      </c>
      <c r="F49" s="81">
        <v>14.136324080408995</v>
      </c>
      <c r="G49" s="64" t="s">
        <v>135</v>
      </c>
      <c r="H49" s="92">
        <v>285.00006611441557</v>
      </c>
      <c r="I49" s="55"/>
      <c r="J49" s="59"/>
      <c r="L49" s="144" t="s">
        <v>183</v>
      </c>
      <c r="M49" s="145">
        <f>IF(A5="",0,(7200/(1000*A5))^1.8)</f>
        <v>2.8806500970683282</v>
      </c>
    </row>
    <row r="50" spans="1:13" ht="15" customHeight="1">
      <c r="A50" s="12" t="s">
        <v>212</v>
      </c>
      <c r="B50" s="13"/>
      <c r="C50" s="13"/>
      <c r="D50" s="13"/>
      <c r="E50" s="13"/>
      <c r="F50" s="14"/>
      <c r="G50" s="12" t="s">
        <v>144</v>
      </c>
      <c r="H50" s="13"/>
      <c r="I50" s="40"/>
      <c r="J50" s="26"/>
      <c r="L50" s="144" t="s">
        <v>184</v>
      </c>
      <c r="M50" s="147">
        <f>IF(A5=2,27,24)</f>
        <v>24</v>
      </c>
    </row>
    <row r="51" spans="1:13" ht="15" customHeight="1">
      <c r="A51" s="9" t="s">
        <v>145</v>
      </c>
      <c r="B51" s="49">
        <v>50</v>
      </c>
      <c r="C51" s="8" t="s">
        <v>146</v>
      </c>
      <c r="D51" s="67" t="s">
        <v>175</v>
      </c>
      <c r="E51" s="8" t="s">
        <v>147</v>
      </c>
      <c r="F51" s="71" t="s">
        <v>175</v>
      </c>
      <c r="G51" s="8" t="s">
        <v>148</v>
      </c>
      <c r="H51" s="65">
        <v>6.087329548067804E-2</v>
      </c>
      <c r="I51" s="43" t="s">
        <v>149</v>
      </c>
      <c r="J51" s="37"/>
      <c r="L51" s="144" t="s">
        <v>185</v>
      </c>
      <c r="M51" s="147">
        <v>6.8500000000000005E-2</v>
      </c>
    </row>
    <row r="52" spans="1:13" ht="15" customHeight="1">
      <c r="A52" s="9" t="s">
        <v>58</v>
      </c>
      <c r="B52" s="67">
        <v>40.049999237060547</v>
      </c>
      <c r="C52" s="8" t="s">
        <v>150</v>
      </c>
      <c r="D52" s="67" t="s">
        <v>175</v>
      </c>
      <c r="E52" s="8" t="s">
        <v>151</v>
      </c>
      <c r="F52" s="71" t="s">
        <v>175</v>
      </c>
      <c r="G52" s="8" t="s">
        <v>169</v>
      </c>
      <c r="H52" s="67">
        <v>119421.04965746154</v>
      </c>
      <c r="I52" s="96" t="s">
        <v>246</v>
      </c>
      <c r="J52" s="60"/>
      <c r="L52" s="144" t="s">
        <v>192</v>
      </c>
      <c r="M52" s="168">
        <f>F5</f>
        <v>60</v>
      </c>
    </row>
    <row r="53" spans="1:13" ht="15" customHeight="1">
      <c r="A53" s="9" t="s">
        <v>64</v>
      </c>
      <c r="B53" s="67">
        <v>3</v>
      </c>
      <c r="C53" s="8" t="s">
        <v>152</v>
      </c>
      <c r="D53" s="67" t="s">
        <v>175</v>
      </c>
      <c r="E53" s="8" t="s">
        <v>153</v>
      </c>
      <c r="F53" s="71" t="s">
        <v>175</v>
      </c>
      <c r="G53" s="8" t="s">
        <v>170</v>
      </c>
      <c r="H53" s="66">
        <v>71.306934611665369</v>
      </c>
      <c r="I53" s="42" t="s">
        <v>154</v>
      </c>
      <c r="J53" s="37"/>
      <c r="L53" s="144" t="s">
        <v>186</v>
      </c>
      <c r="M53" s="150">
        <f>IF(F5=60,M50*M46/M48-M51*M47/M49,IF(F5&lt;&gt;60,(60/M52)^2*(M50*M46/M48-M51*M47/M49),0))</f>
        <v>2815.3913882398592</v>
      </c>
    </row>
    <row r="54" spans="1:13" ht="15" customHeight="1">
      <c r="A54" s="9" t="s">
        <v>66</v>
      </c>
      <c r="B54" s="67">
        <v>5</v>
      </c>
      <c r="C54" s="8" t="s">
        <v>155</v>
      </c>
      <c r="D54" s="67" t="s">
        <v>175</v>
      </c>
      <c r="E54" s="8" t="s">
        <v>153</v>
      </c>
      <c r="F54" s="71" t="s">
        <v>175</v>
      </c>
      <c r="G54" s="8" t="s">
        <v>171</v>
      </c>
      <c r="H54" s="68">
        <v>282796</v>
      </c>
      <c r="I54" s="97" t="s">
        <v>247</v>
      </c>
      <c r="J54" s="98" t="s">
        <v>210</v>
      </c>
    </row>
    <row r="55" spans="1:13" ht="15" customHeight="1">
      <c r="A55" s="9" t="s">
        <v>156</v>
      </c>
      <c r="B55" s="67">
        <v>10.050000190734863</v>
      </c>
      <c r="C55" s="8" t="s">
        <v>157</v>
      </c>
      <c r="D55" s="67" t="s">
        <v>175</v>
      </c>
      <c r="E55" s="8" t="s">
        <v>158</v>
      </c>
      <c r="F55" s="71" t="s">
        <v>175</v>
      </c>
      <c r="G55" s="8" t="s">
        <v>159</v>
      </c>
      <c r="H55" s="67">
        <v>1</v>
      </c>
      <c r="I55" s="42" t="s">
        <v>160</v>
      </c>
      <c r="J55" s="37"/>
    </row>
    <row r="56" spans="1:13" ht="15" customHeight="1" thickBot="1">
      <c r="A56" s="10" t="s">
        <v>161</v>
      </c>
      <c r="B56" s="78" t="s">
        <v>175</v>
      </c>
      <c r="C56" s="20" t="s">
        <v>162</v>
      </c>
      <c r="D56" s="78" t="s">
        <v>175</v>
      </c>
      <c r="E56" s="20" t="s">
        <v>163</v>
      </c>
      <c r="F56" s="80" t="s">
        <v>175</v>
      </c>
      <c r="G56" s="20" t="s">
        <v>164</v>
      </c>
      <c r="H56" s="77">
        <v>0.89993499999999993</v>
      </c>
      <c r="I56" s="99" t="s">
        <v>248</v>
      </c>
      <c r="J56" s="59" t="s">
        <v>211</v>
      </c>
    </row>
    <row r="57" spans="1:13" ht="15" customHeight="1">
      <c r="A57" s="22" t="s">
        <v>388</v>
      </c>
      <c r="B57" s="40"/>
      <c r="C57" s="40"/>
      <c r="D57" s="40"/>
      <c r="E57" s="40"/>
      <c r="F57" s="26"/>
      <c r="G57" s="116"/>
      <c r="H57" s="117"/>
      <c r="I57" s="117"/>
      <c r="J57" s="118"/>
    </row>
    <row r="58" spans="1:13" ht="15" customHeight="1">
      <c r="A58" s="100" t="s">
        <v>119</v>
      </c>
      <c r="B58" s="3" t="s">
        <v>165</v>
      </c>
      <c r="C58" s="15" t="s">
        <v>389</v>
      </c>
      <c r="D58" s="3" t="s">
        <v>119</v>
      </c>
      <c r="E58" s="3" t="s">
        <v>165</v>
      </c>
      <c r="F58" s="15" t="s">
        <v>390</v>
      </c>
      <c r="G58" s="119"/>
      <c r="H58" s="31"/>
      <c r="I58" s="31"/>
      <c r="J58" s="44"/>
    </row>
    <row r="59" spans="1:13" ht="15" customHeight="1">
      <c r="A59" s="123">
        <v>0</v>
      </c>
      <c r="B59" s="84">
        <v>0</v>
      </c>
      <c r="C59" s="85">
        <v>0.19833412766456604</v>
      </c>
      <c r="D59" s="125">
        <v>0.68736839294433594</v>
      </c>
      <c r="E59" s="84">
        <v>80.572128744760647</v>
      </c>
      <c r="F59" s="85">
        <v>661.34124755859375</v>
      </c>
      <c r="G59" s="119"/>
      <c r="H59" s="31"/>
      <c r="I59" s="31"/>
      <c r="J59" s="44"/>
    </row>
    <row r="60" spans="1:13" ht="15" customHeight="1">
      <c r="A60" s="127">
        <v>2.0000003278255463E-3</v>
      </c>
      <c r="B60" s="84">
        <v>139.73127888828128</v>
      </c>
      <c r="C60" s="85">
        <v>178.58975219726563</v>
      </c>
      <c r="D60" s="125">
        <v>0.79157894849777222</v>
      </c>
      <c r="E60" s="84">
        <v>80.264888479573528</v>
      </c>
      <c r="F60" s="85">
        <v>667.1480712890625</v>
      </c>
      <c r="G60" s="119"/>
      <c r="H60" s="31"/>
      <c r="I60" s="31"/>
      <c r="J60" s="44"/>
    </row>
    <row r="61" spans="1:13" ht="15" customHeight="1">
      <c r="A61" s="127">
        <v>1.0000001639127731E-2</v>
      </c>
      <c r="B61" s="84">
        <v>230</v>
      </c>
      <c r="C61" s="85">
        <v>497.51583862304688</v>
      </c>
      <c r="D61" s="125">
        <v>0.89578944444656372</v>
      </c>
      <c r="E61" s="84">
        <v>80.091945289178426</v>
      </c>
      <c r="F61" s="85">
        <v>671.95306396484375</v>
      </c>
      <c r="G61" s="119"/>
      <c r="H61" s="31"/>
      <c r="I61" s="31"/>
      <c r="J61" s="44"/>
    </row>
    <row r="62" spans="1:13" ht="15" customHeight="1">
      <c r="A62" s="123">
        <v>6.2105264514684677E-2</v>
      </c>
      <c r="B62" s="84">
        <v>128.46791170131246</v>
      </c>
      <c r="C62" s="85">
        <v>569.45867919921875</v>
      </c>
      <c r="D62" s="126">
        <v>1</v>
      </c>
      <c r="E62" s="84">
        <v>80</v>
      </c>
      <c r="F62" s="85">
        <v>676</v>
      </c>
      <c r="G62" s="119"/>
      <c r="H62" s="31"/>
      <c r="I62" s="31"/>
      <c r="J62" s="44"/>
    </row>
    <row r="63" spans="1:13" ht="15" customHeight="1" thickBot="1">
      <c r="A63" s="123">
        <v>0.11421053111553192</v>
      </c>
      <c r="B63" s="84">
        <v>102.74786023614847</v>
      </c>
      <c r="C63" s="85">
        <v>590.96307373046875</v>
      </c>
      <c r="D63" s="391"/>
      <c r="E63" s="86"/>
      <c r="F63" s="392"/>
      <c r="G63" s="119"/>
      <c r="H63" s="31"/>
      <c r="I63" s="31"/>
      <c r="J63" s="44"/>
    </row>
    <row r="64" spans="1:13" ht="15" customHeight="1">
      <c r="A64" s="123">
        <v>0.16631579399108887</v>
      </c>
      <c r="B64" s="84">
        <v>92.156775556421664</v>
      </c>
      <c r="C64" s="85">
        <v>603.0108642578125</v>
      </c>
      <c r="D64" s="393" t="s">
        <v>414</v>
      </c>
      <c r="E64" s="394"/>
      <c r="F64" s="394"/>
      <c r="G64" s="119"/>
      <c r="H64" s="31"/>
      <c r="I64" s="31"/>
      <c r="J64" s="44"/>
    </row>
    <row r="65" spans="1:10" ht="15" customHeight="1">
      <c r="A65" s="123">
        <v>0.27052631974220276</v>
      </c>
      <c r="B65" s="84">
        <v>85.971927941556544</v>
      </c>
      <c r="C65" s="85">
        <v>620.2919921875</v>
      </c>
      <c r="D65" s="395" t="s">
        <v>408</v>
      </c>
      <c r="E65" s="397" t="s">
        <v>412</v>
      </c>
      <c r="F65" s="397"/>
      <c r="G65" s="119"/>
      <c r="H65" s="31"/>
      <c r="I65" s="31"/>
      <c r="J65" s="44"/>
    </row>
    <row r="66" spans="1:10" ht="15" customHeight="1">
      <c r="A66" s="123">
        <v>0.37473684549331665</v>
      </c>
      <c r="B66" s="84">
        <v>83.390427932424743</v>
      </c>
      <c r="C66" s="85">
        <v>634.01422119140625</v>
      </c>
      <c r="D66" s="395" t="s">
        <v>409</v>
      </c>
      <c r="E66" s="397" t="s">
        <v>413</v>
      </c>
      <c r="F66" s="397"/>
      <c r="G66" s="119"/>
      <c r="H66" s="31"/>
      <c r="I66" s="31"/>
      <c r="J66" s="44"/>
    </row>
    <row r="67" spans="1:10" ht="15" customHeight="1">
      <c r="A67" s="123">
        <v>0.47894737124443054</v>
      </c>
      <c r="B67" s="84">
        <v>81.95990882464902</v>
      </c>
      <c r="C67" s="85">
        <v>645.1915283203125</v>
      </c>
      <c r="D67" s="395" t="s">
        <v>410</v>
      </c>
      <c r="E67" s="397" t="s">
        <v>415</v>
      </c>
      <c r="F67" s="397"/>
      <c r="G67" s="119"/>
      <c r="H67" s="31"/>
      <c r="I67" s="31"/>
      <c r="J67" s="44"/>
    </row>
    <row r="68" spans="1:10" ht="15" customHeight="1" thickBot="1">
      <c r="A68" s="124">
        <v>0.58315789699554443</v>
      </c>
      <c r="B68" s="86">
        <v>81.094326714954121</v>
      </c>
      <c r="C68" s="87">
        <v>654.13739013671875</v>
      </c>
      <c r="D68" s="396" t="s">
        <v>411</v>
      </c>
      <c r="E68" s="398" t="s">
        <v>416</v>
      </c>
      <c r="F68" s="398"/>
      <c r="G68" s="120"/>
      <c r="H68" s="45"/>
      <c r="I68" s="45"/>
      <c r="J68" s="46"/>
    </row>
    <row r="69" spans="1:10" ht="15" customHeight="1">
      <c r="A69" s="153"/>
      <c r="B69" s="154"/>
      <c r="C69" s="31"/>
      <c r="D69" s="31"/>
      <c r="E69" s="31"/>
      <c r="F69" s="31"/>
      <c r="G69" s="31"/>
      <c r="H69" s="31"/>
      <c r="I69" s="31"/>
      <c r="J69" s="31"/>
    </row>
    <row r="70" spans="1:10" ht="15" customHeight="1">
      <c r="A70" s="31"/>
      <c r="B70" s="31"/>
      <c r="C70" s="31"/>
      <c r="D70" s="31"/>
      <c r="E70" s="31"/>
      <c r="F70" s="31"/>
      <c r="G70" s="31"/>
      <c r="H70" s="31"/>
      <c r="I70" s="31"/>
      <c r="J70" s="31"/>
    </row>
    <row r="71" spans="1:10">
      <c r="A71" s="1"/>
      <c r="B71" s="1"/>
      <c r="C71" s="1"/>
      <c r="D71" s="1"/>
      <c r="E71" s="1"/>
      <c r="F71" s="1"/>
      <c r="G71" s="1"/>
      <c r="H71" s="1"/>
      <c r="I71" s="1"/>
      <c r="J71" s="1"/>
    </row>
    <row r="99" spans="1:9">
      <c r="A99" s="376" t="s">
        <v>407</v>
      </c>
      <c r="B99" s="376"/>
      <c r="C99" s="376"/>
      <c r="D99" s="376"/>
      <c r="E99" s="376"/>
      <c r="F99" s="376"/>
      <c r="G99" s="376"/>
      <c r="H99" s="376"/>
      <c r="I99" s="376"/>
    </row>
    <row r="100" spans="1:9">
      <c r="A100" s="376">
        <v>100</v>
      </c>
      <c r="B100" s="376"/>
      <c r="C100" s="376"/>
      <c r="D100" s="376"/>
      <c r="E100" s="376"/>
      <c r="F100" s="376"/>
      <c r="G100" s="376"/>
      <c r="H100" s="376"/>
      <c r="I100" s="376"/>
    </row>
    <row r="101" spans="1:9">
      <c r="A101" s="376">
        <v>99.599998474121094</v>
      </c>
      <c r="B101" s="376"/>
      <c r="C101" s="376"/>
      <c r="D101" s="376"/>
      <c r="E101" s="376"/>
      <c r="F101" s="376"/>
      <c r="G101" s="376"/>
      <c r="H101" s="376"/>
      <c r="I101" s="376"/>
    </row>
    <row r="102" spans="1:9">
      <c r="A102" s="376">
        <v>98</v>
      </c>
      <c r="B102" s="376"/>
      <c r="C102" s="376"/>
      <c r="D102" s="376"/>
      <c r="E102" s="376"/>
      <c r="F102" s="376"/>
      <c r="G102" s="376"/>
      <c r="H102" s="376"/>
      <c r="I102" s="376"/>
    </row>
    <row r="103" spans="1:9">
      <c r="A103" s="376">
        <v>83.852630615234375</v>
      </c>
      <c r="B103" s="376"/>
      <c r="C103" s="376"/>
      <c r="D103" s="376"/>
      <c r="E103" s="376"/>
      <c r="F103" s="376"/>
      <c r="G103" s="376"/>
      <c r="H103" s="376"/>
      <c r="I103" s="376"/>
    </row>
    <row r="104" spans="1:9">
      <c r="A104" s="376">
        <v>70.305259704589844</v>
      </c>
      <c r="B104" s="376"/>
      <c r="C104" s="376"/>
      <c r="D104" s="376"/>
      <c r="E104" s="376"/>
      <c r="F104" s="376"/>
      <c r="G104" s="376"/>
      <c r="H104" s="376"/>
      <c r="I104" s="376"/>
    </row>
    <row r="105" spans="1:9">
      <c r="A105" s="376">
        <v>57.410526275634766</v>
      </c>
      <c r="B105" s="376"/>
      <c r="C105" s="376"/>
      <c r="D105" s="376"/>
      <c r="E105" s="376"/>
      <c r="F105" s="376"/>
      <c r="G105" s="376"/>
      <c r="H105" s="376"/>
      <c r="I105" s="376"/>
    </row>
    <row r="106" spans="1:9">
      <c r="A106" s="376">
        <v>38.010524749755859</v>
      </c>
      <c r="B106" s="376"/>
      <c r="C106" s="376"/>
      <c r="D106" s="376"/>
      <c r="E106" s="376"/>
      <c r="F106" s="376"/>
      <c r="G106" s="376"/>
      <c r="H106" s="376"/>
      <c r="I106" s="376"/>
    </row>
    <row r="107" spans="1:9">
      <c r="A107" s="376">
        <v>24.778947830200195</v>
      </c>
      <c r="B107" s="376"/>
      <c r="C107" s="376"/>
      <c r="D107" s="376"/>
      <c r="E107" s="376"/>
      <c r="F107" s="376"/>
      <c r="G107" s="376"/>
      <c r="H107" s="376"/>
      <c r="I107" s="376"/>
    </row>
    <row r="108" spans="1:9">
      <c r="A108" s="376">
        <v>15.684209823608398</v>
      </c>
      <c r="B108" s="376"/>
      <c r="C108" s="376"/>
      <c r="D108" s="376"/>
      <c r="E108" s="376"/>
      <c r="F108" s="376"/>
      <c r="G108" s="376"/>
      <c r="H108" s="376"/>
      <c r="I108" s="376"/>
    </row>
    <row r="109" spans="1:9">
      <c r="A109" s="376">
        <v>9.0105257034301758</v>
      </c>
      <c r="B109" s="376"/>
      <c r="C109" s="376"/>
      <c r="D109" s="376"/>
      <c r="E109" s="376"/>
      <c r="F109" s="376"/>
      <c r="G109" s="376"/>
      <c r="H109" s="376"/>
      <c r="I109" s="376"/>
    </row>
    <row r="110" spans="1:9">
      <c r="A110" s="376">
        <v>6.2526321411132813</v>
      </c>
      <c r="B110" s="376"/>
      <c r="C110" s="376"/>
      <c r="D110" s="376"/>
      <c r="E110" s="376"/>
      <c r="F110" s="376"/>
      <c r="G110" s="376"/>
      <c r="H110" s="376"/>
      <c r="I110" s="376"/>
    </row>
    <row r="111" spans="1:9">
      <c r="A111" s="376">
        <v>7.8315787315368652</v>
      </c>
      <c r="B111" s="376"/>
      <c r="C111" s="376"/>
      <c r="D111" s="376"/>
      <c r="E111" s="376"/>
      <c r="F111" s="376"/>
      <c r="G111" s="376"/>
      <c r="H111" s="376"/>
      <c r="I111" s="376"/>
    </row>
    <row r="112" spans="1:9">
      <c r="A112" s="376">
        <v>14.70526123046875</v>
      </c>
      <c r="B112" s="376"/>
      <c r="C112" s="376"/>
      <c r="D112" s="376"/>
      <c r="E112" s="376"/>
      <c r="F112" s="376"/>
      <c r="G112" s="376"/>
      <c r="H112" s="376"/>
      <c r="I112" s="376"/>
    </row>
    <row r="113" spans="1:9">
      <c r="A113" s="376">
        <v>30</v>
      </c>
      <c r="B113" s="376"/>
      <c r="C113" s="376"/>
      <c r="D113" s="376"/>
      <c r="E113" s="376"/>
      <c r="F113" s="376"/>
      <c r="G113" s="376"/>
      <c r="H113" s="376"/>
      <c r="I113" s="376"/>
    </row>
  </sheetData>
  <phoneticPr fontId="8" type="noConversion"/>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53"/>
  <sheetViews>
    <sheetView topLeftCell="A24" zoomScaleNormal="100" workbookViewId="0">
      <selection activeCell="O36" sqref="O36"/>
    </sheetView>
  </sheetViews>
  <sheetFormatPr defaultColWidth="9.140625" defaultRowHeight="15.75"/>
  <cols>
    <col min="1" max="1" width="12.140625" style="314" customWidth="1"/>
    <col min="2" max="2" width="6.140625" style="314" customWidth="1"/>
    <col min="3" max="3" width="7.7109375" style="314" customWidth="1"/>
    <col min="4" max="5" width="13.140625" style="314" customWidth="1"/>
    <col min="6" max="6" width="9.42578125" style="314" customWidth="1"/>
    <col min="7" max="7" width="5.7109375" style="314" customWidth="1"/>
    <col min="8" max="8" width="7.85546875" style="314" customWidth="1"/>
    <col min="9" max="9" width="6.5703125" style="314" customWidth="1"/>
    <col min="10" max="11" width="12" style="314" customWidth="1"/>
    <col min="12" max="12" width="16" style="183" customWidth="1"/>
    <col min="13" max="26" width="9.140625" style="183"/>
    <col min="27" max="16384" width="9.140625" style="184"/>
  </cols>
  <sheetData>
    <row r="1" spans="1:26" ht="20.25" customHeight="1">
      <c r="A1" s="550" t="s">
        <v>268</v>
      </c>
      <c r="B1" s="550"/>
      <c r="C1" s="550"/>
      <c r="D1" s="550"/>
      <c r="E1" s="550"/>
      <c r="F1" s="550"/>
      <c r="G1" s="550"/>
      <c r="H1" s="550"/>
      <c r="I1" s="550"/>
      <c r="J1" s="550"/>
      <c r="K1" s="550"/>
    </row>
    <row r="2" spans="1:26" ht="20.25" customHeight="1">
      <c r="A2" s="551" t="s">
        <v>269</v>
      </c>
      <c r="B2" s="551"/>
      <c r="C2" s="551"/>
      <c r="D2" s="551"/>
      <c r="E2" s="551"/>
      <c r="F2" s="551"/>
      <c r="G2" s="551"/>
      <c r="H2" s="551"/>
      <c r="I2" s="551"/>
      <c r="J2" s="551"/>
      <c r="K2" s="551"/>
    </row>
    <row r="3" spans="1:26" ht="18.75" customHeight="1" thickBot="1">
      <c r="A3" s="185" t="s">
        <v>1</v>
      </c>
      <c r="B3" s="186" t="s">
        <v>379</v>
      </c>
      <c r="C3" s="187"/>
      <c r="D3" s="187"/>
      <c r="E3" s="187"/>
      <c r="F3" s="188"/>
      <c r="G3" s="187"/>
      <c r="H3" s="187"/>
      <c r="I3" s="185" t="s">
        <v>270</v>
      </c>
      <c r="J3" s="559" t="s">
        <v>391</v>
      </c>
      <c r="K3" s="559"/>
    </row>
    <row r="4" spans="1:26" s="197" customFormat="1" ht="18.399999999999999" customHeight="1" thickBot="1">
      <c r="A4" s="189" t="s">
        <v>380</v>
      </c>
      <c r="B4" s="190"/>
      <c r="C4" s="191"/>
      <c r="D4" s="191"/>
      <c r="E4" s="191"/>
      <c r="F4" s="191"/>
      <c r="G4" s="191"/>
      <c r="H4" s="191"/>
      <c r="I4" s="191"/>
      <c r="J4" s="191"/>
      <c r="K4" s="192"/>
      <c r="L4" s="193"/>
      <c r="M4" s="193"/>
      <c r="N4" s="193"/>
      <c r="O4" s="193"/>
      <c r="P4" s="193"/>
      <c r="Q4" s="194" t="s">
        <v>271</v>
      </c>
      <c r="R4" s="195"/>
      <c r="S4" s="193"/>
      <c r="T4" s="194" t="s">
        <v>272</v>
      </c>
      <c r="U4" s="196"/>
      <c r="V4" s="193"/>
      <c r="W4" s="193"/>
      <c r="X4" s="193"/>
      <c r="Y4" s="193"/>
      <c r="Z4" s="193"/>
    </row>
    <row r="5" spans="1:26" s="197" customFormat="1" ht="18.399999999999999" customHeight="1">
      <c r="A5" s="552" t="s">
        <v>273</v>
      </c>
      <c r="B5" s="553"/>
      <c r="C5" s="553"/>
      <c r="D5" s="198"/>
      <c r="E5" s="199"/>
      <c r="F5" s="200" t="s">
        <v>274</v>
      </c>
      <c r="G5" s="187"/>
      <c r="H5" s="187"/>
      <c r="I5" s="201"/>
      <c r="J5" s="202" t="s">
        <v>275</v>
      </c>
      <c r="K5" s="203" t="s">
        <v>276</v>
      </c>
      <c r="L5" s="193"/>
      <c r="M5" s="193"/>
      <c r="N5" s="193"/>
      <c r="O5" s="193"/>
      <c r="P5" s="193"/>
      <c r="Q5" s="204" t="s">
        <v>277</v>
      </c>
      <c r="R5" s="205"/>
      <c r="S5" s="193"/>
      <c r="T5" s="204" t="s">
        <v>278</v>
      </c>
      <c r="U5" s="206"/>
      <c r="V5" s="193"/>
      <c r="W5" s="193"/>
      <c r="X5" s="193"/>
      <c r="Y5" s="193"/>
      <c r="Z5" s="193"/>
    </row>
    <row r="6" spans="1:26" s="197" customFormat="1" ht="18.399999999999999" customHeight="1">
      <c r="A6" s="554" t="s">
        <v>67</v>
      </c>
      <c r="B6" s="555"/>
      <c r="C6" s="555"/>
      <c r="D6" s="560" t="s">
        <v>282</v>
      </c>
      <c r="E6" s="561"/>
      <c r="F6" s="556" t="s">
        <v>280</v>
      </c>
      <c r="G6" s="557"/>
      <c r="H6" s="557"/>
      <c r="I6" s="557"/>
      <c r="J6" s="557"/>
      <c r="K6" s="558"/>
      <c r="L6" s="193"/>
      <c r="M6" s="193"/>
      <c r="N6" s="193"/>
      <c r="O6" s="193"/>
      <c r="P6" s="193"/>
      <c r="Q6" s="204" t="s">
        <v>281</v>
      </c>
      <c r="R6" s="205"/>
      <c r="S6" s="193"/>
      <c r="T6" s="204" t="s">
        <v>282</v>
      </c>
      <c r="U6" s="206"/>
      <c r="V6" s="193"/>
      <c r="W6" s="193"/>
      <c r="X6" s="193"/>
      <c r="Y6" s="193"/>
      <c r="Z6" s="193"/>
    </row>
    <row r="7" spans="1:26" s="197" customFormat="1" ht="18.399999999999999" customHeight="1">
      <c r="A7" s="565" t="s">
        <v>20</v>
      </c>
      <c r="B7" s="566"/>
      <c r="C7" s="566"/>
      <c r="D7" s="567">
        <v>2.2999999523162802</v>
      </c>
      <c r="E7" s="568"/>
      <c r="F7" s="207" t="s">
        <v>283</v>
      </c>
      <c r="G7" s="208"/>
      <c r="H7" s="209"/>
      <c r="I7" s="210"/>
      <c r="J7" s="211">
        <v>22</v>
      </c>
      <c r="K7" s="212" t="s">
        <v>175</v>
      </c>
      <c r="L7" s="193"/>
      <c r="M7" s="193"/>
      <c r="N7" s="193"/>
      <c r="O7" s="193"/>
      <c r="P7" s="193"/>
      <c r="Q7" s="204" t="s">
        <v>284</v>
      </c>
      <c r="R7" s="205"/>
      <c r="S7" s="193"/>
      <c r="T7" s="204" t="s">
        <v>279</v>
      </c>
      <c r="U7" s="206"/>
      <c r="V7" s="193"/>
      <c r="W7" s="193"/>
      <c r="X7" s="193"/>
      <c r="Y7" s="193"/>
      <c r="Z7" s="193"/>
    </row>
    <row r="8" spans="1:26" s="197" customFormat="1" ht="18.399999999999999" customHeight="1">
      <c r="A8" s="565" t="s">
        <v>285</v>
      </c>
      <c r="B8" s="566"/>
      <c r="C8" s="566"/>
      <c r="D8" s="569">
        <v>760</v>
      </c>
      <c r="E8" s="570"/>
      <c r="F8" s="213" t="s">
        <v>286</v>
      </c>
      <c r="G8" s="214"/>
      <c r="H8" s="215"/>
      <c r="I8" s="216"/>
      <c r="J8" s="217">
        <v>11580</v>
      </c>
      <c r="K8" s="218" t="s">
        <v>175</v>
      </c>
      <c r="L8" s="193"/>
      <c r="M8" s="193"/>
      <c r="N8" s="193"/>
      <c r="O8" s="193"/>
      <c r="P8" s="193"/>
      <c r="Q8" s="204" t="s">
        <v>287</v>
      </c>
      <c r="R8" s="205"/>
      <c r="S8" s="193"/>
      <c r="T8" s="204" t="s">
        <v>288</v>
      </c>
      <c r="U8" s="206"/>
      <c r="V8" s="193"/>
      <c r="W8" s="193"/>
      <c r="X8" s="193"/>
      <c r="Y8" s="193"/>
      <c r="Z8" s="193"/>
    </row>
    <row r="9" spans="1:26" s="197" customFormat="1" ht="18.399999999999999" customHeight="1">
      <c r="A9" s="571" t="s">
        <v>289</v>
      </c>
      <c r="B9" s="572"/>
      <c r="C9" s="573"/>
      <c r="D9" s="569">
        <v>10.5</v>
      </c>
      <c r="E9" s="570"/>
      <c r="F9" s="207" t="s">
        <v>290</v>
      </c>
      <c r="G9" s="208"/>
      <c r="H9" s="219">
        <v>3</v>
      </c>
      <c r="I9" s="220" t="s">
        <v>291</v>
      </c>
      <c r="J9" s="221">
        <v>133</v>
      </c>
      <c r="K9" s="218" t="s">
        <v>175</v>
      </c>
      <c r="L9" s="193"/>
      <c r="M9" s="193"/>
      <c r="N9" s="193"/>
      <c r="O9" s="193"/>
      <c r="P9" s="193"/>
      <c r="Q9" s="204" t="s">
        <v>292</v>
      </c>
      <c r="R9" s="205"/>
      <c r="S9" s="193"/>
      <c r="T9" s="204" t="s">
        <v>293</v>
      </c>
      <c r="U9" s="206"/>
      <c r="V9" s="193"/>
      <c r="W9" s="193"/>
      <c r="X9" s="193"/>
      <c r="Y9" s="193"/>
      <c r="Z9" s="193"/>
    </row>
    <row r="10" spans="1:26" s="197" customFormat="1" ht="18.399999999999999" customHeight="1" thickBot="1">
      <c r="A10" s="571" t="s">
        <v>294</v>
      </c>
      <c r="B10" s="572"/>
      <c r="C10" s="573"/>
      <c r="D10" s="574" t="s">
        <v>201</v>
      </c>
      <c r="E10" s="575"/>
      <c r="F10" s="207" t="s">
        <v>295</v>
      </c>
      <c r="G10" s="208"/>
      <c r="H10" s="219">
        <v>3</v>
      </c>
      <c r="I10" s="220" t="s">
        <v>291</v>
      </c>
      <c r="J10" s="221">
        <v>1150</v>
      </c>
      <c r="K10" s="218" t="s">
        <v>175</v>
      </c>
      <c r="L10" s="193"/>
      <c r="M10" s="193"/>
      <c r="N10" s="193"/>
      <c r="O10" s="193"/>
      <c r="P10" s="193"/>
      <c r="Q10" s="204" t="s">
        <v>296</v>
      </c>
      <c r="R10" s="205"/>
      <c r="S10" s="193"/>
      <c r="T10" s="222" t="s">
        <v>297</v>
      </c>
      <c r="U10" s="223"/>
      <c r="V10" s="193"/>
      <c r="W10" s="193"/>
      <c r="X10" s="193"/>
      <c r="Y10" s="193"/>
      <c r="Z10" s="193"/>
    </row>
    <row r="11" spans="1:26" s="197" customFormat="1" ht="18.399999999999999" customHeight="1" thickBot="1">
      <c r="A11" s="571" t="s">
        <v>298</v>
      </c>
      <c r="B11" s="572"/>
      <c r="C11" s="573"/>
      <c r="D11" s="576" t="s">
        <v>175</v>
      </c>
      <c r="E11" s="577"/>
      <c r="F11" s="224" t="s">
        <v>299</v>
      </c>
      <c r="G11" s="225"/>
      <c r="H11" s="226">
        <v>3</v>
      </c>
      <c r="I11" s="220" t="s">
        <v>291</v>
      </c>
      <c r="J11" s="227">
        <v>22118</v>
      </c>
      <c r="K11" s="228" t="s">
        <v>175</v>
      </c>
      <c r="L11" s="193"/>
      <c r="M11" s="193"/>
      <c r="N11" s="193"/>
      <c r="O11" s="193"/>
      <c r="P11" s="193"/>
      <c r="Q11" s="204" t="s">
        <v>300</v>
      </c>
      <c r="R11" s="205"/>
      <c r="S11" s="193"/>
      <c r="T11" s="194" t="s">
        <v>301</v>
      </c>
      <c r="U11" s="196"/>
      <c r="V11" s="193"/>
      <c r="W11" s="193"/>
      <c r="X11" s="193"/>
      <c r="Y11" s="193"/>
      <c r="Z11" s="193"/>
    </row>
    <row r="12" spans="1:26" s="197" customFormat="1" ht="18.399999999999999" customHeight="1" thickBot="1">
      <c r="A12" s="229" t="s">
        <v>302</v>
      </c>
      <c r="C12" s="230"/>
      <c r="D12" s="578" t="s">
        <v>175</v>
      </c>
      <c r="E12" s="579"/>
      <c r="F12" s="562" t="s">
        <v>303</v>
      </c>
      <c r="G12" s="563"/>
      <c r="H12" s="563"/>
      <c r="I12" s="563"/>
      <c r="J12" s="563"/>
      <c r="K12" s="564"/>
      <c r="L12" s="193"/>
      <c r="M12" s="193"/>
      <c r="N12" s="193"/>
      <c r="O12" s="193"/>
      <c r="P12" s="193"/>
      <c r="Q12" s="222" t="s">
        <v>304</v>
      </c>
      <c r="R12" s="231"/>
      <c r="S12" s="193"/>
      <c r="T12" s="193"/>
      <c r="U12" s="193"/>
      <c r="V12" s="193"/>
      <c r="W12" s="193"/>
      <c r="X12" s="193"/>
      <c r="Y12" s="193"/>
      <c r="Z12" s="193"/>
    </row>
    <row r="13" spans="1:26" s="197" customFormat="1" ht="18.399999999999999" customHeight="1">
      <c r="A13" s="571" t="s">
        <v>53</v>
      </c>
      <c r="B13" s="572"/>
      <c r="C13" s="573"/>
      <c r="D13" s="580" t="s">
        <v>382</v>
      </c>
      <c r="E13" s="581"/>
      <c r="F13" s="232"/>
      <c r="G13" s="233" t="s">
        <v>305</v>
      </c>
      <c r="H13" s="234"/>
      <c r="I13" s="235" t="s">
        <v>306</v>
      </c>
      <c r="J13" s="236" t="s">
        <v>384</v>
      </c>
      <c r="K13" s="237" t="s">
        <v>175</v>
      </c>
      <c r="L13" s="193"/>
      <c r="M13" s="193"/>
      <c r="N13" s="193"/>
      <c r="O13" s="193"/>
      <c r="P13" s="193"/>
      <c r="Q13" s="193"/>
      <c r="R13" s="193"/>
      <c r="S13" s="193"/>
      <c r="T13" s="193"/>
      <c r="U13" s="193"/>
      <c r="V13" s="193"/>
      <c r="W13" s="193"/>
      <c r="X13" s="193"/>
      <c r="Y13" s="193"/>
      <c r="Z13" s="193"/>
    </row>
    <row r="14" spans="1:26" s="197" customFormat="1" ht="18.399999999999999" customHeight="1">
      <c r="A14" s="571" t="s">
        <v>56</v>
      </c>
      <c r="B14" s="572"/>
      <c r="C14" s="573"/>
      <c r="D14" s="578">
        <v>1265</v>
      </c>
      <c r="E14" s="579"/>
      <c r="F14" s="232"/>
      <c r="G14" s="238" t="s">
        <v>10</v>
      </c>
      <c r="H14" s="239"/>
      <c r="I14" s="239"/>
      <c r="J14" s="221" t="s">
        <v>175</v>
      </c>
      <c r="K14" s="218" t="s">
        <v>175</v>
      </c>
      <c r="L14" s="193"/>
      <c r="M14" s="193"/>
      <c r="N14" s="193"/>
      <c r="O14" s="193"/>
      <c r="P14" s="193"/>
      <c r="Q14" s="193"/>
      <c r="R14" s="193"/>
      <c r="S14" s="193"/>
      <c r="T14" s="193"/>
      <c r="U14" s="193"/>
      <c r="V14" s="193"/>
      <c r="W14" s="193"/>
      <c r="X14" s="193"/>
      <c r="Y14" s="193"/>
      <c r="Z14" s="193"/>
    </row>
    <row r="15" spans="1:26" s="197" customFormat="1" ht="18.399999999999999" customHeight="1">
      <c r="A15" s="582" t="s">
        <v>307</v>
      </c>
      <c r="B15" s="583"/>
      <c r="C15" s="584"/>
      <c r="D15" s="585">
        <v>11.832400321960449</v>
      </c>
      <c r="E15" s="586"/>
      <c r="F15" s="232"/>
      <c r="G15" s="238" t="s">
        <v>308</v>
      </c>
      <c r="H15" s="239"/>
      <c r="I15" s="239"/>
      <c r="J15" s="221" t="s">
        <v>175</v>
      </c>
      <c r="K15" s="218" t="s">
        <v>175</v>
      </c>
      <c r="L15" s="193"/>
      <c r="M15" s="193"/>
      <c r="N15" s="193"/>
      <c r="O15" s="193"/>
      <c r="P15" s="193"/>
      <c r="Q15" s="193"/>
      <c r="R15" s="193"/>
      <c r="S15" s="193"/>
      <c r="T15" s="193"/>
      <c r="U15" s="193"/>
      <c r="V15" s="193"/>
      <c r="W15" s="193"/>
      <c r="X15" s="193"/>
      <c r="Y15" s="193"/>
      <c r="Z15" s="193"/>
    </row>
    <row r="16" spans="1:26" s="197" customFormat="1" ht="18.399999999999999" customHeight="1">
      <c r="A16" s="587" t="s">
        <v>309</v>
      </c>
      <c r="B16" s="588"/>
      <c r="C16" s="589"/>
      <c r="D16" s="585">
        <v>3.3543999195098877</v>
      </c>
      <c r="E16" s="586"/>
      <c r="F16" s="240"/>
      <c r="G16" s="241" t="s">
        <v>17</v>
      </c>
      <c r="H16" s="242"/>
      <c r="I16" s="242"/>
      <c r="J16" s="227" t="s">
        <v>175</v>
      </c>
      <c r="K16" s="228" t="s">
        <v>175</v>
      </c>
      <c r="L16" s="193"/>
      <c r="M16" s="193"/>
      <c r="N16" s="193"/>
      <c r="O16" s="193"/>
      <c r="P16" s="193"/>
      <c r="Q16" s="193"/>
      <c r="R16" s="193"/>
      <c r="S16" s="193"/>
      <c r="T16" s="193"/>
      <c r="U16" s="193"/>
      <c r="V16" s="193"/>
      <c r="W16" s="193"/>
      <c r="X16" s="193"/>
      <c r="Y16" s="193"/>
      <c r="Z16" s="193"/>
    </row>
    <row r="17" spans="1:26" s="197" customFormat="1" ht="18.399999999999999" customHeight="1">
      <c r="A17" s="243" t="s">
        <v>310</v>
      </c>
      <c r="B17" s="244"/>
      <c r="C17" s="245"/>
      <c r="D17" s="576" t="s">
        <v>381</v>
      </c>
      <c r="E17" s="577"/>
      <c r="F17" s="562" t="s">
        <v>311</v>
      </c>
      <c r="G17" s="563"/>
      <c r="H17" s="563"/>
      <c r="I17" s="563"/>
      <c r="J17" s="563"/>
      <c r="K17" s="564"/>
      <c r="L17" s="193"/>
      <c r="M17" s="193"/>
      <c r="N17" s="193"/>
      <c r="O17" s="193"/>
      <c r="P17" s="193"/>
      <c r="Q17" s="193"/>
      <c r="R17" s="193"/>
      <c r="S17" s="193"/>
      <c r="T17" s="193"/>
      <c r="U17" s="193"/>
      <c r="V17" s="193"/>
      <c r="W17" s="193"/>
      <c r="X17" s="193"/>
      <c r="Y17" s="193"/>
      <c r="Z17" s="193"/>
    </row>
    <row r="18" spans="1:26" s="197" customFormat="1" ht="18.399999999999999" customHeight="1">
      <c r="A18" s="246" t="s">
        <v>312</v>
      </c>
      <c r="B18" s="247"/>
      <c r="C18" s="245"/>
      <c r="D18" s="574" t="s">
        <v>175</v>
      </c>
      <c r="E18" s="575"/>
      <c r="F18" s="590"/>
      <c r="G18" s="591"/>
      <c r="H18" s="248" t="s">
        <v>313</v>
      </c>
      <c r="I18" s="249"/>
      <c r="J18" s="353">
        <v>100</v>
      </c>
      <c r="K18" s="218"/>
      <c r="L18" s="193"/>
      <c r="M18" s="193">
        <f>J18*6.5</f>
        <v>650</v>
      </c>
      <c r="N18" s="193"/>
      <c r="O18" s="193"/>
      <c r="P18" s="193"/>
      <c r="Q18" s="193"/>
      <c r="R18" s="193"/>
      <c r="S18" s="193"/>
      <c r="T18" s="193"/>
      <c r="U18" s="193"/>
      <c r="V18" s="193"/>
      <c r="W18" s="193"/>
      <c r="X18" s="193"/>
      <c r="Y18" s="193"/>
      <c r="Z18" s="193"/>
    </row>
    <row r="19" spans="1:26" s="197" customFormat="1" ht="18.399999999999999" customHeight="1">
      <c r="A19" s="596" t="s">
        <v>314</v>
      </c>
      <c r="B19" s="597"/>
      <c r="C19" s="598"/>
      <c r="D19" s="599" t="s">
        <v>175</v>
      </c>
      <c r="E19" s="577"/>
      <c r="F19" s="592"/>
      <c r="G19" s="593"/>
      <c r="H19" s="248" t="s">
        <v>5</v>
      </c>
      <c r="I19" s="210"/>
      <c r="J19" s="353">
        <v>1785</v>
      </c>
      <c r="K19" s="218"/>
      <c r="L19" s="193"/>
      <c r="M19" s="193"/>
      <c r="N19" s="193"/>
      <c r="O19" s="193"/>
      <c r="P19" s="193"/>
      <c r="Q19" s="193"/>
      <c r="R19" s="193"/>
      <c r="S19" s="193"/>
      <c r="T19" s="193"/>
      <c r="U19" s="193"/>
      <c r="V19" s="193"/>
      <c r="W19" s="193"/>
      <c r="X19" s="193"/>
      <c r="Y19" s="193"/>
      <c r="Z19" s="193"/>
    </row>
    <row r="20" spans="1:26" s="197" customFormat="1" ht="18.399999999999999" customHeight="1" thickBot="1">
      <c r="A20" s="250" t="s">
        <v>315</v>
      </c>
      <c r="C20" s="251"/>
      <c r="D20" s="600" t="s">
        <v>200</v>
      </c>
      <c r="E20" s="570"/>
      <c r="F20" s="592"/>
      <c r="G20" s="593"/>
      <c r="H20" s="248" t="s">
        <v>316</v>
      </c>
      <c r="I20" s="210"/>
      <c r="J20" s="354" t="s">
        <v>386</v>
      </c>
      <c r="K20" s="218"/>
      <c r="L20" s="193"/>
      <c r="M20" s="193"/>
      <c r="N20" s="193"/>
      <c r="O20" s="193"/>
      <c r="P20" s="193"/>
      <c r="Q20" s="193"/>
      <c r="R20" s="193"/>
      <c r="S20" s="193"/>
      <c r="T20" s="193"/>
      <c r="U20" s="193"/>
      <c r="V20" s="193"/>
      <c r="W20" s="193"/>
      <c r="X20" s="193"/>
      <c r="Y20" s="193"/>
      <c r="Z20" s="193"/>
    </row>
    <row r="21" spans="1:26" s="197" customFormat="1" ht="18.399999999999999" customHeight="1" thickBot="1">
      <c r="A21" s="582" t="s">
        <v>317</v>
      </c>
      <c r="B21" s="583"/>
      <c r="C21" s="584"/>
      <c r="D21" s="569" t="s">
        <v>175</v>
      </c>
      <c r="E21" s="570"/>
      <c r="F21" s="592"/>
      <c r="G21" s="593"/>
      <c r="H21" s="252" t="s">
        <v>318</v>
      </c>
      <c r="I21" s="210"/>
      <c r="J21" s="354">
        <v>1.1499999999999999</v>
      </c>
      <c r="K21" s="218"/>
      <c r="L21" s="193"/>
      <c r="M21" s="193"/>
      <c r="N21" s="193"/>
      <c r="O21" s="193"/>
      <c r="P21" s="193"/>
      <c r="Q21" s="194" t="s">
        <v>319</v>
      </c>
      <c r="R21" s="196"/>
      <c r="S21" s="193"/>
      <c r="T21" s="193"/>
      <c r="U21" s="193"/>
      <c r="V21" s="193"/>
      <c r="W21" s="193"/>
      <c r="X21" s="193"/>
      <c r="Y21" s="193"/>
      <c r="Z21" s="193"/>
    </row>
    <row r="22" spans="1:26" s="197" customFormat="1" ht="18.399999999999999" customHeight="1">
      <c r="A22" s="246" t="s">
        <v>320</v>
      </c>
      <c r="B22" s="253"/>
      <c r="C22" s="253"/>
      <c r="D22" s="601">
        <v>0.16060000658035278</v>
      </c>
      <c r="E22" s="602"/>
      <c r="F22" s="592"/>
      <c r="G22" s="593"/>
      <c r="H22" s="248" t="s">
        <v>275</v>
      </c>
      <c r="I22" s="210"/>
      <c r="J22" s="354" t="s">
        <v>392</v>
      </c>
      <c r="K22" s="218"/>
      <c r="L22" s="193"/>
      <c r="M22" s="193"/>
      <c r="N22" s="193"/>
      <c r="O22" s="193"/>
      <c r="P22" s="193"/>
      <c r="Q22" s="204" t="s">
        <v>321</v>
      </c>
      <c r="R22" s="206"/>
      <c r="S22" s="193"/>
      <c r="T22" s="193"/>
      <c r="U22" s="193"/>
      <c r="V22" s="193"/>
      <c r="W22" s="193"/>
      <c r="X22" s="193"/>
      <c r="Y22" s="193"/>
      <c r="Z22" s="193"/>
    </row>
    <row r="23" spans="1:26" s="197" customFormat="1" ht="18.399999999999999" customHeight="1">
      <c r="A23" s="254" t="s">
        <v>322</v>
      </c>
      <c r="B23" s="255" t="s">
        <v>323</v>
      </c>
      <c r="C23" s="256"/>
      <c r="D23" s="580">
        <v>449.3</v>
      </c>
      <c r="E23" s="581"/>
      <c r="F23" s="592"/>
      <c r="G23" s="593"/>
      <c r="H23" s="257" t="s">
        <v>324</v>
      </c>
      <c r="I23" s="258"/>
      <c r="J23" s="355"/>
      <c r="K23" s="259"/>
      <c r="L23" s="193"/>
      <c r="Q23" s="204" t="s">
        <v>325</v>
      </c>
      <c r="R23" s="206"/>
      <c r="S23" s="193"/>
      <c r="T23" s="193"/>
      <c r="U23" s="193"/>
      <c r="V23" s="193"/>
      <c r="W23" s="193"/>
      <c r="X23" s="193"/>
      <c r="Y23" s="193"/>
      <c r="Z23" s="193"/>
    </row>
    <row r="24" spans="1:26" s="197" customFormat="1" ht="18.399999999999999" customHeight="1" thickBot="1">
      <c r="A24" s="260" t="s">
        <v>326</v>
      </c>
      <c r="B24" s="261" t="s">
        <v>327</v>
      </c>
      <c r="C24" s="262"/>
      <c r="D24" s="603" t="s">
        <v>175</v>
      </c>
      <c r="E24" s="604"/>
      <c r="F24" s="592"/>
      <c r="G24" s="593"/>
      <c r="H24" s="248" t="s">
        <v>328</v>
      </c>
      <c r="I24" s="230"/>
      <c r="J24" s="356"/>
      <c r="K24" s="263"/>
      <c r="Q24" s="264" t="s">
        <v>175</v>
      </c>
      <c r="R24" s="265"/>
      <c r="S24" s="193"/>
      <c r="T24" s="193"/>
      <c r="U24" s="193"/>
      <c r="V24" s="193"/>
      <c r="W24" s="193"/>
      <c r="X24" s="193"/>
      <c r="Y24" s="193"/>
      <c r="Z24" s="193"/>
    </row>
    <row r="25" spans="1:26" s="197" customFormat="1" ht="18.399999999999999" customHeight="1">
      <c r="A25" s="266" t="s">
        <v>329</v>
      </c>
      <c r="B25" s="267"/>
      <c r="C25" s="267"/>
      <c r="D25" s="268"/>
      <c r="E25" s="268" t="s">
        <v>330</v>
      </c>
      <c r="F25" s="592"/>
      <c r="G25" s="593"/>
      <c r="H25" s="248" t="s">
        <v>331</v>
      </c>
      <c r="I25" s="230"/>
      <c r="J25" s="357"/>
      <c r="K25" s="263"/>
      <c r="R25" s="193"/>
      <c r="S25" s="193"/>
      <c r="T25" s="193"/>
      <c r="U25" s="193"/>
      <c r="V25" s="193"/>
      <c r="W25" s="193"/>
      <c r="X25" s="193"/>
      <c r="Y25" s="193"/>
      <c r="Z25" s="193"/>
    </row>
    <row r="26" spans="1:26" s="197" customFormat="1" ht="18.399999999999999" customHeight="1">
      <c r="A26" s="269" t="s">
        <v>332</v>
      </c>
      <c r="B26" s="270"/>
      <c r="C26" s="271"/>
      <c r="D26" s="272" t="s">
        <v>385</v>
      </c>
      <c r="E26" s="272" t="s">
        <v>387</v>
      </c>
      <c r="F26" s="594"/>
      <c r="G26" s="595"/>
      <c r="H26" s="605"/>
      <c r="I26" s="606"/>
      <c r="J26" s="273"/>
      <c r="K26" s="274"/>
      <c r="R26" s="193"/>
      <c r="S26" s="193"/>
      <c r="T26" s="193"/>
      <c r="U26" s="193"/>
      <c r="V26" s="193"/>
      <c r="W26" s="193"/>
      <c r="X26" s="193"/>
      <c r="Y26" s="193"/>
      <c r="Z26" s="193"/>
    </row>
    <row r="27" spans="1:26" s="197" customFormat="1" ht="18.399999999999999" customHeight="1">
      <c r="A27" s="607" t="s">
        <v>333</v>
      </c>
      <c r="B27" s="608"/>
      <c r="C27" s="608"/>
      <c r="D27" s="608"/>
      <c r="E27" s="608"/>
      <c r="F27" s="556" t="s">
        <v>334</v>
      </c>
      <c r="G27" s="557"/>
      <c r="H27" s="557"/>
      <c r="I27" s="557"/>
      <c r="J27" s="557"/>
      <c r="K27" s="558"/>
      <c r="R27" s="193"/>
      <c r="S27" s="193"/>
      <c r="T27" s="193"/>
      <c r="U27" s="193"/>
      <c r="V27" s="193"/>
      <c r="W27" s="193"/>
      <c r="X27" s="193"/>
      <c r="Y27" s="193"/>
      <c r="Z27" s="193"/>
    </row>
    <row r="28" spans="1:26" s="197" customFormat="1" ht="18.399999999999999" customHeight="1">
      <c r="A28" s="613"/>
      <c r="B28" s="614"/>
      <c r="C28" s="614"/>
      <c r="D28" s="614"/>
      <c r="E28" s="615"/>
      <c r="F28" s="275"/>
      <c r="G28" s="276"/>
      <c r="H28" s="238" t="s">
        <v>335</v>
      </c>
      <c r="I28" s="277" t="s">
        <v>383</v>
      </c>
      <c r="J28" s="217">
        <v>676</v>
      </c>
      <c r="K28" s="278" t="s">
        <v>175</v>
      </c>
      <c r="M28" s="197">
        <f>(J28/J18)*100</f>
        <v>676</v>
      </c>
      <c r="N28" s="279"/>
      <c r="O28" s="279"/>
      <c r="R28" s="193"/>
      <c r="S28" s="193"/>
      <c r="T28" s="193"/>
      <c r="U28" s="193"/>
      <c r="V28" s="193"/>
      <c r="W28" s="193"/>
      <c r="X28" s="193"/>
      <c r="Y28" s="193"/>
      <c r="Z28" s="193"/>
    </row>
    <row r="29" spans="1:26" s="197" customFormat="1" ht="18.399999999999999" customHeight="1">
      <c r="A29" s="613"/>
      <c r="B29" s="614"/>
      <c r="C29" s="614"/>
      <c r="D29" s="614"/>
      <c r="E29" s="615"/>
      <c r="F29" s="280"/>
      <c r="G29" s="281"/>
      <c r="H29" s="238" t="s">
        <v>336</v>
      </c>
      <c r="I29" s="282">
        <v>60</v>
      </c>
      <c r="J29" s="217">
        <v>80</v>
      </c>
      <c r="K29" s="283" t="s">
        <v>175</v>
      </c>
      <c r="Q29" s="193"/>
      <c r="R29" s="193"/>
      <c r="S29" s="193"/>
      <c r="T29" s="193"/>
      <c r="U29" s="193"/>
      <c r="V29" s="193"/>
      <c r="W29" s="193"/>
      <c r="X29" s="193"/>
      <c r="Y29" s="193"/>
      <c r="Z29" s="193"/>
    </row>
    <row r="30" spans="1:26" s="197" customFormat="1" ht="18.399999999999999" customHeight="1">
      <c r="A30" s="613"/>
      <c r="B30" s="614"/>
      <c r="C30" s="614"/>
      <c r="D30" s="614"/>
      <c r="E30" s="615"/>
      <c r="F30" s="280"/>
      <c r="G30" s="281"/>
      <c r="H30" s="238" t="s">
        <v>337</v>
      </c>
      <c r="I30" s="282">
        <v>175</v>
      </c>
      <c r="J30" s="217">
        <v>234</v>
      </c>
      <c r="K30" s="284" t="s">
        <v>175</v>
      </c>
      <c r="L30" s="193"/>
      <c r="R30" s="193"/>
      <c r="S30" s="193"/>
      <c r="T30" s="193"/>
      <c r="U30" s="193"/>
      <c r="V30" s="193"/>
      <c r="W30" s="193"/>
      <c r="X30" s="193"/>
      <c r="Y30" s="193"/>
      <c r="Z30" s="193"/>
    </row>
    <row r="31" spans="1:26" s="197" customFormat="1" ht="18.399999999999999" customHeight="1">
      <c r="A31" s="613"/>
      <c r="B31" s="614"/>
      <c r="C31" s="614"/>
      <c r="D31" s="614"/>
      <c r="E31" s="615"/>
      <c r="F31" s="280"/>
      <c r="G31" s="281"/>
      <c r="H31" s="238" t="s">
        <v>338</v>
      </c>
      <c r="I31" s="239"/>
      <c r="J31" s="285">
        <v>0.61</v>
      </c>
      <c r="K31" s="212" t="s">
        <v>175</v>
      </c>
      <c r="L31" s="193"/>
      <c r="R31" s="193"/>
      <c r="S31" s="193"/>
      <c r="T31" s="193"/>
      <c r="U31" s="193"/>
      <c r="V31" s="193"/>
      <c r="W31" s="193"/>
      <c r="X31" s="193"/>
      <c r="Y31" s="193"/>
      <c r="Z31" s="193"/>
    </row>
    <row r="32" spans="1:26" s="197" customFormat="1" ht="18.399999999999999" customHeight="1">
      <c r="A32" s="616"/>
      <c r="B32" s="617"/>
      <c r="C32" s="617"/>
      <c r="D32" s="617"/>
      <c r="E32" s="618"/>
      <c r="F32" s="280"/>
      <c r="G32" s="286" t="s">
        <v>339</v>
      </c>
      <c r="H32" s="238" t="s">
        <v>340</v>
      </c>
      <c r="I32" s="287"/>
      <c r="J32" s="211">
        <v>95.5</v>
      </c>
      <c r="K32" s="283" t="s">
        <v>175</v>
      </c>
      <c r="L32" s="193"/>
      <c r="N32" s="288"/>
      <c r="R32" s="193"/>
      <c r="S32" s="193"/>
      <c r="T32" s="193"/>
      <c r="U32" s="193"/>
      <c r="V32" s="193"/>
      <c r="W32" s="193"/>
      <c r="X32" s="193"/>
      <c r="Y32" s="193"/>
      <c r="Z32" s="193"/>
    </row>
    <row r="33" spans="1:26" s="197" customFormat="1" ht="18.399999999999999" customHeight="1">
      <c r="A33" s="607" t="s">
        <v>341</v>
      </c>
      <c r="B33" s="608"/>
      <c r="C33" s="608"/>
      <c r="D33" s="608"/>
      <c r="E33" s="619"/>
      <c r="F33" s="289"/>
      <c r="G33" s="290"/>
      <c r="H33" s="291" t="s">
        <v>342</v>
      </c>
      <c r="I33" s="292"/>
      <c r="J33" s="293">
        <v>90.3</v>
      </c>
      <c r="K33" s="294" t="s">
        <v>175</v>
      </c>
      <c r="L33" s="193"/>
      <c r="R33" s="193"/>
      <c r="S33" s="193"/>
      <c r="T33" s="193"/>
      <c r="U33" s="193"/>
      <c r="V33" s="193"/>
      <c r="W33" s="193"/>
      <c r="X33" s="193"/>
      <c r="Y33" s="193"/>
      <c r="Z33" s="193"/>
    </row>
    <row r="34" spans="1:26" s="197" customFormat="1" ht="18.399999999999999" customHeight="1">
      <c r="A34" s="613"/>
      <c r="B34" s="614"/>
      <c r="C34" s="614"/>
      <c r="D34" s="614"/>
      <c r="E34" s="615"/>
      <c r="F34" s="213" t="s">
        <v>343</v>
      </c>
      <c r="G34" s="295"/>
      <c r="H34" s="296" t="s">
        <v>14</v>
      </c>
      <c r="I34" s="297"/>
      <c r="J34" s="298">
        <v>6167</v>
      </c>
      <c r="K34" s="299" t="s">
        <v>175</v>
      </c>
      <c r="L34" s="300"/>
      <c r="M34" s="301"/>
      <c r="R34" s="193"/>
      <c r="S34" s="193"/>
      <c r="T34" s="193"/>
      <c r="U34" s="193"/>
      <c r="V34" s="193"/>
      <c r="W34" s="193"/>
      <c r="X34" s="193"/>
      <c r="Y34" s="193"/>
      <c r="Z34" s="193"/>
    </row>
    <row r="35" spans="1:26" s="197" customFormat="1" ht="18.399999999999999" customHeight="1">
      <c r="A35" s="613"/>
      <c r="B35" s="614"/>
      <c r="C35" s="614"/>
      <c r="D35" s="614"/>
      <c r="E35" s="615"/>
      <c r="F35" s="232"/>
      <c r="G35" s="302"/>
      <c r="H35" s="303" t="s">
        <v>15</v>
      </c>
      <c r="I35" s="304"/>
      <c r="J35" s="217">
        <v>3780</v>
      </c>
      <c r="K35" s="212" t="s">
        <v>175</v>
      </c>
      <c r="L35" s="305"/>
      <c r="M35" s="301"/>
      <c r="R35" s="193"/>
      <c r="S35" s="193"/>
      <c r="T35" s="193"/>
      <c r="U35" s="193"/>
      <c r="V35" s="193"/>
      <c r="W35" s="193"/>
      <c r="X35" s="193"/>
      <c r="Y35" s="193"/>
      <c r="Z35" s="193"/>
    </row>
    <row r="36" spans="1:26" s="197" customFormat="1" ht="18.399999999999999" customHeight="1">
      <c r="A36" s="613"/>
      <c r="B36" s="614"/>
      <c r="C36" s="614"/>
      <c r="D36" s="614"/>
      <c r="E36" s="615"/>
      <c r="F36" s="232"/>
      <c r="G36" s="302"/>
      <c r="H36" s="303" t="s">
        <v>344</v>
      </c>
      <c r="I36" s="304"/>
      <c r="J36" s="217">
        <v>2901</v>
      </c>
      <c r="K36" s="212" t="s">
        <v>175</v>
      </c>
      <c r="L36" s="305"/>
      <c r="M36" s="279"/>
      <c r="Q36" s="193"/>
      <c r="R36" s="193"/>
      <c r="S36" s="193"/>
      <c r="T36" s="193"/>
      <c r="U36" s="193"/>
      <c r="V36" s="193"/>
      <c r="W36" s="193"/>
      <c r="X36" s="193"/>
      <c r="Y36" s="193"/>
      <c r="Z36" s="193"/>
    </row>
    <row r="37" spans="1:26" s="197" customFormat="1" ht="18.399999999999999" customHeight="1">
      <c r="A37" s="613"/>
      <c r="B37" s="614"/>
      <c r="C37" s="614"/>
      <c r="D37" s="614"/>
      <c r="E37" s="615"/>
      <c r="F37" s="280"/>
      <c r="G37" s="302"/>
      <c r="H37" s="303" t="s">
        <v>345</v>
      </c>
      <c r="I37" s="304"/>
      <c r="J37" s="217">
        <v>8445</v>
      </c>
      <c r="K37" s="212" t="s">
        <v>175</v>
      </c>
      <c r="L37" s="305"/>
      <c r="M37" s="279"/>
      <c r="N37" s="305"/>
      <c r="R37" s="193"/>
      <c r="S37" s="193"/>
      <c r="T37" s="193"/>
      <c r="U37" s="193"/>
      <c r="V37" s="193"/>
      <c r="W37" s="193"/>
      <c r="X37" s="193"/>
      <c r="Y37" s="193"/>
      <c r="Z37" s="193"/>
    </row>
    <row r="38" spans="1:26" s="197" customFormat="1" ht="18.399999999999999" customHeight="1">
      <c r="A38" s="616"/>
      <c r="B38" s="617"/>
      <c r="C38" s="617"/>
      <c r="D38" s="617"/>
      <c r="E38" s="618"/>
      <c r="F38" s="240"/>
      <c r="G38" s="306"/>
      <c r="H38" s="307" t="s">
        <v>346</v>
      </c>
      <c r="I38" s="308"/>
      <c r="J38" s="309">
        <v>6732</v>
      </c>
      <c r="K38" s="310" t="s">
        <v>175</v>
      </c>
      <c r="R38" s="193"/>
      <c r="S38" s="193"/>
      <c r="T38" s="193"/>
      <c r="U38" s="193"/>
      <c r="V38" s="193"/>
      <c r="W38" s="193"/>
      <c r="X38" s="193"/>
      <c r="Y38" s="193"/>
      <c r="Z38" s="193"/>
    </row>
    <row r="39" spans="1:26" s="197" customFormat="1" ht="18.399999999999999" customHeight="1">
      <c r="A39" s="607" t="s">
        <v>347</v>
      </c>
      <c r="B39" s="608"/>
      <c r="C39" s="608"/>
      <c r="D39" s="608"/>
      <c r="E39" s="608"/>
      <c r="F39" s="361" t="s">
        <v>348</v>
      </c>
      <c r="G39" s="362" t="s">
        <v>393</v>
      </c>
      <c r="H39" s="362"/>
      <c r="I39" s="362"/>
      <c r="J39" s="362"/>
      <c r="K39" s="363"/>
      <c r="R39" s="193"/>
      <c r="S39" s="193"/>
      <c r="T39" s="193"/>
      <c r="U39" s="193"/>
      <c r="V39" s="193"/>
      <c r="W39" s="193"/>
      <c r="X39" s="193"/>
      <c r="Y39" s="193"/>
      <c r="Z39" s="193"/>
    </row>
    <row r="40" spans="1:26" s="197" customFormat="1" ht="18.399999999999999" customHeight="1">
      <c r="A40" s="613"/>
      <c r="B40" s="614"/>
      <c r="C40" s="614"/>
      <c r="D40" s="614"/>
      <c r="E40" s="615"/>
      <c r="F40" s="364" t="s">
        <v>394</v>
      </c>
      <c r="G40" s="360" t="s">
        <v>395</v>
      </c>
      <c r="H40" s="365"/>
      <c r="I40" s="365"/>
      <c r="J40" s="365"/>
      <c r="K40" s="366"/>
      <c r="R40" s="193"/>
      <c r="S40" s="193"/>
      <c r="T40" s="193"/>
      <c r="U40" s="193"/>
      <c r="V40" s="193"/>
      <c r="W40" s="193"/>
      <c r="X40" s="193"/>
      <c r="Y40" s="193"/>
      <c r="Z40" s="193"/>
    </row>
    <row r="41" spans="1:26" s="197" customFormat="1" ht="18.399999999999999" customHeight="1">
      <c r="A41" s="613"/>
      <c r="B41" s="614"/>
      <c r="C41" s="614"/>
      <c r="D41" s="614"/>
      <c r="E41" s="615"/>
      <c r="F41" s="364"/>
      <c r="G41" s="367" t="s">
        <v>396</v>
      </c>
      <c r="H41" s="367"/>
      <c r="I41" s="367"/>
      <c r="J41" s="365" t="s">
        <v>397</v>
      </c>
      <c r="K41" s="368"/>
      <c r="L41" s="311"/>
      <c r="R41" s="193"/>
      <c r="S41" s="193"/>
      <c r="T41" s="193"/>
      <c r="U41" s="193"/>
      <c r="V41" s="193"/>
      <c r="W41" s="193"/>
      <c r="X41" s="193"/>
      <c r="Y41" s="193"/>
      <c r="Z41" s="193"/>
    </row>
    <row r="42" spans="1:26" s="197" customFormat="1" ht="18.399999999999999" customHeight="1">
      <c r="A42" s="613"/>
      <c r="B42" s="614"/>
      <c r="C42" s="614"/>
      <c r="D42" s="614"/>
      <c r="E42" s="615"/>
      <c r="F42" s="364"/>
      <c r="G42" s="367" t="s">
        <v>398</v>
      </c>
      <c r="H42" s="367"/>
      <c r="I42" s="367"/>
      <c r="J42" s="367"/>
      <c r="K42" s="389"/>
      <c r="L42" s="193"/>
      <c r="M42" s="193"/>
      <c r="N42" s="193"/>
      <c r="O42" s="193"/>
      <c r="P42" s="193"/>
      <c r="Q42" s="193"/>
      <c r="R42" s="193"/>
      <c r="S42" s="193"/>
      <c r="T42" s="193"/>
      <c r="U42" s="193"/>
      <c r="V42" s="193"/>
      <c r="W42" s="193"/>
      <c r="X42" s="193"/>
      <c r="Y42" s="193"/>
      <c r="Z42" s="193"/>
    </row>
    <row r="43" spans="1:26" s="197" customFormat="1" ht="18.399999999999999" customHeight="1">
      <c r="A43" s="613"/>
      <c r="B43" s="614"/>
      <c r="C43" s="614"/>
      <c r="D43" s="614"/>
      <c r="E43" s="615"/>
      <c r="F43" s="364"/>
      <c r="G43" s="367"/>
      <c r="H43" s="367"/>
      <c r="I43" s="367"/>
      <c r="J43" s="367"/>
      <c r="K43" s="368"/>
      <c r="L43" s="193"/>
      <c r="M43" s="193"/>
      <c r="N43" s="193"/>
      <c r="O43" s="193"/>
      <c r="P43" s="193"/>
      <c r="Q43" s="193"/>
      <c r="R43" s="193"/>
      <c r="S43" s="193"/>
      <c r="T43" s="193"/>
      <c r="U43" s="193"/>
      <c r="V43" s="193"/>
      <c r="W43" s="193"/>
      <c r="X43" s="193"/>
      <c r="Y43" s="193"/>
      <c r="Z43" s="193"/>
    </row>
    <row r="44" spans="1:26" s="197" customFormat="1" ht="17.100000000000001" customHeight="1" thickBot="1">
      <c r="A44" s="620"/>
      <c r="B44" s="621"/>
      <c r="C44" s="621"/>
      <c r="D44" s="621"/>
      <c r="E44" s="622"/>
      <c r="F44" s="364"/>
      <c r="G44" s="367" t="s">
        <v>399</v>
      </c>
      <c r="H44" s="367"/>
      <c r="I44" s="367"/>
      <c r="J44" s="367"/>
      <c r="K44" s="368"/>
      <c r="L44" s="193"/>
      <c r="M44" s="193"/>
      <c r="N44" s="193"/>
      <c r="O44" s="193"/>
      <c r="P44" s="193"/>
      <c r="Q44" s="193"/>
      <c r="R44" s="193"/>
      <c r="S44" s="193"/>
      <c r="T44" s="193"/>
      <c r="U44" s="193"/>
      <c r="V44" s="193"/>
      <c r="W44" s="193"/>
      <c r="X44" s="193"/>
      <c r="Y44" s="193"/>
      <c r="Z44" s="193"/>
    </row>
    <row r="45" spans="1:26" s="197" customFormat="1" ht="17.100000000000001" customHeight="1">
      <c r="A45" s="312" t="s">
        <v>349</v>
      </c>
      <c r="B45" s="611" t="s">
        <v>405</v>
      </c>
      <c r="C45" s="612"/>
      <c r="D45" s="377" t="s">
        <v>350</v>
      </c>
      <c r="E45" s="378" t="s">
        <v>406</v>
      </c>
      <c r="F45" s="369"/>
      <c r="G45" s="367" t="s">
        <v>400</v>
      </c>
      <c r="H45" s="367"/>
      <c r="I45" s="367"/>
      <c r="J45" s="367"/>
      <c r="K45" s="389" t="s">
        <v>401</v>
      </c>
      <c r="L45" s="193"/>
      <c r="M45" s="193"/>
      <c r="N45" s="193"/>
      <c r="O45" s="193"/>
      <c r="P45" s="193"/>
      <c r="Q45" s="193"/>
      <c r="R45" s="193"/>
      <c r="S45" s="193"/>
      <c r="T45" s="193"/>
      <c r="U45" s="193"/>
      <c r="V45" s="193"/>
      <c r="W45" s="193"/>
      <c r="X45" s="193"/>
      <c r="Y45" s="193"/>
      <c r="Z45" s="193"/>
    </row>
    <row r="46" spans="1:26" s="197" customFormat="1" ht="17.100000000000001" customHeight="1" thickBot="1">
      <c r="A46" s="313" t="s">
        <v>351</v>
      </c>
      <c r="B46" s="609">
        <v>40168</v>
      </c>
      <c r="C46" s="610"/>
      <c r="D46" s="379" t="s">
        <v>351</v>
      </c>
      <c r="E46" s="380">
        <v>40127</v>
      </c>
      <c r="F46" s="370"/>
      <c r="G46" s="371"/>
      <c r="H46" s="371"/>
      <c r="I46" s="371"/>
      <c r="J46" s="371"/>
      <c r="K46" s="372"/>
      <c r="L46" s="193"/>
      <c r="M46" s="193"/>
      <c r="N46" s="193"/>
      <c r="O46" s="193"/>
      <c r="P46" s="193"/>
      <c r="Q46" s="193"/>
      <c r="R46" s="193"/>
      <c r="S46" s="193"/>
      <c r="T46" s="193"/>
      <c r="U46" s="193"/>
      <c r="V46" s="193"/>
      <c r="W46" s="193"/>
      <c r="X46" s="193"/>
      <c r="Y46" s="193"/>
      <c r="Z46" s="193"/>
    </row>
    <row r="47" spans="1:26" s="197" customFormat="1" ht="17.100000000000001" customHeight="1">
      <c r="F47" s="373"/>
      <c r="G47" s="367" t="s">
        <v>402</v>
      </c>
      <c r="H47" s="359"/>
      <c r="I47" s="359"/>
      <c r="J47" s="359"/>
      <c r="K47" s="359"/>
      <c r="L47" s="193"/>
      <c r="M47" s="193"/>
      <c r="N47" s="193"/>
      <c r="O47" s="193"/>
      <c r="P47" s="193"/>
      <c r="Q47" s="193"/>
      <c r="R47" s="193"/>
      <c r="S47" s="193"/>
      <c r="T47" s="193"/>
      <c r="U47" s="193"/>
    </row>
    <row r="48" spans="1:26" s="197" customFormat="1" ht="17.100000000000001" customHeight="1">
      <c r="F48" s="359"/>
      <c r="G48" s="374" t="s">
        <v>403</v>
      </c>
      <c r="H48" s="359"/>
      <c r="I48" s="359"/>
      <c r="J48" s="359"/>
      <c r="K48" s="390" t="s">
        <v>404</v>
      </c>
    </row>
    <row r="49" spans="2:26" ht="17.100000000000001" customHeight="1">
      <c r="F49" s="358"/>
      <c r="G49" s="375"/>
      <c r="H49" s="358"/>
      <c r="I49" s="358"/>
      <c r="J49" s="358"/>
      <c r="K49" s="358"/>
      <c r="L49" s="184"/>
      <c r="M49" s="184"/>
      <c r="N49" s="184"/>
      <c r="O49" s="184"/>
      <c r="P49" s="184"/>
      <c r="Q49" s="184"/>
      <c r="R49" s="184"/>
      <c r="S49" s="184"/>
      <c r="T49" s="184"/>
      <c r="U49" s="184"/>
      <c r="V49" s="184"/>
      <c r="W49" s="184"/>
      <c r="X49" s="184"/>
      <c r="Y49" s="184"/>
      <c r="Z49" s="184"/>
    </row>
    <row r="50" spans="2:26">
      <c r="F50" s="358"/>
      <c r="G50" s="358"/>
      <c r="H50" s="358"/>
      <c r="I50" s="358"/>
      <c r="J50" s="358"/>
      <c r="K50" s="358"/>
      <c r="L50" s="184"/>
      <c r="M50" s="184"/>
      <c r="N50" s="184"/>
      <c r="O50" s="184"/>
      <c r="P50" s="184"/>
      <c r="Q50" s="184"/>
      <c r="R50" s="184"/>
      <c r="S50" s="184"/>
      <c r="T50" s="184"/>
      <c r="U50" s="184"/>
      <c r="V50" s="184"/>
      <c r="W50" s="184"/>
      <c r="X50" s="184"/>
      <c r="Y50" s="184"/>
      <c r="Z50" s="184"/>
    </row>
    <row r="51" spans="2:26">
      <c r="I51" s="183"/>
      <c r="J51" s="183"/>
      <c r="K51" s="183"/>
      <c r="L51" s="184"/>
      <c r="M51" s="184"/>
      <c r="N51" s="184"/>
      <c r="O51" s="184"/>
      <c r="P51" s="184"/>
      <c r="Q51" s="184"/>
      <c r="R51" s="184"/>
      <c r="S51" s="184"/>
      <c r="T51" s="184"/>
      <c r="U51" s="184"/>
      <c r="V51" s="184"/>
      <c r="W51" s="184"/>
      <c r="X51" s="184"/>
      <c r="Y51" s="184"/>
      <c r="Z51" s="184"/>
    </row>
    <row r="52" spans="2:26">
      <c r="B52" s="183"/>
      <c r="C52" s="183"/>
      <c r="I52" s="183"/>
      <c r="J52" s="183"/>
      <c r="K52" s="183"/>
      <c r="Q52" s="184"/>
      <c r="R52" s="184"/>
      <c r="S52" s="184"/>
      <c r="T52" s="184"/>
      <c r="U52" s="184"/>
      <c r="V52" s="184"/>
      <c r="W52" s="184"/>
      <c r="X52" s="184"/>
      <c r="Y52" s="184"/>
      <c r="Z52" s="184"/>
    </row>
    <row r="53" spans="2:26">
      <c r="I53" s="183"/>
      <c r="J53" s="183"/>
      <c r="K53" s="183"/>
      <c r="Q53" s="184"/>
      <c r="R53" s="184"/>
      <c r="S53" s="184"/>
      <c r="T53" s="184"/>
      <c r="U53" s="184"/>
      <c r="V53" s="184"/>
      <c r="W53" s="184"/>
      <c r="X53" s="184"/>
      <c r="Y53" s="184"/>
      <c r="Z53" s="184"/>
    </row>
  </sheetData>
  <mergeCells count="49">
    <mergeCell ref="A27:E27"/>
    <mergeCell ref="F27:K27"/>
    <mergeCell ref="B46:C46"/>
    <mergeCell ref="B45:C45"/>
    <mergeCell ref="A28:E32"/>
    <mergeCell ref="A33:E33"/>
    <mergeCell ref="A34:E38"/>
    <mergeCell ref="A39:E39"/>
    <mergeCell ref="A40:E44"/>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A13:C13"/>
    <mergeCell ref="D13:E13"/>
    <mergeCell ref="A14:C14"/>
    <mergeCell ref="D14:E14"/>
    <mergeCell ref="A15:C15"/>
    <mergeCell ref="D15:E15"/>
    <mergeCell ref="F12:K12"/>
    <mergeCell ref="A7:C7"/>
    <mergeCell ref="D7:E7"/>
    <mergeCell ref="A8:C8"/>
    <mergeCell ref="D8:E8"/>
    <mergeCell ref="A9:C9"/>
    <mergeCell ref="D9:E9"/>
    <mergeCell ref="A10:C10"/>
    <mergeCell ref="D10:E10"/>
    <mergeCell ref="A11:C11"/>
    <mergeCell ref="D11:E11"/>
    <mergeCell ref="D12:E12"/>
    <mergeCell ref="A1:K1"/>
    <mergeCell ref="A2:K2"/>
    <mergeCell ref="A5:C5"/>
    <mergeCell ref="A6:C6"/>
    <mergeCell ref="F6:K6"/>
    <mergeCell ref="J3:K3"/>
    <mergeCell ref="D6:E6"/>
  </mergeCells>
  <dataValidations count="3">
    <dataValidation type="list" allowBlank="1" showInputMessage="1" sqref="D6:E6" xr:uid="{00000000-0002-0000-0100-000000000000}">
      <formula1>$T$5:$T$11</formula1>
    </dataValidation>
    <dataValidation type="list" allowBlank="1" showErrorMessage="1" error="Choose from list!" sqref="D21" xr:uid="{00000000-0002-0000-0100-000001000000}">
      <formula1>$Q$22:$Q$24</formula1>
    </dataValidation>
    <dataValidation type="list" allowBlank="1" showInputMessage="1" errorTitle="Hold on!" error="Enter a valid motor type!" prompt="Motor Type  Select one from the list or input name" sqref="K4" xr:uid="{00000000-0002-0000-0100-000002000000}">
      <formula1>$Q$5:$Q$12</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79"/>
  <sheetViews>
    <sheetView zoomScale="75" zoomScaleNormal="75" workbookViewId="0">
      <selection activeCell="K4" sqref="K4"/>
    </sheetView>
  </sheetViews>
  <sheetFormatPr defaultColWidth="9.140625" defaultRowHeight="12.75"/>
  <cols>
    <col min="1" max="1" width="9.140625" style="320" customWidth="1"/>
    <col min="2" max="2" width="18.140625" style="320" customWidth="1"/>
    <col min="3" max="3" width="21.5703125" style="320" customWidth="1"/>
    <col min="4" max="4" width="21.28515625" style="320" bestFit="1" customWidth="1"/>
    <col min="5" max="5" width="6.85546875" style="320" bestFit="1" customWidth="1"/>
    <col min="6" max="6" width="29.85546875" style="320" customWidth="1"/>
    <col min="7" max="7" width="43.7109375" style="320" customWidth="1"/>
    <col min="8" max="8" width="17.140625" style="320" customWidth="1"/>
    <col min="9" max="9" width="7.85546875" style="320" customWidth="1"/>
    <col min="10" max="10" width="2.28515625" style="320" bestFit="1" customWidth="1"/>
    <col min="11" max="12" width="2.28515625" style="320" customWidth="1"/>
    <col min="13" max="13" width="2.5703125" style="320" bestFit="1" customWidth="1"/>
    <col min="14" max="14" width="2.28515625" style="320" bestFit="1" customWidth="1"/>
    <col min="15" max="16384" width="9.140625" style="320"/>
  </cols>
  <sheetData>
    <row r="1" spans="2:14" ht="12.75" customHeight="1">
      <c r="B1" s="315"/>
      <c r="C1" s="316"/>
      <c r="D1" s="316"/>
      <c r="E1" s="316"/>
      <c r="F1" s="316"/>
      <c r="G1" s="316"/>
      <c r="H1" s="317"/>
      <c r="I1" s="318"/>
      <c r="J1" s="319" t="s">
        <v>352</v>
      </c>
      <c r="K1" s="319" t="s">
        <v>353</v>
      </c>
      <c r="L1" s="319" t="s">
        <v>354</v>
      </c>
      <c r="M1" s="319" t="s">
        <v>353</v>
      </c>
      <c r="N1" s="319"/>
    </row>
    <row r="2" spans="2:14" ht="12.75" customHeight="1">
      <c r="B2" s="631" t="s">
        <v>355</v>
      </c>
      <c r="C2" s="632"/>
      <c r="D2" s="632"/>
      <c r="E2" s="632"/>
      <c r="F2" s="632"/>
      <c r="G2" s="632"/>
      <c r="H2" s="321"/>
      <c r="I2" s="322"/>
      <c r="J2" s="323" t="s">
        <v>356</v>
      </c>
      <c r="K2" s="323" t="s">
        <v>357</v>
      </c>
      <c r="L2" s="323" t="s">
        <v>358</v>
      </c>
      <c r="M2" s="323" t="s">
        <v>359</v>
      </c>
      <c r="N2" s="323" t="s">
        <v>360</v>
      </c>
    </row>
    <row r="3" spans="2:14" ht="12.75" customHeight="1">
      <c r="B3" s="631"/>
      <c r="C3" s="632"/>
      <c r="D3" s="632"/>
      <c r="E3" s="632"/>
      <c r="F3" s="632"/>
      <c r="G3" s="632"/>
      <c r="H3" s="321"/>
      <c r="I3" s="322"/>
      <c r="J3" s="323" t="s">
        <v>361</v>
      </c>
      <c r="K3" s="323"/>
      <c r="L3" s="323" t="s">
        <v>362</v>
      </c>
      <c r="M3" s="323" t="s">
        <v>352</v>
      </c>
      <c r="N3" s="323"/>
    </row>
    <row r="4" spans="2:14" ht="12.75" customHeight="1">
      <c r="B4" s="631"/>
      <c r="C4" s="632"/>
      <c r="D4" s="632"/>
      <c r="E4" s="632"/>
      <c r="F4" s="632"/>
      <c r="G4" s="632"/>
      <c r="H4" s="321"/>
      <c r="I4" s="322"/>
      <c r="J4" s="323" t="s">
        <v>363</v>
      </c>
      <c r="K4" s="323"/>
      <c r="L4" s="323" t="s">
        <v>358</v>
      </c>
      <c r="M4" s="323" t="s">
        <v>356</v>
      </c>
      <c r="N4" s="323"/>
    </row>
    <row r="5" spans="2:14" ht="12.75" customHeight="1">
      <c r="B5" s="324"/>
      <c r="C5" s="325"/>
      <c r="D5" s="325"/>
      <c r="E5" s="325"/>
      <c r="F5" s="325"/>
      <c r="G5" s="325"/>
      <c r="H5" s="321"/>
      <c r="I5" s="322"/>
      <c r="J5" s="323"/>
      <c r="K5" s="323" t="s">
        <v>364</v>
      </c>
      <c r="L5" s="323" t="s">
        <v>353</v>
      </c>
      <c r="M5" s="323"/>
      <c r="N5" s="323" t="s">
        <v>358</v>
      </c>
    </row>
    <row r="6" spans="2:14" ht="12" customHeight="1">
      <c r="B6" s="326"/>
      <c r="C6" s="327"/>
      <c r="D6" s="327"/>
      <c r="F6" s="327"/>
      <c r="H6" s="328"/>
      <c r="I6" s="322"/>
      <c r="J6" s="323" t="s">
        <v>357</v>
      </c>
      <c r="K6" s="323" t="s">
        <v>365</v>
      </c>
      <c r="L6" s="323"/>
      <c r="M6" s="323" t="s">
        <v>353</v>
      </c>
      <c r="N6" s="323" t="s">
        <v>366</v>
      </c>
    </row>
    <row r="7" spans="2:14" ht="12.75" customHeight="1">
      <c r="B7" s="326"/>
      <c r="D7" s="329"/>
      <c r="H7" s="328"/>
      <c r="I7" s="322"/>
      <c r="J7" s="323" t="s">
        <v>184</v>
      </c>
      <c r="K7" s="323" t="s">
        <v>361</v>
      </c>
      <c r="L7" s="323" t="s">
        <v>361</v>
      </c>
      <c r="M7" s="323" t="s">
        <v>356</v>
      </c>
      <c r="N7" s="323" t="s">
        <v>367</v>
      </c>
    </row>
    <row r="8" spans="2:14" ht="12.75" customHeight="1">
      <c r="B8" s="326"/>
      <c r="G8" s="329"/>
      <c r="H8" s="330"/>
      <c r="I8" s="323" t="s">
        <v>367</v>
      </c>
      <c r="J8" s="323" t="s">
        <v>353</v>
      </c>
      <c r="K8" s="323" t="s">
        <v>368</v>
      </c>
      <c r="L8" s="323" t="s">
        <v>356</v>
      </c>
      <c r="M8" s="323" t="s">
        <v>367</v>
      </c>
      <c r="N8" s="323" t="s">
        <v>365</v>
      </c>
    </row>
    <row r="9" spans="2:14">
      <c r="B9" s="323" t="s">
        <v>369</v>
      </c>
      <c r="C9" s="330" t="s">
        <v>370</v>
      </c>
      <c r="D9" s="330" t="s">
        <v>371</v>
      </c>
      <c r="E9" s="330" t="s">
        <v>372</v>
      </c>
      <c r="F9" s="323" t="s">
        <v>373</v>
      </c>
      <c r="G9" s="323" t="s">
        <v>374</v>
      </c>
      <c r="H9" s="323" t="s">
        <v>375</v>
      </c>
      <c r="I9" s="323" t="s">
        <v>363</v>
      </c>
      <c r="J9" s="323" t="s">
        <v>184</v>
      </c>
      <c r="K9" s="323" t="s">
        <v>356</v>
      </c>
      <c r="L9" s="323" t="s">
        <v>368</v>
      </c>
      <c r="M9" s="323" t="s">
        <v>353</v>
      </c>
      <c r="N9" s="323" t="s">
        <v>354</v>
      </c>
    </row>
    <row r="10" spans="2:14" ht="15" customHeight="1">
      <c r="B10" s="331"/>
      <c r="C10" s="332"/>
      <c r="D10" s="332"/>
      <c r="E10" s="332"/>
      <c r="F10" s="333"/>
      <c r="G10" s="334"/>
      <c r="H10" s="334"/>
      <c r="I10" s="335"/>
      <c r="J10" s="336"/>
      <c r="K10" s="336"/>
      <c r="L10" s="336"/>
      <c r="M10" s="336"/>
      <c r="N10" s="337"/>
    </row>
    <row r="11" spans="2:14" ht="15" customHeight="1">
      <c r="B11" s="331"/>
      <c r="C11" s="333"/>
      <c r="D11" s="333"/>
      <c r="E11" s="333"/>
      <c r="F11" s="333"/>
      <c r="G11" s="333"/>
      <c r="H11" s="333"/>
      <c r="I11" s="338"/>
      <c r="J11" s="336"/>
      <c r="K11" s="336"/>
      <c r="L11" s="336"/>
      <c r="M11" s="336"/>
      <c r="N11" s="337"/>
    </row>
    <row r="12" spans="2:14" ht="15" customHeight="1">
      <c r="B12" s="331"/>
      <c r="C12" s="333"/>
      <c r="D12" s="333"/>
      <c r="E12" s="333"/>
      <c r="F12" s="333"/>
      <c r="G12" s="333"/>
      <c r="H12" s="333"/>
      <c r="I12" s="338"/>
      <c r="J12" s="339"/>
      <c r="K12" s="336"/>
      <c r="L12" s="336"/>
      <c r="M12" s="336"/>
      <c r="N12" s="337"/>
    </row>
    <row r="13" spans="2:14" ht="15" customHeight="1">
      <c r="B13" s="331"/>
      <c r="C13" s="333"/>
      <c r="D13" s="333"/>
      <c r="E13" s="333"/>
      <c r="F13" s="333"/>
      <c r="G13" s="333"/>
      <c r="H13" s="333"/>
      <c r="I13" s="338"/>
      <c r="J13" s="336"/>
      <c r="K13" s="336"/>
      <c r="L13" s="336"/>
      <c r="M13" s="336"/>
      <c r="N13" s="337"/>
    </row>
    <row r="14" spans="2:14" ht="15" customHeight="1">
      <c r="B14" s="331"/>
      <c r="C14" s="333"/>
      <c r="D14" s="333"/>
      <c r="E14" s="333"/>
      <c r="F14" s="333"/>
      <c r="G14" s="333"/>
      <c r="H14" s="333"/>
      <c r="I14" s="338"/>
      <c r="J14" s="336"/>
      <c r="K14" s="336"/>
      <c r="L14" s="336"/>
      <c r="M14" s="336"/>
      <c r="N14" s="337"/>
    </row>
    <row r="15" spans="2:14" ht="15" customHeight="1">
      <c r="B15" s="331"/>
      <c r="C15" s="333"/>
      <c r="D15" s="333"/>
      <c r="E15" s="333"/>
      <c r="F15" s="333"/>
      <c r="G15" s="333"/>
      <c r="H15" s="333"/>
      <c r="I15" s="338"/>
      <c r="J15" s="336"/>
      <c r="K15" s="336"/>
      <c r="L15" s="336"/>
      <c r="M15" s="336"/>
      <c r="N15" s="337"/>
    </row>
    <row r="16" spans="2:14" ht="15" customHeight="1">
      <c r="B16" s="331"/>
      <c r="C16" s="333"/>
      <c r="D16" s="333"/>
      <c r="E16" s="333"/>
      <c r="F16" s="333"/>
      <c r="G16" s="333"/>
      <c r="H16" s="333"/>
      <c r="I16" s="338"/>
      <c r="J16" s="336"/>
      <c r="K16" s="336"/>
      <c r="L16" s="336"/>
      <c r="M16" s="336"/>
      <c r="N16" s="337"/>
    </row>
    <row r="17" spans="2:14" ht="15" customHeight="1">
      <c r="B17" s="331"/>
      <c r="C17" s="333"/>
      <c r="D17" s="333"/>
      <c r="E17" s="333"/>
      <c r="F17" s="333"/>
      <c r="G17" s="333"/>
      <c r="H17" s="333"/>
      <c r="I17" s="338"/>
      <c r="J17" s="336"/>
      <c r="K17" s="336"/>
      <c r="L17" s="336"/>
      <c r="M17" s="336"/>
      <c r="N17" s="337"/>
    </row>
    <row r="18" spans="2:14" ht="15" customHeight="1">
      <c r="B18" s="331"/>
      <c r="C18" s="333"/>
      <c r="D18" s="333"/>
      <c r="E18" s="333"/>
      <c r="F18" s="333"/>
      <c r="G18" s="333"/>
      <c r="H18" s="333"/>
      <c r="I18" s="338"/>
      <c r="J18" s="336"/>
      <c r="K18" s="336"/>
      <c r="L18" s="336"/>
      <c r="M18" s="336"/>
      <c r="N18" s="337"/>
    </row>
    <row r="19" spans="2:14" ht="15" customHeight="1">
      <c r="B19" s="331"/>
      <c r="C19" s="333"/>
      <c r="D19" s="333"/>
      <c r="E19" s="333"/>
      <c r="F19" s="333"/>
      <c r="G19" s="333"/>
      <c r="H19" s="333"/>
      <c r="I19" s="338"/>
      <c r="J19" s="336"/>
      <c r="K19" s="336"/>
      <c r="L19" s="336"/>
      <c r="M19" s="336"/>
      <c r="N19" s="337"/>
    </row>
    <row r="20" spans="2:14" ht="15" customHeight="1">
      <c r="B20" s="331"/>
      <c r="C20" s="333"/>
      <c r="D20" s="333"/>
      <c r="E20" s="333"/>
      <c r="F20" s="333"/>
      <c r="G20" s="333"/>
      <c r="H20" s="333"/>
      <c r="I20" s="338"/>
      <c r="J20" s="336"/>
      <c r="K20" s="336"/>
      <c r="L20" s="336"/>
      <c r="M20" s="336"/>
      <c r="N20" s="337"/>
    </row>
    <row r="21" spans="2:14" ht="15" customHeight="1">
      <c r="B21" s="331"/>
      <c r="C21" s="333"/>
      <c r="D21" s="333"/>
      <c r="E21" s="333"/>
      <c r="F21" s="333"/>
      <c r="G21" s="333"/>
      <c r="H21" s="333"/>
      <c r="I21" s="338"/>
      <c r="J21" s="336"/>
      <c r="K21" s="336"/>
      <c r="L21" s="336"/>
      <c r="M21" s="336"/>
      <c r="N21" s="337"/>
    </row>
    <row r="22" spans="2:14" ht="15" customHeight="1">
      <c r="B22" s="331"/>
      <c r="C22" s="333"/>
      <c r="D22" s="333"/>
      <c r="E22" s="333"/>
      <c r="F22" s="333"/>
      <c r="G22" s="333"/>
      <c r="H22" s="333"/>
      <c r="I22" s="338"/>
      <c r="J22" s="336"/>
      <c r="K22" s="336"/>
      <c r="L22" s="336"/>
      <c r="M22" s="336"/>
      <c r="N22" s="337"/>
    </row>
    <row r="23" spans="2:14" ht="15" customHeight="1">
      <c r="B23" s="331"/>
      <c r="C23" s="333"/>
      <c r="D23" s="333"/>
      <c r="E23" s="333"/>
      <c r="F23" s="333"/>
      <c r="G23" s="333"/>
      <c r="H23" s="333"/>
      <c r="I23" s="338"/>
      <c r="J23" s="336"/>
      <c r="K23" s="336"/>
      <c r="L23" s="336"/>
      <c r="M23" s="336"/>
      <c r="N23" s="337"/>
    </row>
    <row r="24" spans="2:14" ht="15" customHeight="1">
      <c r="B24" s="331"/>
      <c r="C24" s="333"/>
      <c r="D24" s="333"/>
      <c r="E24" s="333"/>
      <c r="F24" s="333"/>
      <c r="G24" s="333"/>
      <c r="H24" s="333"/>
      <c r="I24" s="338"/>
      <c r="J24" s="336"/>
      <c r="K24" s="336"/>
      <c r="L24" s="336"/>
      <c r="M24" s="336"/>
      <c r="N24" s="337"/>
    </row>
    <row r="25" spans="2:14" ht="15" customHeight="1">
      <c r="B25" s="331"/>
      <c r="C25" s="333"/>
      <c r="D25" s="333"/>
      <c r="E25" s="333"/>
      <c r="F25" s="333"/>
      <c r="G25" s="333"/>
      <c r="H25" s="333"/>
      <c r="I25" s="338"/>
      <c r="J25" s="336"/>
      <c r="K25" s="336"/>
      <c r="L25" s="336"/>
      <c r="M25" s="336"/>
      <c r="N25" s="337"/>
    </row>
    <row r="26" spans="2:14" ht="15" customHeight="1">
      <c r="B26" s="331"/>
      <c r="C26" s="333"/>
      <c r="D26" s="333"/>
      <c r="E26" s="333"/>
      <c r="F26" s="333"/>
      <c r="G26" s="333"/>
      <c r="H26" s="333"/>
      <c r="I26" s="338"/>
      <c r="J26" s="336"/>
      <c r="K26" s="336"/>
      <c r="L26" s="336"/>
      <c r="M26" s="336"/>
      <c r="N26" s="337"/>
    </row>
    <row r="27" spans="2:14" ht="15" customHeight="1">
      <c r="B27" s="331"/>
      <c r="C27" s="333"/>
      <c r="D27" s="333"/>
      <c r="E27" s="333"/>
      <c r="F27" s="333"/>
      <c r="G27" s="333"/>
      <c r="H27" s="333"/>
      <c r="I27" s="338"/>
      <c r="J27" s="336"/>
      <c r="K27" s="336"/>
      <c r="L27" s="336"/>
      <c r="M27" s="336"/>
      <c r="N27" s="337"/>
    </row>
    <row r="28" spans="2:14" ht="15" customHeight="1">
      <c r="B28" s="331"/>
      <c r="C28" s="333"/>
      <c r="D28" s="333"/>
      <c r="E28" s="333"/>
      <c r="F28" s="333"/>
      <c r="G28" s="333"/>
      <c r="H28" s="333"/>
      <c r="I28" s="338"/>
      <c r="J28" s="336"/>
      <c r="K28" s="336"/>
      <c r="L28" s="336"/>
      <c r="M28" s="336"/>
      <c r="N28" s="337"/>
    </row>
    <row r="29" spans="2:14" ht="15" customHeight="1">
      <c r="B29" s="331"/>
      <c r="C29" s="333"/>
      <c r="D29" s="333"/>
      <c r="E29" s="333"/>
      <c r="F29" s="333"/>
      <c r="G29" s="333"/>
      <c r="H29" s="333"/>
      <c r="I29" s="338"/>
      <c r="J29" s="336"/>
      <c r="K29" s="336"/>
      <c r="L29" s="336"/>
      <c r="M29" s="336"/>
      <c r="N29" s="337"/>
    </row>
    <row r="30" spans="2:14" ht="15" customHeight="1">
      <c r="B30" s="331"/>
      <c r="C30" s="333"/>
      <c r="D30" s="333"/>
      <c r="E30" s="333"/>
      <c r="F30" s="333"/>
      <c r="G30" s="333"/>
      <c r="H30" s="333"/>
      <c r="I30" s="338"/>
      <c r="J30" s="336"/>
      <c r="K30" s="336"/>
      <c r="L30" s="336"/>
      <c r="M30" s="336"/>
      <c r="N30" s="337"/>
    </row>
    <row r="31" spans="2:14" ht="15" customHeight="1">
      <c r="B31" s="331"/>
      <c r="C31" s="333"/>
      <c r="D31" s="333"/>
      <c r="E31" s="333"/>
      <c r="F31" s="333"/>
      <c r="G31" s="333"/>
      <c r="H31" s="333"/>
      <c r="I31" s="338"/>
      <c r="J31" s="336"/>
      <c r="K31" s="336"/>
      <c r="L31" s="336"/>
      <c r="M31" s="336"/>
      <c r="N31" s="337"/>
    </row>
    <row r="32" spans="2:14" ht="15" customHeight="1">
      <c r="B32" s="331"/>
      <c r="C32" s="333"/>
      <c r="D32" s="333"/>
      <c r="E32" s="333"/>
      <c r="F32" s="333"/>
      <c r="G32" s="333"/>
      <c r="H32" s="333"/>
      <c r="I32" s="338"/>
      <c r="J32" s="336"/>
      <c r="K32" s="336"/>
      <c r="L32" s="336"/>
      <c r="M32" s="336"/>
      <c r="N32" s="337"/>
    </row>
    <row r="33" spans="2:14" ht="15" customHeight="1">
      <c r="B33" s="331"/>
      <c r="C33" s="333"/>
      <c r="D33" s="333"/>
      <c r="E33" s="333"/>
      <c r="F33" s="333"/>
      <c r="G33" s="333"/>
      <c r="H33" s="333"/>
      <c r="I33" s="338"/>
      <c r="J33" s="336"/>
      <c r="K33" s="336"/>
      <c r="L33" s="336"/>
      <c r="M33" s="336"/>
      <c r="N33" s="337"/>
    </row>
    <row r="34" spans="2:14" ht="15" customHeight="1">
      <c r="B34" s="331"/>
      <c r="C34" s="333"/>
      <c r="D34" s="333"/>
      <c r="E34" s="333"/>
      <c r="F34" s="333"/>
      <c r="G34" s="333"/>
      <c r="H34" s="333"/>
      <c r="I34" s="338"/>
      <c r="J34" s="336"/>
      <c r="K34" s="336"/>
      <c r="L34" s="336"/>
      <c r="M34" s="336"/>
      <c r="N34" s="337"/>
    </row>
    <row r="35" spans="2:14" ht="15" customHeight="1">
      <c r="B35" s="331"/>
      <c r="C35" s="333"/>
      <c r="D35" s="333"/>
      <c r="E35" s="333"/>
      <c r="F35" s="333"/>
      <c r="G35" s="333"/>
      <c r="H35" s="333"/>
      <c r="I35" s="338"/>
      <c r="J35" s="336"/>
      <c r="K35" s="336"/>
      <c r="L35" s="336"/>
      <c r="M35" s="336"/>
      <c r="N35" s="337"/>
    </row>
    <row r="36" spans="2:14" ht="15" customHeight="1">
      <c r="B36" s="331"/>
      <c r="C36" s="333"/>
      <c r="D36" s="333"/>
      <c r="E36" s="333"/>
      <c r="F36" s="333"/>
      <c r="G36" s="333"/>
      <c r="H36" s="333"/>
      <c r="I36" s="338"/>
      <c r="J36" s="336"/>
      <c r="K36" s="336"/>
      <c r="L36" s="336"/>
      <c r="M36" s="336"/>
      <c r="N36" s="337"/>
    </row>
    <row r="37" spans="2:14" ht="15" customHeight="1">
      <c r="B37" s="331"/>
      <c r="C37" s="333"/>
      <c r="D37" s="333"/>
      <c r="E37" s="333"/>
      <c r="F37" s="333"/>
      <c r="G37" s="333"/>
      <c r="H37" s="333"/>
      <c r="I37" s="338"/>
      <c r="J37" s="336"/>
      <c r="K37" s="336"/>
      <c r="L37" s="336"/>
      <c r="M37" s="336"/>
      <c r="N37" s="337"/>
    </row>
    <row r="38" spans="2:14" ht="15" customHeight="1">
      <c r="B38" s="331"/>
      <c r="C38" s="333"/>
      <c r="D38" s="333"/>
      <c r="E38" s="333"/>
      <c r="F38" s="333"/>
      <c r="G38" s="333"/>
      <c r="H38" s="333"/>
      <c r="I38" s="338"/>
      <c r="J38" s="336"/>
      <c r="K38" s="336"/>
      <c r="L38" s="336"/>
      <c r="M38" s="336"/>
      <c r="N38" s="337"/>
    </row>
    <row r="39" spans="2:14" ht="15" customHeight="1">
      <c r="B39" s="331"/>
      <c r="C39" s="333"/>
      <c r="D39" s="333"/>
      <c r="E39" s="333"/>
      <c r="F39" s="333"/>
      <c r="G39" s="333"/>
      <c r="H39" s="333"/>
      <c r="I39" s="338"/>
      <c r="J39" s="336"/>
      <c r="K39" s="336"/>
      <c r="L39" s="336"/>
      <c r="M39" s="336"/>
      <c r="N39" s="337"/>
    </row>
    <row r="40" spans="2:14" ht="15" customHeight="1">
      <c r="B40" s="331"/>
      <c r="C40" s="333"/>
      <c r="D40" s="333"/>
      <c r="E40" s="333"/>
      <c r="F40" s="333"/>
      <c r="G40" s="333"/>
      <c r="H40" s="333"/>
      <c r="I40" s="338"/>
      <c r="J40" s="336"/>
      <c r="K40" s="336"/>
      <c r="L40" s="336"/>
      <c r="M40" s="336"/>
      <c r="N40" s="337"/>
    </row>
    <row r="41" spans="2:14" ht="15" customHeight="1">
      <c r="B41" s="331"/>
      <c r="C41" s="333"/>
      <c r="D41" s="333"/>
      <c r="E41" s="333"/>
      <c r="F41" s="333"/>
      <c r="G41" s="333"/>
      <c r="H41" s="333"/>
      <c r="I41" s="338"/>
      <c r="J41" s="336"/>
      <c r="K41" s="336"/>
      <c r="L41" s="336"/>
      <c r="M41" s="336"/>
      <c r="N41" s="337"/>
    </row>
    <row r="42" spans="2:14" ht="15" customHeight="1">
      <c r="B42" s="331"/>
      <c r="C42" s="333"/>
      <c r="D42" s="333"/>
      <c r="E42" s="333"/>
      <c r="F42" s="333"/>
      <c r="G42" s="333"/>
      <c r="H42" s="333"/>
      <c r="I42" s="338"/>
      <c r="J42" s="336"/>
      <c r="K42" s="336"/>
      <c r="L42" s="336"/>
      <c r="M42" s="336"/>
      <c r="N42" s="337"/>
    </row>
    <row r="43" spans="2:14" ht="15" customHeight="1">
      <c r="B43" s="331"/>
      <c r="C43" s="333"/>
      <c r="D43" s="333"/>
      <c r="E43" s="333"/>
      <c r="F43" s="333"/>
      <c r="G43" s="333"/>
      <c r="H43" s="333"/>
      <c r="I43" s="338"/>
      <c r="J43" s="336"/>
      <c r="K43" s="336"/>
      <c r="L43" s="336"/>
      <c r="M43" s="336"/>
      <c r="N43" s="337"/>
    </row>
    <row r="44" spans="2:14" ht="15" customHeight="1">
      <c r="B44" s="331"/>
      <c r="C44" s="333"/>
      <c r="D44" s="333"/>
      <c r="E44" s="333"/>
      <c r="F44" s="333"/>
      <c r="G44" s="333"/>
      <c r="H44" s="333"/>
      <c r="I44" s="338"/>
      <c r="J44" s="336"/>
      <c r="K44" s="336"/>
      <c r="L44" s="336"/>
      <c r="M44" s="336"/>
      <c r="N44" s="337"/>
    </row>
    <row r="45" spans="2:14" ht="15" customHeight="1">
      <c r="B45" s="331"/>
      <c r="C45" s="333"/>
      <c r="D45" s="333"/>
      <c r="E45" s="333"/>
      <c r="F45" s="333"/>
      <c r="G45" s="333"/>
      <c r="H45" s="333"/>
      <c r="I45" s="338"/>
      <c r="J45" s="336"/>
      <c r="K45" s="336"/>
      <c r="L45" s="336"/>
      <c r="M45" s="336"/>
      <c r="N45" s="337"/>
    </row>
    <row r="46" spans="2:14" ht="15" customHeight="1">
      <c r="B46" s="331"/>
      <c r="C46" s="333"/>
      <c r="D46" s="333"/>
      <c r="E46" s="333"/>
      <c r="F46" s="333"/>
      <c r="G46" s="333"/>
      <c r="H46" s="333"/>
      <c r="I46" s="338"/>
      <c r="J46" s="336"/>
      <c r="K46" s="336"/>
      <c r="L46" s="336"/>
      <c r="M46" s="336"/>
      <c r="N46" s="337"/>
    </row>
    <row r="47" spans="2:14" ht="15" customHeight="1">
      <c r="B47" s="331"/>
      <c r="C47" s="333"/>
      <c r="D47" s="333"/>
      <c r="E47" s="333"/>
      <c r="F47" s="333"/>
      <c r="G47" s="333"/>
      <c r="H47" s="333"/>
      <c r="I47" s="338"/>
      <c r="J47" s="336"/>
      <c r="K47" s="336"/>
      <c r="L47" s="336"/>
      <c r="M47" s="336"/>
      <c r="N47" s="337"/>
    </row>
    <row r="48" spans="2:14" ht="15" customHeight="1">
      <c r="B48" s="331"/>
      <c r="C48" s="333"/>
      <c r="D48" s="333"/>
      <c r="E48" s="333"/>
      <c r="F48" s="333"/>
      <c r="G48" s="333"/>
      <c r="H48" s="333"/>
      <c r="I48" s="338"/>
      <c r="J48" s="336"/>
      <c r="K48" s="336"/>
      <c r="L48" s="336"/>
      <c r="M48" s="336"/>
      <c r="N48" s="337"/>
    </row>
    <row r="49" spans="2:14" ht="15" customHeight="1">
      <c r="B49" s="331"/>
      <c r="C49" s="333"/>
      <c r="D49" s="333"/>
      <c r="E49" s="333"/>
      <c r="F49" s="333"/>
      <c r="G49" s="333"/>
      <c r="H49" s="333"/>
      <c r="I49" s="338"/>
      <c r="J49" s="336"/>
      <c r="K49" s="336"/>
      <c r="L49" s="336"/>
      <c r="M49" s="336"/>
      <c r="N49" s="337"/>
    </row>
    <row r="50" spans="2:14" ht="15" customHeight="1">
      <c r="B50" s="331"/>
      <c r="C50" s="333"/>
      <c r="D50" s="333"/>
      <c r="E50" s="333"/>
      <c r="F50" s="333"/>
      <c r="G50" s="333"/>
      <c r="H50" s="333"/>
      <c r="I50" s="338"/>
      <c r="J50" s="336"/>
      <c r="K50" s="336"/>
      <c r="L50" s="336"/>
      <c r="M50" s="336"/>
      <c r="N50" s="337"/>
    </row>
    <row r="51" spans="2:14" ht="15" customHeight="1">
      <c r="B51" s="331"/>
      <c r="C51" s="333"/>
      <c r="D51" s="333"/>
      <c r="E51" s="333"/>
      <c r="F51" s="333"/>
      <c r="G51" s="333"/>
      <c r="H51" s="333"/>
      <c r="I51" s="338"/>
      <c r="J51" s="336"/>
      <c r="K51" s="336"/>
      <c r="L51" s="336"/>
      <c r="M51" s="336"/>
      <c r="N51" s="337"/>
    </row>
    <row r="52" spans="2:14" ht="15" customHeight="1" thickBot="1">
      <c r="B52" s="340"/>
      <c r="C52" s="341"/>
      <c r="D52" s="341"/>
      <c r="E52" s="341"/>
      <c r="F52" s="341"/>
      <c r="G52" s="341"/>
      <c r="H52" s="341"/>
      <c r="I52" s="342"/>
      <c r="J52" s="343"/>
      <c r="K52" s="343"/>
      <c r="L52" s="343"/>
      <c r="M52" s="343"/>
      <c r="N52" s="344"/>
    </row>
    <row r="53" spans="2:14" ht="20.25" customHeight="1" thickBot="1">
      <c r="B53" s="633" t="s">
        <v>376</v>
      </c>
      <c r="C53" s="633"/>
      <c r="D53" s="633"/>
      <c r="E53" s="633"/>
      <c r="F53" s="633"/>
      <c r="G53" s="633"/>
      <c r="H53" s="633"/>
      <c r="I53" s="633"/>
      <c r="J53" s="633"/>
      <c r="K53" s="633"/>
      <c r="L53" s="633"/>
      <c r="M53" s="633"/>
      <c r="N53" s="633"/>
    </row>
    <row r="54" spans="2:14" ht="15" customHeight="1" thickBot="1">
      <c r="B54" s="345" t="s">
        <v>377</v>
      </c>
      <c r="C54" s="634" t="s">
        <v>374</v>
      </c>
      <c r="D54" s="635"/>
      <c r="E54" s="635"/>
      <c r="F54" s="635"/>
      <c r="G54" s="635"/>
      <c r="H54" s="346"/>
      <c r="I54" s="634" t="s">
        <v>369</v>
      </c>
      <c r="J54" s="635"/>
      <c r="K54" s="636"/>
      <c r="L54" s="634" t="s">
        <v>378</v>
      </c>
      <c r="M54" s="635"/>
      <c r="N54" s="637"/>
    </row>
    <row r="55" spans="2:14" ht="15" customHeight="1">
      <c r="B55" s="347"/>
      <c r="C55" s="623"/>
      <c r="D55" s="624"/>
      <c r="E55" s="624"/>
      <c r="F55" s="624"/>
      <c r="G55" s="624"/>
      <c r="H55" s="348"/>
      <c r="I55" s="625"/>
      <c r="J55" s="626"/>
      <c r="K55" s="627"/>
      <c r="L55" s="628"/>
      <c r="M55" s="629"/>
      <c r="N55" s="630"/>
    </row>
    <row r="56" spans="2:14" ht="15" customHeight="1">
      <c r="B56" s="349"/>
      <c r="C56" s="638"/>
      <c r="D56" s="639"/>
      <c r="E56" s="639"/>
      <c r="F56" s="639"/>
      <c r="G56" s="639"/>
      <c r="H56" s="350"/>
      <c r="I56" s="640"/>
      <c r="J56" s="641"/>
      <c r="K56" s="642"/>
      <c r="L56" s="643"/>
      <c r="M56" s="644"/>
      <c r="N56" s="645"/>
    </row>
    <row r="57" spans="2:14" ht="15" customHeight="1">
      <c r="B57" s="349"/>
      <c r="C57" s="638"/>
      <c r="D57" s="639"/>
      <c r="E57" s="639"/>
      <c r="F57" s="639"/>
      <c r="G57" s="639"/>
      <c r="H57" s="350"/>
      <c r="I57" s="640"/>
      <c r="J57" s="641"/>
      <c r="K57" s="642"/>
      <c r="L57" s="643"/>
      <c r="M57" s="644"/>
      <c r="N57" s="645"/>
    </row>
    <row r="58" spans="2:14" ht="15" customHeight="1">
      <c r="B58" s="349"/>
      <c r="C58" s="638"/>
      <c r="D58" s="639"/>
      <c r="E58" s="639"/>
      <c r="F58" s="639"/>
      <c r="G58" s="639"/>
      <c r="H58" s="350"/>
      <c r="I58" s="640"/>
      <c r="J58" s="641"/>
      <c r="K58" s="642"/>
      <c r="L58" s="643"/>
      <c r="M58" s="644"/>
      <c r="N58" s="645"/>
    </row>
    <row r="59" spans="2:14" ht="15" customHeight="1">
      <c r="B59" s="349"/>
      <c r="C59" s="638"/>
      <c r="D59" s="639"/>
      <c r="E59" s="639"/>
      <c r="F59" s="639"/>
      <c r="G59" s="639"/>
      <c r="H59" s="350"/>
      <c r="I59" s="640"/>
      <c r="J59" s="641"/>
      <c r="K59" s="642"/>
      <c r="L59" s="643"/>
      <c r="M59" s="644"/>
      <c r="N59" s="645"/>
    </row>
    <row r="60" spans="2:14" ht="15" customHeight="1">
      <c r="B60" s="349"/>
      <c r="C60" s="638"/>
      <c r="D60" s="639"/>
      <c r="E60" s="639"/>
      <c r="F60" s="639"/>
      <c r="G60" s="639"/>
      <c r="H60" s="350"/>
      <c r="I60" s="640"/>
      <c r="J60" s="641"/>
      <c r="K60" s="642"/>
      <c r="L60" s="643"/>
      <c r="M60" s="644"/>
      <c r="N60" s="645"/>
    </row>
    <row r="61" spans="2:14" ht="15" customHeight="1">
      <c r="B61" s="349"/>
      <c r="C61" s="638"/>
      <c r="D61" s="639"/>
      <c r="E61" s="639"/>
      <c r="F61" s="639"/>
      <c r="G61" s="639"/>
      <c r="H61" s="350"/>
      <c r="I61" s="640"/>
      <c r="J61" s="641"/>
      <c r="K61" s="642"/>
      <c r="L61" s="643"/>
      <c r="M61" s="644"/>
      <c r="N61" s="645"/>
    </row>
    <row r="62" spans="2:14" ht="15" customHeight="1">
      <c r="B62" s="349"/>
      <c r="C62" s="638"/>
      <c r="D62" s="639"/>
      <c r="E62" s="639"/>
      <c r="F62" s="639"/>
      <c r="G62" s="639"/>
      <c r="H62" s="350"/>
      <c r="I62" s="640"/>
      <c r="J62" s="641"/>
      <c r="K62" s="642"/>
      <c r="L62" s="643"/>
      <c r="M62" s="644"/>
      <c r="N62" s="645"/>
    </row>
    <row r="63" spans="2:14" ht="15" customHeight="1">
      <c r="B63" s="349"/>
      <c r="C63" s="638"/>
      <c r="D63" s="639"/>
      <c r="E63" s="639"/>
      <c r="F63" s="639"/>
      <c r="G63" s="639"/>
      <c r="H63" s="350"/>
      <c r="I63" s="640"/>
      <c r="J63" s="641"/>
      <c r="K63" s="642"/>
      <c r="L63" s="643"/>
      <c r="M63" s="644"/>
      <c r="N63" s="645"/>
    </row>
    <row r="64" spans="2:14" ht="15" customHeight="1">
      <c r="B64" s="349"/>
      <c r="C64" s="638"/>
      <c r="D64" s="639"/>
      <c r="E64" s="639"/>
      <c r="F64" s="639"/>
      <c r="G64" s="639"/>
      <c r="H64" s="350"/>
      <c r="I64" s="640"/>
      <c r="J64" s="641"/>
      <c r="K64" s="642"/>
      <c r="L64" s="643"/>
      <c r="M64" s="644"/>
      <c r="N64" s="645"/>
    </row>
    <row r="65" spans="2:14" ht="15" customHeight="1">
      <c r="B65" s="349"/>
      <c r="C65" s="638"/>
      <c r="D65" s="639"/>
      <c r="E65" s="639"/>
      <c r="F65" s="639"/>
      <c r="G65" s="639"/>
      <c r="H65" s="350"/>
      <c r="I65" s="640"/>
      <c r="J65" s="641"/>
      <c r="K65" s="642"/>
      <c r="L65" s="643"/>
      <c r="M65" s="644"/>
      <c r="N65" s="645"/>
    </row>
    <row r="66" spans="2:14" ht="15" customHeight="1">
      <c r="B66" s="349"/>
      <c r="C66" s="638"/>
      <c r="D66" s="639"/>
      <c r="E66" s="639"/>
      <c r="F66" s="639"/>
      <c r="G66" s="639"/>
      <c r="H66" s="350"/>
      <c r="I66" s="640"/>
      <c r="J66" s="641"/>
      <c r="K66" s="642"/>
      <c r="L66" s="643"/>
      <c r="M66" s="644"/>
      <c r="N66" s="645"/>
    </row>
    <row r="67" spans="2:14" ht="15" customHeight="1">
      <c r="B67" s="349"/>
      <c r="C67" s="638"/>
      <c r="D67" s="639"/>
      <c r="E67" s="639"/>
      <c r="F67" s="639"/>
      <c r="G67" s="639"/>
      <c r="H67" s="350"/>
      <c r="I67" s="640"/>
      <c r="J67" s="641"/>
      <c r="K67" s="642"/>
      <c r="L67" s="643"/>
      <c r="M67" s="644"/>
      <c r="N67" s="645"/>
    </row>
    <row r="68" spans="2:14" ht="15" customHeight="1">
      <c r="B68" s="349"/>
      <c r="C68" s="638"/>
      <c r="D68" s="639"/>
      <c r="E68" s="639"/>
      <c r="F68" s="639"/>
      <c r="G68" s="639"/>
      <c r="H68" s="350"/>
      <c r="I68" s="640"/>
      <c r="J68" s="641"/>
      <c r="K68" s="642"/>
      <c r="L68" s="643"/>
      <c r="M68" s="644"/>
      <c r="N68" s="645"/>
    </row>
    <row r="69" spans="2:14" ht="15" customHeight="1">
      <c r="B69" s="349"/>
      <c r="C69" s="638"/>
      <c r="D69" s="639"/>
      <c r="E69" s="639"/>
      <c r="F69" s="639"/>
      <c r="G69" s="639"/>
      <c r="H69" s="350"/>
      <c r="I69" s="640"/>
      <c r="J69" s="641"/>
      <c r="K69" s="642"/>
      <c r="L69" s="643"/>
      <c r="M69" s="644"/>
      <c r="N69" s="645"/>
    </row>
    <row r="70" spans="2:14" ht="15" customHeight="1">
      <c r="B70" s="349"/>
      <c r="C70" s="638"/>
      <c r="D70" s="639"/>
      <c r="E70" s="639"/>
      <c r="F70" s="639"/>
      <c r="G70" s="639"/>
      <c r="H70" s="350"/>
      <c r="I70" s="640"/>
      <c r="J70" s="641"/>
      <c r="K70" s="642"/>
      <c r="L70" s="643"/>
      <c r="M70" s="644"/>
      <c r="N70" s="645"/>
    </row>
    <row r="71" spans="2:14" ht="15" customHeight="1">
      <c r="B71" s="349"/>
      <c r="C71" s="638"/>
      <c r="D71" s="639"/>
      <c r="E71" s="639"/>
      <c r="F71" s="639"/>
      <c r="G71" s="639"/>
      <c r="H71" s="350"/>
      <c r="I71" s="640"/>
      <c r="J71" s="641"/>
      <c r="K71" s="642"/>
      <c r="L71" s="643"/>
      <c r="M71" s="644"/>
      <c r="N71" s="645"/>
    </row>
    <row r="72" spans="2:14">
      <c r="B72" s="349"/>
      <c r="C72" s="638"/>
      <c r="D72" s="639"/>
      <c r="E72" s="639"/>
      <c r="F72" s="639"/>
      <c r="G72" s="639"/>
      <c r="H72" s="350"/>
      <c r="I72" s="640"/>
      <c r="J72" s="641"/>
      <c r="K72" s="642"/>
      <c r="L72" s="643"/>
      <c r="M72" s="644"/>
      <c r="N72" s="645"/>
    </row>
    <row r="73" spans="2:14">
      <c r="B73" s="349"/>
      <c r="C73" s="638"/>
      <c r="D73" s="639"/>
      <c r="E73" s="639"/>
      <c r="F73" s="639"/>
      <c r="G73" s="639"/>
      <c r="H73" s="350"/>
      <c r="I73" s="640"/>
      <c r="J73" s="641"/>
      <c r="K73" s="642"/>
      <c r="L73" s="643"/>
      <c r="M73" s="644"/>
      <c r="N73" s="645"/>
    </row>
    <row r="74" spans="2:14">
      <c r="B74" s="349"/>
      <c r="C74" s="638"/>
      <c r="D74" s="639"/>
      <c r="E74" s="639"/>
      <c r="F74" s="639"/>
      <c r="G74" s="639"/>
      <c r="H74" s="350"/>
      <c r="I74" s="640"/>
      <c r="J74" s="641"/>
      <c r="K74" s="642"/>
      <c r="L74" s="643"/>
      <c r="M74" s="644"/>
      <c r="N74" s="645"/>
    </row>
    <row r="75" spans="2:14">
      <c r="B75" s="349"/>
      <c r="C75" s="638"/>
      <c r="D75" s="639"/>
      <c r="E75" s="639"/>
      <c r="F75" s="639"/>
      <c r="G75" s="639"/>
      <c r="H75" s="350"/>
      <c r="I75" s="640"/>
      <c r="J75" s="641"/>
      <c r="K75" s="642"/>
      <c r="L75" s="643"/>
      <c r="M75" s="644"/>
      <c r="N75" s="645"/>
    </row>
    <row r="76" spans="2:14">
      <c r="B76" s="349"/>
      <c r="C76" s="638"/>
      <c r="D76" s="639"/>
      <c r="E76" s="639"/>
      <c r="F76" s="639"/>
      <c r="G76" s="639"/>
      <c r="H76" s="350"/>
      <c r="I76" s="640"/>
      <c r="J76" s="641"/>
      <c r="K76" s="642"/>
      <c r="L76" s="643"/>
      <c r="M76" s="644"/>
      <c r="N76" s="645"/>
    </row>
    <row r="77" spans="2:14">
      <c r="B77" s="349"/>
      <c r="C77" s="638"/>
      <c r="D77" s="639"/>
      <c r="E77" s="639"/>
      <c r="F77" s="639"/>
      <c r="G77" s="639"/>
      <c r="H77" s="350"/>
      <c r="I77" s="640"/>
      <c r="J77" s="641"/>
      <c r="K77" s="642"/>
      <c r="L77" s="643"/>
      <c r="M77" s="644"/>
      <c r="N77" s="645"/>
    </row>
    <row r="78" spans="2:14">
      <c r="B78" s="349"/>
      <c r="C78" s="638"/>
      <c r="D78" s="639"/>
      <c r="E78" s="639"/>
      <c r="F78" s="639"/>
      <c r="G78" s="639"/>
      <c r="H78" s="350"/>
      <c r="I78" s="640"/>
      <c r="J78" s="641"/>
      <c r="K78" s="642"/>
      <c r="L78" s="643"/>
      <c r="M78" s="644"/>
      <c r="N78" s="645"/>
    </row>
    <row r="79" spans="2:14" ht="13.5" thickBot="1">
      <c r="B79" s="351"/>
      <c r="C79" s="646"/>
      <c r="D79" s="647"/>
      <c r="E79" s="647"/>
      <c r="F79" s="647"/>
      <c r="G79" s="647"/>
      <c r="H79" s="352"/>
      <c r="I79" s="648"/>
      <c r="J79" s="649"/>
      <c r="K79" s="650"/>
      <c r="L79" s="651"/>
      <c r="M79" s="652"/>
      <c r="N79" s="653"/>
    </row>
  </sheetData>
  <mergeCells count="80">
    <mergeCell ref="C78:G78"/>
    <mergeCell ref="I78:K78"/>
    <mergeCell ref="L78:N78"/>
    <mergeCell ref="C79:G79"/>
    <mergeCell ref="I79:K79"/>
    <mergeCell ref="L79:N79"/>
    <mergeCell ref="C76:G76"/>
    <mergeCell ref="I76:K76"/>
    <mergeCell ref="L76:N76"/>
    <mergeCell ref="C77:G77"/>
    <mergeCell ref="I77:K77"/>
    <mergeCell ref="L77:N77"/>
    <mergeCell ref="C74:G74"/>
    <mergeCell ref="I74:K74"/>
    <mergeCell ref="L74:N74"/>
    <mergeCell ref="C75:G75"/>
    <mergeCell ref="I75:K75"/>
    <mergeCell ref="L75:N75"/>
    <mergeCell ref="C72:G72"/>
    <mergeCell ref="I72:K72"/>
    <mergeCell ref="L72:N72"/>
    <mergeCell ref="C73:G73"/>
    <mergeCell ref="I73:K73"/>
    <mergeCell ref="L73:N73"/>
    <mergeCell ref="C70:G70"/>
    <mergeCell ref="I70:K70"/>
    <mergeCell ref="L70:N70"/>
    <mergeCell ref="C71:G71"/>
    <mergeCell ref="I71:K71"/>
    <mergeCell ref="L71:N71"/>
    <mergeCell ref="C68:G68"/>
    <mergeCell ref="I68:K68"/>
    <mergeCell ref="L68:N68"/>
    <mergeCell ref="C69:G69"/>
    <mergeCell ref="I69:K69"/>
    <mergeCell ref="L69:N69"/>
    <mergeCell ref="C66:G66"/>
    <mergeCell ref="I66:K66"/>
    <mergeCell ref="L66:N66"/>
    <mergeCell ref="C67:G67"/>
    <mergeCell ref="I67:K67"/>
    <mergeCell ref="L67:N67"/>
    <mergeCell ref="C64:G64"/>
    <mergeCell ref="I64:K64"/>
    <mergeCell ref="L64:N64"/>
    <mergeCell ref="C65:G65"/>
    <mergeCell ref="I65:K65"/>
    <mergeCell ref="L65:N65"/>
    <mergeCell ref="C62:G62"/>
    <mergeCell ref="I62:K62"/>
    <mergeCell ref="L62:N62"/>
    <mergeCell ref="C63:G63"/>
    <mergeCell ref="I63:K63"/>
    <mergeCell ref="L63:N63"/>
    <mergeCell ref="C60:G60"/>
    <mergeCell ref="I60:K60"/>
    <mergeCell ref="L60:N60"/>
    <mergeCell ref="C61:G61"/>
    <mergeCell ref="I61:K61"/>
    <mergeCell ref="L61:N61"/>
    <mergeCell ref="C58:G58"/>
    <mergeCell ref="I58:K58"/>
    <mergeCell ref="L58:N58"/>
    <mergeCell ref="C59:G59"/>
    <mergeCell ref="I59:K59"/>
    <mergeCell ref="L59:N59"/>
    <mergeCell ref="C56:G56"/>
    <mergeCell ref="I56:K56"/>
    <mergeCell ref="L56:N56"/>
    <mergeCell ref="C57:G57"/>
    <mergeCell ref="I57:K57"/>
    <mergeCell ref="L57:N57"/>
    <mergeCell ref="C55:G55"/>
    <mergeCell ref="I55:K55"/>
    <mergeCell ref="L55:N55"/>
    <mergeCell ref="B2:G4"/>
    <mergeCell ref="B53:N53"/>
    <mergeCell ref="C54:G54"/>
    <mergeCell ref="I54:K54"/>
    <mergeCell ref="L54:N54"/>
  </mergeCells>
  <printOptions horizontalCentered="1"/>
  <pageMargins left="0" right="0" top="0.5" bottom="0.5" header="0.5" footer="0.5"/>
  <pageSetup scale="53" orientation="portrait" horizont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61"/>
  <sheetViews>
    <sheetView topLeftCell="A7" workbookViewId="0">
      <selection activeCell="L33" sqref="L33"/>
    </sheetView>
  </sheetViews>
  <sheetFormatPr defaultColWidth="9.140625" defaultRowHeight="12.75"/>
  <cols>
    <col min="1" max="1" width="19.7109375" style="383" customWidth="1"/>
    <col min="2" max="7" width="10.7109375" style="383" customWidth="1"/>
    <col min="8" max="16384" width="9.140625" style="383"/>
  </cols>
  <sheetData>
    <row r="1" spans="1:12" ht="21" customHeight="1">
      <c r="A1" s="399" t="s">
        <v>417</v>
      </c>
      <c r="B1" s="655" t="s">
        <v>456</v>
      </c>
      <c r="C1" s="655"/>
      <c r="D1" s="655"/>
      <c r="E1" s="655"/>
      <c r="F1" s="655"/>
      <c r="G1" s="655"/>
    </row>
    <row r="2" spans="1:12" ht="15" customHeight="1"/>
    <row r="3" spans="1:12" ht="20.25">
      <c r="A3" s="400" t="s">
        <v>418</v>
      </c>
    </row>
    <row r="4" spans="1:12" ht="12" customHeight="1">
      <c r="A4" s="401"/>
      <c r="B4" s="401"/>
      <c r="C4" s="401"/>
      <c r="D4" s="401" t="s">
        <v>470</v>
      </c>
      <c r="E4" s="401"/>
      <c r="F4" s="401"/>
      <c r="G4" s="401"/>
      <c r="H4" s="401"/>
      <c r="I4" s="401"/>
      <c r="J4" s="401"/>
      <c r="K4" s="401"/>
      <c r="L4" s="401"/>
    </row>
    <row r="5" spans="1:12" ht="15.6" customHeight="1">
      <c r="A5" s="402" t="s">
        <v>5</v>
      </c>
      <c r="B5" s="402" t="s">
        <v>419</v>
      </c>
      <c r="C5" s="402" t="s">
        <v>420</v>
      </c>
      <c r="D5" s="402" t="s">
        <v>421</v>
      </c>
      <c r="E5" s="402" t="s">
        <v>422</v>
      </c>
      <c r="F5" s="402" t="s">
        <v>423</v>
      </c>
      <c r="G5" s="402" t="s">
        <v>424</v>
      </c>
      <c r="H5" s="401"/>
      <c r="I5" s="401"/>
      <c r="J5" s="401"/>
      <c r="K5" s="401"/>
      <c r="L5" s="401"/>
    </row>
    <row r="6" spans="1:12" ht="15.6" customHeight="1">
      <c r="A6" s="403" t="s">
        <v>425</v>
      </c>
      <c r="B6" s="403" t="s">
        <v>165</v>
      </c>
      <c r="C6" s="403" t="s">
        <v>165</v>
      </c>
      <c r="D6" s="403" t="s">
        <v>426</v>
      </c>
      <c r="E6" s="403" t="s">
        <v>135</v>
      </c>
      <c r="F6" s="403" t="s">
        <v>427</v>
      </c>
      <c r="G6" s="403" t="s">
        <v>427</v>
      </c>
      <c r="H6" s="401"/>
      <c r="I6" s="401"/>
      <c r="J6" s="401"/>
      <c r="K6" s="401"/>
      <c r="L6" s="401"/>
    </row>
    <row r="7" spans="1:12" ht="15.95" customHeight="1">
      <c r="A7" s="404" t="s">
        <v>457</v>
      </c>
      <c r="B7" s="404" t="s">
        <v>471</v>
      </c>
      <c r="C7" s="404" t="s">
        <v>484</v>
      </c>
      <c r="D7" s="404" t="s">
        <v>497</v>
      </c>
      <c r="E7" s="404" t="s">
        <v>510</v>
      </c>
      <c r="F7" s="404" t="s">
        <v>523</v>
      </c>
      <c r="G7" s="404" t="s">
        <v>535</v>
      </c>
      <c r="H7" s="401"/>
      <c r="I7" s="401"/>
      <c r="J7" s="401"/>
      <c r="K7" s="401"/>
      <c r="L7" s="401"/>
    </row>
    <row r="8" spans="1:12" ht="15.95" customHeight="1">
      <c r="A8" s="404" t="s">
        <v>458</v>
      </c>
      <c r="B8" s="404" t="s">
        <v>472</v>
      </c>
      <c r="C8" s="404" t="s">
        <v>485</v>
      </c>
      <c r="D8" s="404" t="s">
        <v>498</v>
      </c>
      <c r="E8" s="404" t="s">
        <v>511</v>
      </c>
      <c r="F8" s="404" t="s">
        <v>524</v>
      </c>
      <c r="G8" s="404" t="s">
        <v>536</v>
      </c>
      <c r="H8" s="401"/>
      <c r="I8" s="401"/>
      <c r="J8" s="401"/>
      <c r="K8" s="401"/>
      <c r="L8" s="401"/>
    </row>
    <row r="9" spans="1:12" ht="15.95" customHeight="1">
      <c r="A9" s="404" t="s">
        <v>459</v>
      </c>
      <c r="B9" s="404" t="s">
        <v>473</v>
      </c>
      <c r="C9" s="404" t="s">
        <v>486</v>
      </c>
      <c r="D9" s="404" t="s">
        <v>499</v>
      </c>
      <c r="E9" s="404" t="s">
        <v>512</v>
      </c>
      <c r="F9" s="404" t="s">
        <v>525</v>
      </c>
      <c r="G9" s="404" t="s">
        <v>537</v>
      </c>
      <c r="H9" s="401"/>
      <c r="I9" s="401"/>
      <c r="J9" s="401"/>
      <c r="K9" s="401"/>
      <c r="L9" s="401"/>
    </row>
    <row r="10" spans="1:12" ht="15.95" customHeight="1">
      <c r="A10" s="404" t="s">
        <v>460</v>
      </c>
      <c r="B10" s="404" t="s">
        <v>474</v>
      </c>
      <c r="C10" s="404" t="s">
        <v>487</v>
      </c>
      <c r="D10" s="404" t="s">
        <v>500</v>
      </c>
      <c r="E10" s="404" t="s">
        <v>513</v>
      </c>
      <c r="F10" s="404" t="s">
        <v>526</v>
      </c>
      <c r="G10" s="404" t="s">
        <v>538</v>
      </c>
      <c r="H10" s="401"/>
      <c r="I10" s="401"/>
      <c r="J10" s="401"/>
      <c r="K10" s="401"/>
      <c r="L10" s="401"/>
    </row>
    <row r="11" spans="1:12" ht="15.95" customHeight="1">
      <c r="A11" s="404" t="s">
        <v>461</v>
      </c>
      <c r="B11" s="404" t="s">
        <v>475</v>
      </c>
      <c r="C11" s="404" t="s">
        <v>488</v>
      </c>
      <c r="D11" s="404" t="s">
        <v>501</v>
      </c>
      <c r="E11" s="404" t="s">
        <v>514</v>
      </c>
      <c r="F11" s="404" t="s">
        <v>527</v>
      </c>
      <c r="G11" s="404" t="s">
        <v>539</v>
      </c>
      <c r="H11" s="401"/>
      <c r="I11" s="401"/>
      <c r="J11" s="401"/>
      <c r="K11" s="401"/>
      <c r="L11" s="401"/>
    </row>
    <row r="12" spans="1:12" ht="15.95" customHeight="1">
      <c r="A12" s="404" t="s">
        <v>462</v>
      </c>
      <c r="B12" s="404" t="s">
        <v>476</v>
      </c>
      <c r="C12" s="404" t="s">
        <v>489</v>
      </c>
      <c r="D12" s="404" t="s">
        <v>502</v>
      </c>
      <c r="E12" s="404" t="s">
        <v>515</v>
      </c>
      <c r="F12" s="404" t="s">
        <v>528</v>
      </c>
      <c r="G12" s="404" t="s">
        <v>540</v>
      </c>
      <c r="H12" s="401"/>
      <c r="I12" s="401"/>
      <c r="J12" s="401"/>
      <c r="K12" s="401"/>
      <c r="L12" s="401"/>
    </row>
    <row r="13" spans="1:12" ht="15.95" customHeight="1">
      <c r="A13" s="404" t="s">
        <v>463</v>
      </c>
      <c r="B13" s="404" t="s">
        <v>477</v>
      </c>
      <c r="C13" s="404" t="s">
        <v>490</v>
      </c>
      <c r="D13" s="404" t="s">
        <v>503</v>
      </c>
      <c r="E13" s="404" t="s">
        <v>516</v>
      </c>
      <c r="F13" s="404" t="s">
        <v>529</v>
      </c>
      <c r="G13" s="404" t="s">
        <v>541</v>
      </c>
      <c r="H13" s="401"/>
      <c r="I13" s="401"/>
      <c r="J13" s="401"/>
      <c r="K13" s="401"/>
      <c r="L13" s="401"/>
    </row>
    <row r="14" spans="1:12" ht="15.95" customHeight="1">
      <c r="A14" s="404" t="s">
        <v>464</v>
      </c>
      <c r="B14" s="404" t="s">
        <v>478</v>
      </c>
      <c r="C14" s="404" t="s">
        <v>491</v>
      </c>
      <c r="D14" s="404" t="s">
        <v>504</v>
      </c>
      <c r="E14" s="404" t="s">
        <v>517</v>
      </c>
      <c r="F14" s="404" t="s">
        <v>530</v>
      </c>
      <c r="G14" s="404" t="s">
        <v>542</v>
      </c>
      <c r="H14" s="401"/>
      <c r="I14" s="401"/>
      <c r="J14" s="401"/>
      <c r="K14" s="401"/>
      <c r="L14" s="401"/>
    </row>
    <row r="15" spans="1:12" ht="15.95" customHeight="1">
      <c r="A15" s="404" t="s">
        <v>465</v>
      </c>
      <c r="B15" s="404" t="s">
        <v>479</v>
      </c>
      <c r="C15" s="404" t="s">
        <v>492</v>
      </c>
      <c r="D15" s="404" t="s">
        <v>505</v>
      </c>
      <c r="E15" s="404" t="s">
        <v>518</v>
      </c>
      <c r="F15" s="404" t="s">
        <v>531</v>
      </c>
      <c r="G15" s="404" t="s">
        <v>543</v>
      </c>
      <c r="H15" s="401"/>
      <c r="I15" s="401"/>
      <c r="J15" s="401"/>
      <c r="K15" s="401"/>
      <c r="L15" s="401"/>
    </row>
    <row r="16" spans="1:12" ht="15.95" customHeight="1">
      <c r="A16" s="404" t="s">
        <v>466</v>
      </c>
      <c r="B16" s="404" t="s">
        <v>480</v>
      </c>
      <c r="C16" s="404" t="s">
        <v>493</v>
      </c>
      <c r="D16" s="404" t="s">
        <v>506</v>
      </c>
      <c r="E16" s="404" t="s">
        <v>519</v>
      </c>
      <c r="F16" s="404" t="s">
        <v>532</v>
      </c>
      <c r="G16" s="404" t="s">
        <v>544</v>
      </c>
      <c r="H16" s="401"/>
      <c r="I16" s="401"/>
      <c r="J16" s="401"/>
      <c r="K16" s="401"/>
      <c r="L16" s="401"/>
    </row>
    <row r="17" spans="1:12" ht="15.95" customHeight="1">
      <c r="A17" s="404" t="s">
        <v>467</v>
      </c>
      <c r="B17" s="404" t="s">
        <v>481</v>
      </c>
      <c r="C17" s="404" t="s">
        <v>494</v>
      </c>
      <c r="D17" s="404" t="s">
        <v>507</v>
      </c>
      <c r="E17" s="404" t="s">
        <v>520</v>
      </c>
      <c r="F17" s="404" t="s">
        <v>533</v>
      </c>
      <c r="G17" s="404" t="s">
        <v>545</v>
      </c>
      <c r="H17" s="401"/>
      <c r="I17" s="401"/>
      <c r="J17" s="401"/>
      <c r="K17" s="401"/>
      <c r="L17" s="401"/>
    </row>
    <row r="18" spans="1:12" ht="15.95" customHeight="1">
      <c r="A18" s="404" t="s">
        <v>468</v>
      </c>
      <c r="B18" s="404" t="s">
        <v>482</v>
      </c>
      <c r="C18" s="404" t="s">
        <v>495</v>
      </c>
      <c r="D18" s="404" t="s">
        <v>508</v>
      </c>
      <c r="E18" s="404" t="s">
        <v>521</v>
      </c>
      <c r="F18" s="404" t="s">
        <v>488</v>
      </c>
      <c r="G18" s="404" t="s">
        <v>546</v>
      </c>
      <c r="H18" s="401"/>
      <c r="I18" s="401"/>
      <c r="J18" s="401"/>
      <c r="K18" s="401"/>
      <c r="L18" s="401"/>
    </row>
    <row r="19" spans="1:12" ht="15.95" customHeight="1">
      <c r="A19" s="404" t="s">
        <v>469</v>
      </c>
      <c r="B19" s="404" t="s">
        <v>483</v>
      </c>
      <c r="C19" s="404" t="s">
        <v>496</v>
      </c>
      <c r="D19" s="404" t="s">
        <v>509</v>
      </c>
      <c r="E19" s="404" t="s">
        <v>522</v>
      </c>
      <c r="F19" s="404" t="s">
        <v>534</v>
      </c>
      <c r="G19" s="404" t="s">
        <v>547</v>
      </c>
      <c r="H19" s="401"/>
      <c r="I19" s="401"/>
      <c r="J19" s="401"/>
      <c r="K19" s="401"/>
      <c r="L19" s="401"/>
    </row>
    <row r="20" spans="1:12" ht="15.75">
      <c r="A20" s="401"/>
      <c r="B20" s="401"/>
      <c r="C20" s="401"/>
      <c r="D20" s="401"/>
      <c r="E20" s="401"/>
      <c r="F20" s="401"/>
      <c r="G20" s="401"/>
      <c r="H20" s="401"/>
      <c r="I20" s="401"/>
      <c r="J20" s="401"/>
      <c r="K20" s="401"/>
      <c r="L20" s="401"/>
    </row>
    <row r="21" spans="1:12" ht="15.75">
      <c r="A21" s="401"/>
      <c r="B21" s="401"/>
      <c r="C21" s="401"/>
      <c r="D21" s="656" t="s">
        <v>556</v>
      </c>
      <c r="E21" s="657"/>
      <c r="F21" s="657"/>
      <c r="G21" s="658"/>
      <c r="H21" s="401"/>
      <c r="I21" s="401"/>
      <c r="J21" s="401"/>
      <c r="K21" s="401"/>
      <c r="L21" s="401"/>
    </row>
    <row r="22" spans="1:12" ht="17.25" customHeight="1">
      <c r="A22" s="401"/>
      <c r="B22" s="659" t="s">
        <v>428</v>
      </c>
      <c r="C22" s="659"/>
      <c r="D22" s="659" t="s">
        <v>429</v>
      </c>
      <c r="E22" s="659"/>
      <c r="F22" s="659" t="s">
        <v>430</v>
      </c>
      <c r="G22" s="659"/>
      <c r="H22" s="659" t="s">
        <v>599</v>
      </c>
      <c r="I22" s="659"/>
      <c r="J22" s="401"/>
      <c r="K22" s="401"/>
      <c r="L22" s="401"/>
    </row>
    <row r="23" spans="1:12" ht="15.75">
      <c r="A23" s="405" t="s">
        <v>431</v>
      </c>
      <c r="B23" s="654" t="s">
        <v>548</v>
      </c>
      <c r="C23" s="654"/>
      <c r="D23" s="654" t="s">
        <v>551</v>
      </c>
      <c r="E23" s="654"/>
      <c r="F23" s="654" t="s">
        <v>554</v>
      </c>
      <c r="G23" s="654"/>
      <c r="H23" s="654" t="s">
        <v>600</v>
      </c>
      <c r="I23" s="654"/>
      <c r="J23" s="401"/>
      <c r="K23" s="401"/>
      <c r="L23" s="401"/>
    </row>
    <row r="24" spans="1:12" ht="18" customHeight="1">
      <c r="A24" s="405" t="s">
        <v>432</v>
      </c>
      <c r="B24" s="654" t="s">
        <v>549</v>
      </c>
      <c r="C24" s="654"/>
      <c r="D24" s="654" t="s">
        <v>552</v>
      </c>
      <c r="E24" s="654"/>
      <c r="F24" s="654" t="s">
        <v>555</v>
      </c>
      <c r="G24" s="654"/>
      <c r="H24" s="654" t="s">
        <v>601</v>
      </c>
      <c r="I24" s="654"/>
      <c r="J24" s="401"/>
      <c r="K24" s="401"/>
      <c r="L24" s="401"/>
    </row>
    <row r="25" spans="1:12" ht="15.75">
      <c r="A25" s="405" t="s">
        <v>433</v>
      </c>
      <c r="B25" s="654" t="s">
        <v>550</v>
      </c>
      <c r="C25" s="654"/>
      <c r="D25" s="654" t="s">
        <v>553</v>
      </c>
      <c r="E25" s="654"/>
      <c r="F25" s="654" t="s">
        <v>552</v>
      </c>
      <c r="G25" s="654"/>
      <c r="H25" s="654" t="s">
        <v>602</v>
      </c>
      <c r="I25" s="654"/>
      <c r="J25" s="401"/>
      <c r="K25" s="401"/>
      <c r="L25" s="401"/>
    </row>
    <row r="26" spans="1:12" ht="15.75">
      <c r="A26" s="401"/>
      <c r="B26" s="401"/>
      <c r="C26" s="401"/>
      <c r="D26" s="401"/>
      <c r="E26" s="401"/>
      <c r="F26" s="401"/>
      <c r="G26" s="401"/>
      <c r="H26" s="401"/>
      <c r="I26" s="401"/>
      <c r="J26" s="401"/>
      <c r="K26" s="401"/>
      <c r="L26" s="401"/>
    </row>
    <row r="27" spans="1:12" ht="20.25">
      <c r="A27" s="400" t="s">
        <v>434</v>
      </c>
      <c r="B27" s="401"/>
      <c r="C27" s="401"/>
      <c r="D27" s="401"/>
      <c r="E27" s="401"/>
      <c r="F27" s="401"/>
      <c r="G27" s="401"/>
      <c r="H27" s="401"/>
      <c r="I27" s="401"/>
      <c r="J27" s="401"/>
      <c r="K27" s="401"/>
      <c r="L27" s="401"/>
    </row>
    <row r="28" spans="1:12" ht="15.75">
      <c r="A28" s="401"/>
      <c r="B28" s="401"/>
      <c r="C28" s="401"/>
      <c r="D28" s="401"/>
      <c r="E28" s="664" t="s">
        <v>435</v>
      </c>
      <c r="F28" s="657"/>
      <c r="G28" s="658"/>
      <c r="H28" s="401"/>
      <c r="I28" s="401"/>
      <c r="J28" s="401"/>
      <c r="K28" s="401"/>
      <c r="L28" s="401"/>
    </row>
    <row r="29" spans="1:12" ht="15.75">
      <c r="A29" s="401"/>
      <c r="B29" s="659" t="s">
        <v>436</v>
      </c>
      <c r="C29" s="659"/>
      <c r="D29" s="406" t="s">
        <v>437</v>
      </c>
      <c r="E29" s="406" t="s">
        <v>438</v>
      </c>
      <c r="F29" s="659" t="s">
        <v>439</v>
      </c>
      <c r="G29" s="659"/>
      <c r="H29" s="401"/>
      <c r="I29" s="401"/>
      <c r="J29" s="401"/>
      <c r="K29" s="401"/>
      <c r="L29" s="401"/>
    </row>
    <row r="30" spans="1:12" ht="15.75">
      <c r="A30" s="405" t="s">
        <v>440</v>
      </c>
      <c r="B30" s="654" t="s">
        <v>557</v>
      </c>
      <c r="C30" s="654"/>
      <c r="D30" s="404" t="s">
        <v>560</v>
      </c>
      <c r="E30" s="404" t="s">
        <v>441</v>
      </c>
      <c r="F30" s="654" t="s">
        <v>563</v>
      </c>
      <c r="G30" s="654"/>
      <c r="H30" s="401"/>
      <c r="I30" s="401"/>
      <c r="J30" s="401"/>
      <c r="K30" s="401"/>
      <c r="L30" s="401"/>
    </row>
    <row r="31" spans="1:12" ht="15.75">
      <c r="A31" s="405" t="s">
        <v>442</v>
      </c>
      <c r="B31" s="654" t="s">
        <v>558</v>
      </c>
      <c r="C31" s="654"/>
      <c r="D31" s="404" t="s">
        <v>561</v>
      </c>
      <c r="E31" s="404" t="s">
        <v>443</v>
      </c>
      <c r="F31" s="654" t="s">
        <v>564</v>
      </c>
      <c r="G31" s="654"/>
      <c r="H31" s="401"/>
      <c r="I31" s="401"/>
      <c r="J31" s="401"/>
      <c r="K31" s="401"/>
      <c r="L31" s="401"/>
    </row>
    <row r="32" spans="1:12" ht="15.75">
      <c r="A32" s="405" t="s">
        <v>444</v>
      </c>
      <c r="B32" s="654" t="s">
        <v>559</v>
      </c>
      <c r="C32" s="654"/>
      <c r="D32" s="404" t="s">
        <v>562</v>
      </c>
      <c r="E32" s="404" t="s">
        <v>445</v>
      </c>
      <c r="F32" s="654" t="s">
        <v>565</v>
      </c>
      <c r="G32" s="654"/>
      <c r="H32" s="401"/>
      <c r="I32" s="401"/>
      <c r="J32" s="401"/>
      <c r="K32" s="401"/>
      <c r="L32" s="401"/>
    </row>
    <row r="33" spans="1:12" ht="15.75">
      <c r="A33" s="401"/>
      <c r="B33" s="401"/>
      <c r="C33" s="401"/>
      <c r="D33" s="401"/>
      <c r="E33" s="401"/>
      <c r="F33" s="401"/>
      <c r="G33" s="401"/>
      <c r="H33" s="401"/>
      <c r="I33" s="401"/>
      <c r="J33" s="401"/>
      <c r="K33" s="401"/>
      <c r="L33" s="401"/>
    </row>
    <row r="34" spans="1:12" ht="15.75">
      <c r="A34" s="401"/>
      <c r="B34" s="401"/>
      <c r="C34" s="401"/>
      <c r="D34" s="401"/>
      <c r="E34" s="664" t="s">
        <v>446</v>
      </c>
      <c r="F34" s="657"/>
      <c r="G34" s="658"/>
      <c r="H34" s="401"/>
      <c r="I34" s="401"/>
      <c r="J34" s="401"/>
      <c r="K34" s="401"/>
      <c r="L34" s="401"/>
    </row>
    <row r="35" spans="1:12" ht="15.75">
      <c r="A35" s="401"/>
      <c r="B35" s="659" t="s">
        <v>447</v>
      </c>
      <c r="C35" s="659"/>
      <c r="D35" s="406" t="s">
        <v>438</v>
      </c>
      <c r="E35" s="406" t="s">
        <v>448</v>
      </c>
      <c r="F35" s="406" t="s">
        <v>100</v>
      </c>
      <c r="G35" s="406" t="s">
        <v>449</v>
      </c>
      <c r="H35" s="401"/>
      <c r="I35" s="401"/>
      <c r="J35" s="401"/>
      <c r="K35" s="401"/>
      <c r="L35" s="401"/>
    </row>
    <row r="36" spans="1:12" ht="15.75">
      <c r="A36" s="405" t="s">
        <v>440</v>
      </c>
      <c r="B36" s="660" t="s">
        <v>566</v>
      </c>
      <c r="C36" s="661"/>
      <c r="D36" s="407" t="s">
        <v>568</v>
      </c>
      <c r="E36" s="407" t="s">
        <v>450</v>
      </c>
      <c r="F36" s="408" t="s">
        <v>451</v>
      </c>
      <c r="G36" s="404" t="s">
        <v>571</v>
      </c>
      <c r="H36" s="401"/>
      <c r="I36" s="401"/>
      <c r="J36" s="401"/>
      <c r="K36" s="401"/>
      <c r="L36" s="401"/>
    </row>
    <row r="37" spans="1:12" ht="15.75">
      <c r="A37" s="405" t="s">
        <v>442</v>
      </c>
      <c r="B37" s="660" t="s">
        <v>567</v>
      </c>
      <c r="C37" s="661"/>
      <c r="D37" s="407" t="s">
        <v>569</v>
      </c>
      <c r="E37" s="407" t="s">
        <v>450</v>
      </c>
      <c r="F37" s="408" t="s">
        <v>452</v>
      </c>
      <c r="G37" s="409" t="s">
        <v>572</v>
      </c>
      <c r="H37" s="401"/>
      <c r="I37" s="401"/>
      <c r="J37" s="401"/>
      <c r="K37" s="401"/>
      <c r="L37" s="401"/>
    </row>
    <row r="38" spans="1:12" ht="15.75">
      <c r="A38" s="405" t="s">
        <v>444</v>
      </c>
      <c r="B38" s="660" t="s">
        <v>567</v>
      </c>
      <c r="C38" s="661"/>
      <c r="D38" s="407" t="s">
        <v>570</v>
      </c>
      <c r="E38" s="407" t="s">
        <v>450</v>
      </c>
      <c r="F38" s="408" t="s">
        <v>453</v>
      </c>
      <c r="G38" s="404" t="s">
        <v>573</v>
      </c>
      <c r="H38" s="401"/>
      <c r="I38" s="401"/>
      <c r="J38" s="401"/>
      <c r="K38" s="401"/>
      <c r="L38" s="401"/>
    </row>
    <row r="39" spans="1:12" ht="15.75">
      <c r="A39" s="401"/>
      <c r="B39" s="401"/>
      <c r="C39" s="401"/>
      <c r="D39" s="401"/>
      <c r="E39" s="401"/>
      <c r="F39" s="401"/>
      <c r="G39" s="401"/>
      <c r="H39" s="401"/>
      <c r="I39" s="401"/>
      <c r="J39" s="401"/>
      <c r="K39" s="401"/>
      <c r="L39" s="401"/>
    </row>
    <row r="40" spans="1:12" ht="15.75">
      <c r="A40" s="410" t="s">
        <v>454</v>
      </c>
      <c r="B40" s="662" t="s">
        <v>574</v>
      </c>
      <c r="C40" s="662"/>
      <c r="D40" s="663" t="s">
        <v>455</v>
      </c>
      <c r="E40" s="663"/>
      <c r="F40" s="662" t="s">
        <v>575</v>
      </c>
      <c r="G40" s="662"/>
      <c r="H40" s="401"/>
      <c r="I40" s="401"/>
      <c r="J40" s="401"/>
      <c r="K40" s="401"/>
      <c r="L40" s="401"/>
    </row>
    <row r="41" spans="1:12" ht="15.75">
      <c r="A41" s="401"/>
      <c r="B41" s="401"/>
      <c r="C41" s="401"/>
      <c r="D41" s="401"/>
      <c r="E41" s="401"/>
      <c r="F41" s="401"/>
      <c r="G41" s="401"/>
      <c r="H41" s="401"/>
      <c r="I41" s="401"/>
      <c r="J41" s="401"/>
      <c r="K41" s="401"/>
      <c r="L41" s="401"/>
    </row>
    <row r="42" spans="1:12" ht="15.75">
      <c r="A42" s="401"/>
      <c r="B42" s="401"/>
      <c r="C42" s="401"/>
      <c r="D42" s="401"/>
      <c r="E42" s="401"/>
      <c r="F42" s="401"/>
      <c r="G42" s="401"/>
      <c r="H42" s="401"/>
      <c r="I42" s="401"/>
      <c r="J42" s="401"/>
      <c r="K42" s="401"/>
      <c r="L42" s="401"/>
    </row>
    <row r="43" spans="1:12" ht="15.75">
      <c r="A43" s="401"/>
      <c r="B43" s="401"/>
      <c r="C43" s="401"/>
      <c r="D43" s="401"/>
      <c r="E43" s="401"/>
      <c r="F43" s="401"/>
      <c r="G43" s="401"/>
      <c r="H43" s="401"/>
      <c r="I43" s="401"/>
      <c r="J43" s="401"/>
      <c r="K43" s="401"/>
      <c r="L43" s="401"/>
    </row>
    <row r="44" spans="1:12" ht="15.75">
      <c r="A44" s="401"/>
      <c r="B44" s="401"/>
      <c r="C44" s="401"/>
      <c r="D44" s="401"/>
      <c r="E44" s="401"/>
      <c r="F44" s="401"/>
      <c r="G44" s="401"/>
      <c r="H44" s="401"/>
      <c r="I44" s="401"/>
      <c r="J44" s="401"/>
      <c r="K44" s="401"/>
      <c r="L44" s="401"/>
    </row>
    <row r="45" spans="1:12" ht="15.75">
      <c r="A45" s="401"/>
      <c r="B45" s="401"/>
      <c r="C45" s="401"/>
      <c r="D45" s="401"/>
      <c r="E45" s="401"/>
      <c r="F45" s="401"/>
      <c r="G45" s="401"/>
      <c r="H45" s="401"/>
      <c r="I45" s="401"/>
      <c r="J45" s="401"/>
      <c r="K45" s="401"/>
      <c r="L45" s="401"/>
    </row>
    <row r="46" spans="1:12" ht="15.75">
      <c r="A46" s="401"/>
      <c r="B46" s="401"/>
      <c r="C46" s="401"/>
      <c r="D46" s="401"/>
      <c r="E46" s="401"/>
      <c r="F46" s="401"/>
      <c r="G46" s="401"/>
      <c r="H46" s="401"/>
      <c r="I46" s="401"/>
      <c r="J46" s="401"/>
      <c r="K46" s="401"/>
      <c r="L46" s="401"/>
    </row>
    <row r="47" spans="1:12" ht="15.75">
      <c r="A47" s="401"/>
      <c r="B47" s="401"/>
      <c r="C47" s="401"/>
      <c r="D47" s="401"/>
      <c r="E47" s="401"/>
      <c r="F47" s="401"/>
      <c r="G47" s="401"/>
      <c r="H47" s="401"/>
      <c r="I47" s="401"/>
      <c r="J47" s="401"/>
      <c r="K47" s="401"/>
      <c r="L47" s="401"/>
    </row>
    <row r="48" spans="1:12" ht="15.75">
      <c r="A48" s="401"/>
      <c r="B48" s="401"/>
      <c r="C48" s="401"/>
      <c r="D48" s="401"/>
      <c r="E48" s="401"/>
      <c r="F48" s="401"/>
      <c r="G48" s="401"/>
      <c r="H48" s="401"/>
      <c r="I48" s="401"/>
      <c r="J48" s="401"/>
      <c r="K48" s="401"/>
      <c r="L48" s="401"/>
    </row>
    <row r="49" spans="1:12" ht="15.75">
      <c r="A49" s="401"/>
      <c r="B49" s="401"/>
      <c r="C49" s="401"/>
      <c r="D49" s="401"/>
      <c r="E49" s="401"/>
      <c r="F49" s="401"/>
      <c r="G49" s="401"/>
      <c r="H49" s="401"/>
      <c r="I49" s="401"/>
      <c r="J49" s="401"/>
      <c r="K49" s="401"/>
      <c r="L49" s="401"/>
    </row>
    <row r="50" spans="1:12" ht="15.75">
      <c r="A50" s="401"/>
      <c r="B50" s="401"/>
      <c r="C50" s="401"/>
      <c r="D50" s="401"/>
      <c r="E50" s="401"/>
      <c r="F50" s="401"/>
      <c r="G50" s="401"/>
      <c r="H50" s="401"/>
      <c r="I50" s="401"/>
      <c r="J50" s="401"/>
      <c r="K50" s="401"/>
      <c r="L50" s="401"/>
    </row>
    <row r="51" spans="1:12" ht="15.75">
      <c r="A51" s="401"/>
      <c r="B51" s="401"/>
      <c r="C51" s="401"/>
      <c r="D51" s="401"/>
      <c r="E51" s="401"/>
      <c r="F51" s="401"/>
      <c r="G51" s="401"/>
      <c r="H51" s="401"/>
      <c r="I51" s="401"/>
      <c r="J51" s="401"/>
      <c r="K51" s="401"/>
      <c r="L51" s="401"/>
    </row>
    <row r="52" spans="1:12" ht="15.75">
      <c r="A52" s="401"/>
      <c r="B52" s="401"/>
      <c r="C52" s="401"/>
      <c r="D52" s="401"/>
      <c r="E52" s="401"/>
      <c r="F52" s="401"/>
      <c r="G52" s="401"/>
      <c r="H52" s="401"/>
      <c r="I52" s="401"/>
      <c r="J52" s="401"/>
      <c r="K52" s="401"/>
      <c r="L52" s="401"/>
    </row>
    <row r="53" spans="1:12" ht="15.75">
      <c r="A53" s="401"/>
      <c r="B53" s="401"/>
      <c r="C53" s="401"/>
      <c r="D53" s="401"/>
      <c r="E53" s="401"/>
      <c r="F53" s="401"/>
      <c r="G53" s="401"/>
      <c r="H53" s="401"/>
      <c r="I53" s="401"/>
      <c r="J53" s="401"/>
      <c r="K53" s="401"/>
      <c r="L53" s="401"/>
    </row>
    <row r="54" spans="1:12" ht="15.75">
      <c r="A54" s="401"/>
      <c r="B54" s="401"/>
      <c r="C54" s="401"/>
      <c r="D54" s="401"/>
      <c r="E54" s="401"/>
      <c r="F54" s="401"/>
      <c r="G54" s="401"/>
      <c r="H54" s="401"/>
      <c r="I54" s="401"/>
      <c r="J54" s="401"/>
      <c r="K54" s="401"/>
      <c r="L54" s="401"/>
    </row>
    <row r="55" spans="1:12" ht="15.75">
      <c r="A55" s="401"/>
      <c r="B55" s="401"/>
      <c r="C55" s="401"/>
      <c r="D55" s="401"/>
      <c r="E55" s="401"/>
      <c r="F55" s="401"/>
      <c r="G55" s="401"/>
      <c r="H55" s="401"/>
      <c r="I55" s="401"/>
      <c r="J55" s="401"/>
      <c r="K55" s="401"/>
      <c r="L55" s="401"/>
    </row>
    <row r="56" spans="1:12" ht="15.75">
      <c r="A56" s="401"/>
      <c r="B56" s="401"/>
      <c r="C56" s="401"/>
      <c r="D56" s="401"/>
      <c r="E56" s="401"/>
      <c r="F56" s="401"/>
      <c r="G56" s="401"/>
      <c r="H56" s="401"/>
      <c r="I56" s="401"/>
      <c r="J56" s="401"/>
      <c r="K56" s="401"/>
      <c r="L56" s="401"/>
    </row>
    <row r="57" spans="1:12" ht="15.75">
      <c r="A57" s="401"/>
      <c r="B57" s="401"/>
      <c r="C57" s="401"/>
      <c r="D57" s="401"/>
      <c r="E57" s="401"/>
      <c r="F57" s="401"/>
      <c r="G57" s="401"/>
      <c r="H57" s="401"/>
      <c r="I57" s="401"/>
      <c r="J57" s="401"/>
      <c r="K57" s="401"/>
      <c r="L57" s="401"/>
    </row>
    <row r="58" spans="1:12" ht="15.75">
      <c r="A58" s="401"/>
      <c r="B58" s="401"/>
      <c r="C58" s="401"/>
      <c r="D58" s="401"/>
      <c r="E58" s="401"/>
      <c r="F58" s="401"/>
      <c r="G58" s="401"/>
      <c r="H58" s="401"/>
      <c r="I58" s="401"/>
      <c r="J58" s="401"/>
      <c r="K58" s="401"/>
      <c r="L58" s="401"/>
    </row>
    <row r="59" spans="1:12" ht="15.75">
      <c r="A59" s="401"/>
      <c r="B59" s="401"/>
      <c r="C59" s="401"/>
      <c r="D59" s="401"/>
      <c r="E59" s="401"/>
      <c r="F59" s="401"/>
      <c r="G59" s="401"/>
      <c r="H59" s="401"/>
      <c r="I59" s="401"/>
      <c r="J59" s="401"/>
      <c r="K59" s="401"/>
      <c r="L59" s="401"/>
    </row>
    <row r="60" spans="1:12" ht="15.75">
      <c r="A60" s="401"/>
      <c r="B60" s="401"/>
      <c r="C60" s="401"/>
      <c r="D60" s="401"/>
      <c r="E60" s="401"/>
      <c r="F60" s="401"/>
      <c r="G60" s="401"/>
      <c r="H60" s="401"/>
      <c r="I60" s="401"/>
      <c r="J60" s="401"/>
      <c r="K60" s="401"/>
      <c r="L60" s="401"/>
    </row>
    <row r="61" spans="1:12" ht="15.75">
      <c r="A61" s="401"/>
      <c r="B61" s="401"/>
      <c r="C61" s="401"/>
      <c r="D61" s="401"/>
      <c r="E61" s="401"/>
      <c r="F61" s="401"/>
      <c r="G61" s="401"/>
      <c r="H61" s="401"/>
      <c r="I61" s="401"/>
      <c r="J61" s="401"/>
      <c r="K61" s="401"/>
      <c r="L61" s="401"/>
    </row>
  </sheetData>
  <mergeCells count="35">
    <mergeCell ref="B38:C38"/>
    <mergeCell ref="B40:C40"/>
    <mergeCell ref="D40:E40"/>
    <mergeCell ref="F40:G40"/>
    <mergeCell ref="H22:I22"/>
    <mergeCell ref="H23:I23"/>
    <mergeCell ref="H24:I24"/>
    <mergeCell ref="H25:I25"/>
    <mergeCell ref="B32:C32"/>
    <mergeCell ref="F32:G32"/>
    <mergeCell ref="E34:G34"/>
    <mergeCell ref="B35:C35"/>
    <mergeCell ref="B36:C36"/>
    <mergeCell ref="B37:C37"/>
    <mergeCell ref="E28:G28"/>
    <mergeCell ref="B29:C29"/>
    <mergeCell ref="F29:G29"/>
    <mergeCell ref="B30:C30"/>
    <mergeCell ref="F30:G30"/>
    <mergeCell ref="B31:C31"/>
    <mergeCell ref="F31:G31"/>
    <mergeCell ref="B24:C24"/>
    <mergeCell ref="D24:E24"/>
    <mergeCell ref="F24:G24"/>
    <mergeCell ref="B25:C25"/>
    <mergeCell ref="D25:E25"/>
    <mergeCell ref="F25:G25"/>
    <mergeCell ref="B23:C23"/>
    <mergeCell ref="D23:E23"/>
    <mergeCell ref="F23:G23"/>
    <mergeCell ref="B1:G1"/>
    <mergeCell ref="D21:G21"/>
    <mergeCell ref="B22:C22"/>
    <mergeCell ref="D22:E22"/>
    <mergeCell ref="F22:G22"/>
  </mergeCells>
  <printOptions horizontalCentered="1"/>
  <pageMargins left="0.75" right="0.75" top="1" bottom="1" header="0.5" footer="0.5"/>
  <pageSetup scale="98" orientation="portrait" horizontalDpi="0" verticalDpi="3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syncVertical="1" syncRef="A1" transitionEvaluation="1"/>
  <dimension ref="A1:N120"/>
  <sheetViews>
    <sheetView showGridLines="0" zoomScaleNormal="100" workbookViewId="0">
      <selection activeCell="O14" sqref="O14"/>
    </sheetView>
  </sheetViews>
  <sheetFormatPr defaultColWidth="12.5703125" defaultRowHeight="15.75"/>
  <cols>
    <col min="1" max="13" width="7" style="456" customWidth="1"/>
    <col min="14" max="14" width="7.140625" style="456" customWidth="1"/>
    <col min="15" max="256" width="12.5703125" style="456"/>
    <col min="257" max="269" width="7" style="456" customWidth="1"/>
    <col min="270" max="270" width="7.140625" style="456" customWidth="1"/>
    <col min="271" max="512" width="12.5703125" style="456"/>
    <col min="513" max="525" width="7" style="456" customWidth="1"/>
    <col min="526" max="526" width="7.140625" style="456" customWidth="1"/>
    <col min="527" max="768" width="12.5703125" style="456"/>
    <col min="769" max="781" width="7" style="456" customWidth="1"/>
    <col min="782" max="782" width="7.140625" style="456" customWidth="1"/>
    <col min="783" max="1024" width="12.5703125" style="456"/>
    <col min="1025" max="1037" width="7" style="456" customWidth="1"/>
    <col min="1038" max="1038" width="7.140625" style="456" customWidth="1"/>
    <col min="1039" max="1280" width="12.5703125" style="456"/>
    <col min="1281" max="1293" width="7" style="456" customWidth="1"/>
    <col min="1294" max="1294" width="7.140625" style="456" customWidth="1"/>
    <col min="1295" max="1536" width="12.5703125" style="456"/>
    <col min="1537" max="1549" width="7" style="456" customWidth="1"/>
    <col min="1550" max="1550" width="7.140625" style="456" customWidth="1"/>
    <col min="1551" max="1792" width="12.5703125" style="456"/>
    <col min="1793" max="1805" width="7" style="456" customWidth="1"/>
    <col min="1806" max="1806" width="7.140625" style="456" customWidth="1"/>
    <col min="1807" max="2048" width="12.5703125" style="456"/>
    <col min="2049" max="2061" width="7" style="456" customWidth="1"/>
    <col min="2062" max="2062" width="7.140625" style="456" customWidth="1"/>
    <col min="2063" max="2304" width="12.5703125" style="456"/>
    <col min="2305" max="2317" width="7" style="456" customWidth="1"/>
    <col min="2318" max="2318" width="7.140625" style="456" customWidth="1"/>
    <col min="2319" max="2560" width="12.5703125" style="456"/>
    <col min="2561" max="2573" width="7" style="456" customWidth="1"/>
    <col min="2574" max="2574" width="7.140625" style="456" customWidth="1"/>
    <col min="2575" max="2816" width="12.5703125" style="456"/>
    <col min="2817" max="2829" width="7" style="456" customWidth="1"/>
    <col min="2830" max="2830" width="7.140625" style="456" customWidth="1"/>
    <col min="2831" max="3072" width="12.5703125" style="456"/>
    <col min="3073" max="3085" width="7" style="456" customWidth="1"/>
    <col min="3086" max="3086" width="7.140625" style="456" customWidth="1"/>
    <col min="3087" max="3328" width="12.5703125" style="456"/>
    <col min="3329" max="3341" width="7" style="456" customWidth="1"/>
    <col min="3342" max="3342" width="7.140625" style="456" customWidth="1"/>
    <col min="3343" max="3584" width="12.5703125" style="456"/>
    <col min="3585" max="3597" width="7" style="456" customWidth="1"/>
    <col min="3598" max="3598" width="7.140625" style="456" customWidth="1"/>
    <col min="3599" max="3840" width="12.5703125" style="456"/>
    <col min="3841" max="3853" width="7" style="456" customWidth="1"/>
    <col min="3854" max="3854" width="7.140625" style="456" customWidth="1"/>
    <col min="3855" max="4096" width="12.5703125" style="456"/>
    <col min="4097" max="4109" width="7" style="456" customWidth="1"/>
    <col min="4110" max="4110" width="7.140625" style="456" customWidth="1"/>
    <col min="4111" max="4352" width="12.5703125" style="456"/>
    <col min="4353" max="4365" width="7" style="456" customWidth="1"/>
    <col min="4366" max="4366" width="7.140625" style="456" customWidth="1"/>
    <col min="4367" max="4608" width="12.5703125" style="456"/>
    <col min="4609" max="4621" width="7" style="456" customWidth="1"/>
    <col min="4622" max="4622" width="7.140625" style="456" customWidth="1"/>
    <col min="4623" max="4864" width="12.5703125" style="456"/>
    <col min="4865" max="4877" width="7" style="456" customWidth="1"/>
    <col min="4878" max="4878" width="7.140625" style="456" customWidth="1"/>
    <col min="4879" max="5120" width="12.5703125" style="456"/>
    <col min="5121" max="5133" width="7" style="456" customWidth="1"/>
    <col min="5134" max="5134" width="7.140625" style="456" customWidth="1"/>
    <col min="5135" max="5376" width="12.5703125" style="456"/>
    <col min="5377" max="5389" width="7" style="456" customWidth="1"/>
    <col min="5390" max="5390" width="7.140625" style="456" customWidth="1"/>
    <col min="5391" max="5632" width="12.5703125" style="456"/>
    <col min="5633" max="5645" width="7" style="456" customWidth="1"/>
    <col min="5646" max="5646" width="7.140625" style="456" customWidth="1"/>
    <col min="5647" max="5888" width="12.5703125" style="456"/>
    <col min="5889" max="5901" width="7" style="456" customWidth="1"/>
    <col min="5902" max="5902" width="7.140625" style="456" customWidth="1"/>
    <col min="5903" max="6144" width="12.5703125" style="456"/>
    <col min="6145" max="6157" width="7" style="456" customWidth="1"/>
    <col min="6158" max="6158" width="7.140625" style="456" customWidth="1"/>
    <col min="6159" max="6400" width="12.5703125" style="456"/>
    <col min="6401" max="6413" width="7" style="456" customWidth="1"/>
    <col min="6414" max="6414" width="7.140625" style="456" customWidth="1"/>
    <col min="6415" max="6656" width="12.5703125" style="456"/>
    <col min="6657" max="6669" width="7" style="456" customWidth="1"/>
    <col min="6670" max="6670" width="7.140625" style="456" customWidth="1"/>
    <col min="6671" max="6912" width="12.5703125" style="456"/>
    <col min="6913" max="6925" width="7" style="456" customWidth="1"/>
    <col min="6926" max="6926" width="7.140625" style="456" customWidth="1"/>
    <col min="6927" max="7168" width="12.5703125" style="456"/>
    <col min="7169" max="7181" width="7" style="456" customWidth="1"/>
    <col min="7182" max="7182" width="7.140625" style="456" customWidth="1"/>
    <col min="7183" max="7424" width="12.5703125" style="456"/>
    <col min="7425" max="7437" width="7" style="456" customWidth="1"/>
    <col min="7438" max="7438" width="7.140625" style="456" customWidth="1"/>
    <col min="7439" max="7680" width="12.5703125" style="456"/>
    <col min="7681" max="7693" width="7" style="456" customWidth="1"/>
    <col min="7694" max="7694" width="7.140625" style="456" customWidth="1"/>
    <col min="7695" max="7936" width="12.5703125" style="456"/>
    <col min="7937" max="7949" width="7" style="456" customWidth="1"/>
    <col min="7950" max="7950" width="7.140625" style="456" customWidth="1"/>
    <col min="7951" max="8192" width="12.5703125" style="456"/>
    <col min="8193" max="8205" width="7" style="456" customWidth="1"/>
    <col min="8206" max="8206" width="7.140625" style="456" customWidth="1"/>
    <col min="8207" max="8448" width="12.5703125" style="456"/>
    <col min="8449" max="8461" width="7" style="456" customWidth="1"/>
    <col min="8462" max="8462" width="7.140625" style="456" customWidth="1"/>
    <col min="8463" max="8704" width="12.5703125" style="456"/>
    <col min="8705" max="8717" width="7" style="456" customWidth="1"/>
    <col min="8718" max="8718" width="7.140625" style="456" customWidth="1"/>
    <col min="8719" max="8960" width="12.5703125" style="456"/>
    <col min="8961" max="8973" width="7" style="456" customWidth="1"/>
    <col min="8974" max="8974" width="7.140625" style="456" customWidth="1"/>
    <col min="8975" max="9216" width="12.5703125" style="456"/>
    <col min="9217" max="9229" width="7" style="456" customWidth="1"/>
    <col min="9230" max="9230" width="7.140625" style="456" customWidth="1"/>
    <col min="9231" max="9472" width="12.5703125" style="456"/>
    <col min="9473" max="9485" width="7" style="456" customWidth="1"/>
    <col min="9486" max="9486" width="7.140625" style="456" customWidth="1"/>
    <col min="9487" max="9728" width="12.5703125" style="456"/>
    <col min="9729" max="9741" width="7" style="456" customWidth="1"/>
    <col min="9742" max="9742" width="7.140625" style="456" customWidth="1"/>
    <col min="9743" max="9984" width="12.5703125" style="456"/>
    <col min="9985" max="9997" width="7" style="456" customWidth="1"/>
    <col min="9998" max="9998" width="7.140625" style="456" customWidth="1"/>
    <col min="9999" max="10240" width="12.5703125" style="456"/>
    <col min="10241" max="10253" width="7" style="456" customWidth="1"/>
    <col min="10254" max="10254" width="7.140625" style="456" customWidth="1"/>
    <col min="10255" max="10496" width="12.5703125" style="456"/>
    <col min="10497" max="10509" width="7" style="456" customWidth="1"/>
    <col min="10510" max="10510" width="7.140625" style="456" customWidth="1"/>
    <col min="10511" max="10752" width="12.5703125" style="456"/>
    <col min="10753" max="10765" width="7" style="456" customWidth="1"/>
    <col min="10766" max="10766" width="7.140625" style="456" customWidth="1"/>
    <col min="10767" max="11008" width="12.5703125" style="456"/>
    <col min="11009" max="11021" width="7" style="456" customWidth="1"/>
    <col min="11022" max="11022" width="7.140625" style="456" customWidth="1"/>
    <col min="11023" max="11264" width="12.5703125" style="456"/>
    <col min="11265" max="11277" width="7" style="456" customWidth="1"/>
    <col min="11278" max="11278" width="7.140625" style="456" customWidth="1"/>
    <col min="11279" max="11520" width="12.5703125" style="456"/>
    <col min="11521" max="11533" width="7" style="456" customWidth="1"/>
    <col min="11534" max="11534" width="7.140625" style="456" customWidth="1"/>
    <col min="11535" max="11776" width="12.5703125" style="456"/>
    <col min="11777" max="11789" width="7" style="456" customWidth="1"/>
    <col min="11790" max="11790" width="7.140625" style="456" customWidth="1"/>
    <col min="11791" max="12032" width="12.5703125" style="456"/>
    <col min="12033" max="12045" width="7" style="456" customWidth="1"/>
    <col min="12046" max="12046" width="7.140625" style="456" customWidth="1"/>
    <col min="12047" max="12288" width="12.5703125" style="456"/>
    <col min="12289" max="12301" width="7" style="456" customWidth="1"/>
    <col min="12302" max="12302" width="7.140625" style="456" customWidth="1"/>
    <col min="12303" max="12544" width="12.5703125" style="456"/>
    <col min="12545" max="12557" width="7" style="456" customWidth="1"/>
    <col min="12558" max="12558" width="7.140625" style="456" customWidth="1"/>
    <col min="12559" max="12800" width="12.5703125" style="456"/>
    <col min="12801" max="12813" width="7" style="456" customWidth="1"/>
    <col min="12814" max="12814" width="7.140625" style="456" customWidth="1"/>
    <col min="12815" max="13056" width="12.5703125" style="456"/>
    <col min="13057" max="13069" width="7" style="456" customWidth="1"/>
    <col min="13070" max="13070" width="7.140625" style="456" customWidth="1"/>
    <col min="13071" max="13312" width="12.5703125" style="456"/>
    <col min="13313" max="13325" width="7" style="456" customWidth="1"/>
    <col min="13326" max="13326" width="7.140625" style="456" customWidth="1"/>
    <col min="13327" max="13568" width="12.5703125" style="456"/>
    <col min="13569" max="13581" width="7" style="456" customWidth="1"/>
    <col min="13582" max="13582" width="7.140625" style="456" customWidth="1"/>
    <col min="13583" max="13824" width="12.5703125" style="456"/>
    <col min="13825" max="13837" width="7" style="456" customWidth="1"/>
    <col min="13838" max="13838" width="7.140625" style="456" customWidth="1"/>
    <col min="13839" max="14080" width="12.5703125" style="456"/>
    <col min="14081" max="14093" width="7" style="456" customWidth="1"/>
    <col min="14094" max="14094" width="7.140625" style="456" customWidth="1"/>
    <col min="14095" max="14336" width="12.5703125" style="456"/>
    <col min="14337" max="14349" width="7" style="456" customWidth="1"/>
    <col min="14350" max="14350" width="7.140625" style="456" customWidth="1"/>
    <col min="14351" max="14592" width="12.5703125" style="456"/>
    <col min="14593" max="14605" width="7" style="456" customWidth="1"/>
    <col min="14606" max="14606" width="7.140625" style="456" customWidth="1"/>
    <col min="14607" max="14848" width="12.5703125" style="456"/>
    <col min="14849" max="14861" width="7" style="456" customWidth="1"/>
    <col min="14862" max="14862" width="7.140625" style="456" customWidth="1"/>
    <col min="14863" max="15104" width="12.5703125" style="456"/>
    <col min="15105" max="15117" width="7" style="456" customWidth="1"/>
    <col min="15118" max="15118" width="7.140625" style="456" customWidth="1"/>
    <col min="15119" max="15360" width="12.5703125" style="456"/>
    <col min="15361" max="15373" width="7" style="456" customWidth="1"/>
    <col min="15374" max="15374" width="7.140625" style="456" customWidth="1"/>
    <col min="15375" max="15616" width="12.5703125" style="456"/>
    <col min="15617" max="15629" width="7" style="456" customWidth="1"/>
    <col min="15630" max="15630" width="7.140625" style="456" customWidth="1"/>
    <col min="15631" max="15872" width="12.5703125" style="456"/>
    <col min="15873" max="15885" width="7" style="456" customWidth="1"/>
    <col min="15886" max="15886" width="7.140625" style="456" customWidth="1"/>
    <col min="15887" max="16128" width="12.5703125" style="456"/>
    <col min="16129" max="16141" width="7" style="456" customWidth="1"/>
    <col min="16142" max="16142" width="7.140625" style="456" customWidth="1"/>
    <col min="16143" max="16384" width="12.5703125" style="456"/>
  </cols>
  <sheetData>
    <row r="1" spans="1:14" ht="17.100000000000001" customHeight="1">
      <c r="A1" s="449" t="s">
        <v>268</v>
      </c>
      <c r="B1" s="450"/>
      <c r="C1" s="450"/>
      <c r="D1" s="450"/>
      <c r="E1" s="450"/>
      <c r="F1" s="450"/>
      <c r="G1" s="450"/>
      <c r="H1" s="450"/>
      <c r="I1" s="450"/>
      <c r="J1" s="451" t="s">
        <v>611</v>
      </c>
      <c r="K1" s="452"/>
      <c r="L1" s="453" t="s">
        <v>612</v>
      </c>
      <c r="M1" s="454"/>
      <c r="N1" s="455"/>
    </row>
    <row r="2" spans="1:14" ht="17.100000000000001" customHeight="1">
      <c r="A2" s="457" t="s">
        <v>613</v>
      </c>
      <c r="B2" s="458"/>
      <c r="C2" s="458"/>
      <c r="D2" s="458"/>
      <c r="E2" s="458"/>
      <c r="F2" s="458"/>
      <c r="G2" s="458"/>
      <c r="H2" s="458"/>
      <c r="I2" s="458"/>
      <c r="J2" s="459" t="s">
        <v>614</v>
      </c>
      <c r="K2" s="460"/>
      <c r="L2" s="461" t="s">
        <v>615</v>
      </c>
      <c r="M2" s="462"/>
      <c r="N2" s="455"/>
    </row>
    <row r="3" spans="1:14" ht="15.95" customHeight="1">
      <c r="A3" s="463"/>
      <c r="B3" s="464"/>
      <c r="C3" s="464"/>
      <c r="D3" s="464"/>
      <c r="E3" s="464"/>
      <c r="F3" s="464"/>
      <c r="G3" s="464"/>
      <c r="H3" s="464"/>
      <c r="I3" s="464"/>
      <c r="J3" s="459" t="s">
        <v>616</v>
      </c>
      <c r="K3" s="460"/>
      <c r="L3" s="465" t="s">
        <v>617</v>
      </c>
      <c r="M3" s="462"/>
      <c r="N3" s="455"/>
    </row>
    <row r="4" spans="1:14" ht="15.95" customHeight="1">
      <c r="A4" s="466"/>
      <c r="B4" s="464"/>
      <c r="C4" s="464"/>
      <c r="D4" s="464"/>
      <c r="E4" s="464"/>
      <c r="F4" s="464"/>
      <c r="G4" s="464"/>
      <c r="H4" s="464"/>
      <c r="I4" s="464"/>
      <c r="J4" s="459" t="s">
        <v>618</v>
      </c>
      <c r="K4" s="460"/>
      <c r="L4" s="465" t="s">
        <v>619</v>
      </c>
      <c r="M4" s="462"/>
      <c r="N4" s="455"/>
    </row>
    <row r="5" spans="1:14" ht="15.95" customHeight="1">
      <c r="A5" s="463"/>
      <c r="B5" s="464"/>
      <c r="C5" s="464"/>
      <c r="D5" s="464"/>
      <c r="E5" s="464"/>
      <c r="F5" s="464"/>
      <c r="G5" s="464"/>
      <c r="H5" s="464"/>
      <c r="I5" s="464"/>
      <c r="J5" s="459" t="s">
        <v>620</v>
      </c>
      <c r="K5" s="460"/>
      <c r="L5" s="461">
        <v>2</v>
      </c>
      <c r="M5" s="462"/>
      <c r="N5" s="455"/>
    </row>
    <row r="6" spans="1:14" ht="15.95" customHeight="1">
      <c r="A6" s="467" t="s">
        <v>621</v>
      </c>
      <c r="B6" s="464"/>
      <c r="C6" s="464"/>
      <c r="D6" s="464"/>
      <c r="E6" s="464"/>
      <c r="F6" s="464"/>
      <c r="G6" s="464"/>
      <c r="H6" s="464"/>
      <c r="I6" s="464"/>
      <c r="J6" s="459" t="s">
        <v>622</v>
      </c>
      <c r="K6" s="460"/>
      <c r="L6" s="461" t="s">
        <v>623</v>
      </c>
      <c r="M6" s="462"/>
      <c r="N6" s="455"/>
    </row>
    <row r="7" spans="1:14" ht="15.95" customHeight="1" thickBot="1">
      <c r="A7" s="468" t="s">
        <v>624</v>
      </c>
      <c r="B7" s="469"/>
      <c r="C7" s="469"/>
      <c r="D7" s="469"/>
      <c r="E7" s="469"/>
      <c r="F7" s="469"/>
      <c r="G7" s="469"/>
      <c r="H7" s="469"/>
      <c r="I7" s="469"/>
      <c r="J7" s="470" t="s">
        <v>625</v>
      </c>
      <c r="K7" s="471"/>
      <c r="L7" s="472" t="s">
        <v>626</v>
      </c>
      <c r="M7" s="473"/>
      <c r="N7" s="455"/>
    </row>
    <row r="8" spans="1:14" ht="15.95" customHeight="1">
      <c r="A8" s="474"/>
      <c r="B8" s="464"/>
      <c r="C8" s="464"/>
      <c r="D8" s="464"/>
      <c r="E8" s="464"/>
      <c r="F8" s="464"/>
      <c r="G8" s="464"/>
      <c r="H8" s="464"/>
      <c r="I8" s="464"/>
      <c r="J8" s="464"/>
      <c r="K8" s="475"/>
      <c r="L8" s="476"/>
      <c r="M8" s="477"/>
      <c r="N8" s="464"/>
    </row>
    <row r="9" spans="1:14" ht="12" customHeight="1">
      <c r="A9" s="478"/>
      <c r="B9" s="479" t="s">
        <v>627</v>
      </c>
      <c r="C9" s="480" t="s">
        <v>724</v>
      </c>
      <c r="D9" s="481"/>
      <c r="E9" s="481"/>
      <c r="F9" s="481"/>
      <c r="G9" s="481"/>
      <c r="H9" s="481"/>
      <c r="I9" s="481"/>
      <c r="J9" s="481"/>
      <c r="K9" s="482"/>
      <c r="L9" s="478"/>
      <c r="M9" s="481"/>
      <c r="N9" s="464"/>
    </row>
    <row r="10" spans="1:14" ht="12" customHeight="1">
      <c r="A10" s="478"/>
      <c r="B10" s="479" t="s">
        <v>628</v>
      </c>
      <c r="C10" s="483" t="s">
        <v>725</v>
      </c>
      <c r="D10" s="478"/>
      <c r="E10" s="478"/>
      <c r="F10" s="478"/>
      <c r="G10" s="478"/>
      <c r="H10" s="478"/>
      <c r="I10" s="478"/>
      <c r="J10" s="478"/>
      <c r="K10" s="478"/>
      <c r="L10" s="478"/>
      <c r="M10" s="478"/>
      <c r="N10" s="476"/>
    </row>
    <row r="11" spans="1:14" ht="16.5" thickBot="1">
      <c r="A11" s="476"/>
      <c r="B11" s="476"/>
      <c r="C11" s="476"/>
      <c r="D11" s="476"/>
      <c r="E11" s="476"/>
      <c r="F11" s="476"/>
      <c r="G11" s="476"/>
      <c r="H11" s="476"/>
      <c r="I11" s="476"/>
      <c r="J11" s="476"/>
      <c r="K11" s="476"/>
      <c r="L11" s="476"/>
      <c r="M11" s="476"/>
      <c r="N11" s="476"/>
    </row>
    <row r="12" spans="1:14" ht="20.100000000000001" customHeight="1" thickBot="1">
      <c r="A12" s="484" t="s">
        <v>629</v>
      </c>
      <c r="B12" s="485"/>
      <c r="C12" s="485"/>
      <c r="D12" s="485"/>
      <c r="E12" s="485"/>
      <c r="F12" s="485"/>
      <c r="G12" s="485"/>
      <c r="H12" s="485"/>
      <c r="I12" s="485"/>
      <c r="J12" s="485"/>
      <c r="K12" s="485"/>
      <c r="L12" s="485"/>
      <c r="M12" s="486"/>
      <c r="N12" s="455"/>
    </row>
    <row r="13" spans="1:14" ht="12.95" customHeight="1" thickTop="1">
      <c r="A13" s="487"/>
      <c r="B13" s="479" t="s">
        <v>630</v>
      </c>
      <c r="C13" s="488">
        <v>800</v>
      </c>
      <c r="D13" s="478"/>
      <c r="E13" s="479" t="s">
        <v>631</v>
      </c>
      <c r="F13" s="488">
        <v>4000</v>
      </c>
      <c r="G13" s="478"/>
      <c r="H13" s="479" t="s">
        <v>632</v>
      </c>
      <c r="I13" s="488" t="s">
        <v>633</v>
      </c>
      <c r="J13" s="478"/>
      <c r="K13" s="478"/>
      <c r="L13" s="479" t="s">
        <v>634</v>
      </c>
      <c r="M13" s="489">
        <v>1800</v>
      </c>
      <c r="N13" s="455"/>
    </row>
    <row r="14" spans="1:14" ht="12.95" customHeight="1">
      <c r="A14" s="487"/>
      <c r="B14" s="479" t="s">
        <v>635</v>
      </c>
      <c r="C14" s="488" t="s">
        <v>726</v>
      </c>
      <c r="D14" s="478"/>
      <c r="E14" s="479" t="s">
        <v>636</v>
      </c>
      <c r="F14" s="488" t="s">
        <v>677</v>
      </c>
      <c r="G14" s="478"/>
      <c r="H14" s="479" t="s">
        <v>637</v>
      </c>
      <c r="I14" s="488">
        <v>100</v>
      </c>
      <c r="J14" s="478"/>
      <c r="K14" s="478"/>
      <c r="L14" s="479" t="s">
        <v>588</v>
      </c>
      <c r="M14" s="489">
        <v>1785</v>
      </c>
      <c r="N14" s="455"/>
    </row>
    <row r="15" spans="1:14" ht="12.95" customHeight="1">
      <c r="A15" s="487"/>
      <c r="B15" s="479" t="s">
        <v>638</v>
      </c>
      <c r="C15" s="488" t="s">
        <v>193</v>
      </c>
      <c r="D15" s="478"/>
      <c r="E15" s="479" t="s">
        <v>639</v>
      </c>
      <c r="F15" s="488">
        <v>1.1499999999999999</v>
      </c>
      <c r="G15" s="478"/>
      <c r="H15" s="490" t="s">
        <v>640</v>
      </c>
      <c r="I15" s="488" t="s">
        <v>175</v>
      </c>
      <c r="J15" s="478"/>
      <c r="K15" s="478"/>
      <c r="L15" s="479" t="s">
        <v>642</v>
      </c>
      <c r="M15" s="489" t="s">
        <v>363</v>
      </c>
      <c r="N15" s="455"/>
    </row>
    <row r="16" spans="1:14" ht="12.95" customHeight="1">
      <c r="A16" s="487"/>
      <c r="B16" s="479" t="s">
        <v>643</v>
      </c>
      <c r="C16" s="488" t="s">
        <v>644</v>
      </c>
      <c r="D16" s="478"/>
      <c r="E16" s="479" t="s">
        <v>645</v>
      </c>
      <c r="F16" s="488" t="s">
        <v>450</v>
      </c>
      <c r="G16" s="478"/>
      <c r="H16" s="491" t="s">
        <v>646</v>
      </c>
      <c r="I16" s="492" t="s">
        <v>386</v>
      </c>
      <c r="J16" s="478"/>
      <c r="K16" s="478"/>
      <c r="L16" s="479" t="s">
        <v>647</v>
      </c>
      <c r="M16" s="489" t="s">
        <v>648</v>
      </c>
      <c r="N16" s="455"/>
    </row>
    <row r="17" spans="1:14" ht="12.95" customHeight="1">
      <c r="A17" s="487"/>
      <c r="B17" s="479" t="s">
        <v>649</v>
      </c>
      <c r="C17" s="480" t="s">
        <v>727</v>
      </c>
      <c r="D17" s="478"/>
      <c r="E17" s="479"/>
      <c r="F17" s="493"/>
      <c r="G17" s="478"/>
      <c r="H17" s="479" t="s">
        <v>650</v>
      </c>
      <c r="I17" s="492" t="s">
        <v>175</v>
      </c>
      <c r="J17" s="478"/>
      <c r="K17" s="478"/>
      <c r="L17" s="479"/>
      <c r="M17" s="494"/>
      <c r="N17" s="455"/>
    </row>
    <row r="18" spans="1:14" ht="12.95" customHeight="1" thickBot="1">
      <c r="A18" s="495"/>
      <c r="B18" s="496" t="s">
        <v>651</v>
      </c>
      <c r="C18" s="497" t="s">
        <v>175</v>
      </c>
      <c r="D18" s="498"/>
      <c r="E18" s="496" t="s">
        <v>652</v>
      </c>
      <c r="F18" s="497" t="s">
        <v>175</v>
      </c>
      <c r="G18" s="499"/>
      <c r="H18" s="496" t="s">
        <v>653</v>
      </c>
      <c r="I18" s="497" t="s">
        <v>175</v>
      </c>
      <c r="J18" s="498"/>
      <c r="K18" s="498"/>
      <c r="L18" s="498"/>
      <c r="M18" s="500"/>
      <c r="N18" s="455"/>
    </row>
    <row r="19" spans="1:14" ht="16.5" thickBot="1">
      <c r="A19" s="455"/>
      <c r="B19" s="455"/>
      <c r="C19" s="455"/>
      <c r="D19" s="455"/>
      <c r="E19" s="455"/>
      <c r="F19" s="455"/>
      <c r="G19" s="455"/>
      <c r="H19" s="455"/>
      <c r="I19" s="455"/>
      <c r="J19" s="455"/>
      <c r="K19" s="455"/>
      <c r="L19" s="455"/>
      <c r="M19" s="455"/>
      <c r="N19" s="455"/>
    </row>
    <row r="20" spans="1:14" ht="20.100000000000001" customHeight="1" thickBot="1">
      <c r="A20" s="484"/>
      <c r="B20" s="485"/>
      <c r="C20" s="485"/>
      <c r="D20" s="485"/>
      <c r="E20" s="485"/>
      <c r="F20" s="485"/>
      <c r="G20" s="485"/>
      <c r="H20" s="485"/>
      <c r="I20" s="485"/>
      <c r="J20" s="485"/>
      <c r="K20" s="485"/>
      <c r="L20" s="485"/>
      <c r="M20" s="486"/>
    </row>
    <row r="21" spans="1:14" ht="15.95" customHeight="1" thickTop="1">
      <c r="A21" s="501" t="s">
        <v>654</v>
      </c>
      <c r="B21" s="502"/>
      <c r="C21" s="476"/>
      <c r="D21" s="503"/>
      <c r="E21" s="504" t="s">
        <v>655</v>
      </c>
      <c r="F21" s="505"/>
      <c r="G21" s="505"/>
      <c r="H21" s="506"/>
      <c r="I21" s="507" t="s">
        <v>656</v>
      </c>
      <c r="J21" s="505"/>
      <c r="K21" s="505"/>
      <c r="L21" s="476"/>
      <c r="M21" s="508"/>
    </row>
    <row r="22" spans="1:14" ht="15.95" customHeight="1">
      <c r="A22" s="549"/>
      <c r="B22" s="478"/>
      <c r="C22" s="479" t="s">
        <v>657</v>
      </c>
      <c r="D22" s="510">
        <v>676</v>
      </c>
      <c r="E22" s="479"/>
      <c r="G22" s="491" t="s">
        <v>658</v>
      </c>
      <c r="H22" s="511">
        <v>2349</v>
      </c>
      <c r="I22" s="479"/>
      <c r="J22" s="478"/>
      <c r="K22" s="479" t="s">
        <v>659</v>
      </c>
      <c r="L22" s="665"/>
      <c r="M22" s="666"/>
    </row>
    <row r="23" spans="1:14" ht="15.95" customHeight="1">
      <c r="A23" s="509"/>
      <c r="B23" s="479"/>
      <c r="C23" s="482"/>
      <c r="D23" s="512"/>
      <c r="E23" s="479"/>
      <c r="G23" s="479" t="s">
        <v>660</v>
      </c>
      <c r="H23" s="510">
        <v>80</v>
      </c>
      <c r="I23" s="478"/>
      <c r="J23" s="478"/>
      <c r="K23" s="479" t="s">
        <v>661</v>
      </c>
      <c r="L23" s="665"/>
      <c r="M23" s="666"/>
    </row>
    <row r="24" spans="1:14" ht="15.95" customHeight="1">
      <c r="A24" s="487"/>
      <c r="B24" s="479"/>
      <c r="C24" s="478"/>
      <c r="D24" s="512"/>
      <c r="E24" s="479"/>
      <c r="G24" s="491" t="s">
        <v>662</v>
      </c>
      <c r="H24" s="510">
        <v>230</v>
      </c>
      <c r="I24" s="478"/>
      <c r="J24" s="479"/>
      <c r="K24" s="478"/>
      <c r="L24" s="478"/>
      <c r="M24" s="494"/>
    </row>
    <row r="25" spans="1:14" ht="15.95" customHeight="1" thickBot="1">
      <c r="A25" s="495"/>
      <c r="B25" s="496"/>
      <c r="C25" s="498"/>
      <c r="D25" s="513"/>
      <c r="E25" s="496"/>
      <c r="F25" s="496"/>
      <c r="G25" s="496"/>
      <c r="H25" s="514"/>
      <c r="I25" s="498"/>
      <c r="J25" s="496"/>
      <c r="K25" s="498"/>
      <c r="L25" s="498"/>
      <c r="M25" s="500"/>
    </row>
    <row r="26" spans="1:14" ht="18.95" customHeight="1" thickBot="1">
      <c r="A26" s="474"/>
      <c r="B26" s="474"/>
      <c r="C26" s="474"/>
      <c r="D26" s="455"/>
      <c r="E26" s="455"/>
      <c r="F26" s="455"/>
      <c r="G26" s="455"/>
      <c r="H26" s="455"/>
      <c r="I26" s="455"/>
      <c r="J26" s="455"/>
      <c r="K26" s="455"/>
      <c r="L26" s="455"/>
      <c r="M26" s="455"/>
      <c r="N26" s="455"/>
    </row>
    <row r="27" spans="1:14" ht="20.100000000000001" customHeight="1" thickBot="1">
      <c r="A27" s="515"/>
      <c r="B27" s="516"/>
      <c r="C27" s="516"/>
      <c r="D27" s="516"/>
      <c r="E27" s="516"/>
      <c r="F27" s="516"/>
      <c r="G27" s="517"/>
      <c r="H27" s="516"/>
      <c r="I27" s="516"/>
      <c r="J27" s="516"/>
      <c r="K27" s="516"/>
      <c r="L27" s="516"/>
      <c r="M27" s="518"/>
    </row>
    <row r="28" spans="1:14" ht="15.95" customHeight="1" thickTop="1">
      <c r="A28" s="519" t="s">
        <v>663</v>
      </c>
      <c r="B28" s="502"/>
      <c r="C28" s="476"/>
      <c r="D28" s="476"/>
      <c r="E28" s="505"/>
      <c r="F28" s="505"/>
      <c r="G28" s="520"/>
      <c r="H28" s="504" t="s">
        <v>664</v>
      </c>
      <c r="I28" s="505"/>
      <c r="J28" s="505"/>
      <c r="K28" s="504"/>
      <c r="L28" s="505"/>
      <c r="M28" s="508"/>
    </row>
    <row r="29" spans="1:14" ht="15.95" customHeight="1">
      <c r="A29" s="487"/>
      <c r="B29" s="479"/>
      <c r="C29" s="479" t="s">
        <v>665</v>
      </c>
      <c r="D29" s="521">
        <v>95.5</v>
      </c>
      <c r="E29" s="479"/>
      <c r="F29" s="479"/>
      <c r="G29" s="520"/>
      <c r="H29" s="491"/>
      <c r="I29" s="479"/>
      <c r="J29" s="479" t="s">
        <v>665</v>
      </c>
      <c r="K29" s="521">
        <v>90.3</v>
      </c>
      <c r="L29" s="478"/>
      <c r="M29" s="494"/>
    </row>
    <row r="30" spans="1:14" ht="15.95" customHeight="1">
      <c r="A30" s="522"/>
      <c r="B30" s="478"/>
      <c r="C30" s="479" t="s">
        <v>666</v>
      </c>
      <c r="D30" s="521">
        <v>95</v>
      </c>
      <c r="E30" s="479"/>
      <c r="F30" s="479"/>
      <c r="G30" s="520"/>
      <c r="H30" s="479"/>
      <c r="I30" s="478"/>
      <c r="J30" s="479" t="s">
        <v>666</v>
      </c>
      <c r="K30" s="521">
        <v>89.8</v>
      </c>
      <c r="L30" s="478"/>
      <c r="M30" s="494"/>
    </row>
    <row r="31" spans="1:14" ht="15.95" customHeight="1">
      <c r="A31" s="487"/>
      <c r="B31" s="479"/>
      <c r="C31" s="479" t="s">
        <v>667</v>
      </c>
      <c r="D31" s="521">
        <v>93.7</v>
      </c>
      <c r="E31" s="479"/>
      <c r="F31" s="479"/>
      <c r="G31" s="520"/>
      <c r="H31" s="479"/>
      <c r="I31" s="478"/>
      <c r="J31" s="479" t="s">
        <v>667</v>
      </c>
      <c r="K31" s="521">
        <v>86.6</v>
      </c>
      <c r="L31" s="479"/>
      <c r="M31" s="494"/>
    </row>
    <row r="32" spans="1:14" ht="15.95" customHeight="1" thickBot="1">
      <c r="A32" s="495"/>
      <c r="B32" s="496"/>
      <c r="C32" s="498"/>
      <c r="D32" s="498"/>
      <c r="E32" s="496"/>
      <c r="F32" s="496"/>
      <c r="G32" s="523"/>
      <c r="H32" s="496"/>
      <c r="I32" s="498"/>
      <c r="J32" s="496"/>
      <c r="K32" s="498"/>
      <c r="L32" s="496"/>
      <c r="M32" s="500"/>
    </row>
    <row r="33" spans="1:14" ht="20.100000000000001" customHeight="1" thickBot="1">
      <c r="A33" s="524"/>
      <c r="B33" s="524"/>
      <c r="C33" s="524"/>
      <c r="D33" s="524"/>
      <c r="E33" s="524"/>
      <c r="F33" s="524"/>
      <c r="G33" s="524"/>
      <c r="H33" s="524"/>
      <c r="I33" s="524"/>
      <c r="J33" s="524"/>
      <c r="K33" s="524"/>
      <c r="L33" s="524"/>
      <c r="M33" s="524"/>
      <c r="N33" s="524"/>
    </row>
    <row r="34" spans="1:14" ht="8.25" customHeight="1" thickBot="1">
      <c r="A34" s="525"/>
      <c r="B34" s="526"/>
      <c r="C34" s="526"/>
      <c r="D34" s="526"/>
      <c r="E34" s="526"/>
      <c r="F34" s="526"/>
      <c r="G34" s="526"/>
      <c r="H34" s="526"/>
      <c r="I34" s="526"/>
      <c r="J34" s="526"/>
      <c r="K34" s="526"/>
      <c r="L34" s="526"/>
      <c r="M34" s="527"/>
    </row>
    <row r="35" spans="1:14" ht="15.95" customHeight="1" thickTop="1">
      <c r="A35" s="528" t="s">
        <v>668</v>
      </c>
      <c r="B35" s="482"/>
      <c r="C35" s="482"/>
      <c r="D35" s="482"/>
      <c r="E35" s="482"/>
      <c r="F35" s="482"/>
      <c r="G35" s="482"/>
      <c r="H35" s="482"/>
      <c r="I35" s="482"/>
      <c r="J35" s="482"/>
      <c r="K35" s="482"/>
      <c r="L35" s="482"/>
      <c r="M35" s="529"/>
    </row>
    <row r="36" spans="1:14" ht="15.95" customHeight="1">
      <c r="A36" s="530" t="s">
        <v>669</v>
      </c>
      <c r="B36" s="531"/>
      <c r="C36" s="531"/>
      <c r="D36" s="531"/>
      <c r="E36" s="531"/>
      <c r="F36" s="531"/>
      <c r="G36" s="531"/>
      <c r="H36" s="531"/>
      <c r="I36" s="531"/>
      <c r="J36" s="531"/>
      <c r="K36" s="531"/>
      <c r="L36" s="531"/>
      <c r="M36" s="532"/>
    </row>
    <row r="37" spans="1:14" ht="15.95" customHeight="1">
      <c r="A37" s="533" t="s">
        <v>670</v>
      </c>
      <c r="B37" s="534"/>
      <c r="C37" s="534"/>
      <c r="D37" s="534"/>
      <c r="E37" s="534"/>
      <c r="F37" s="534"/>
      <c r="G37" s="534"/>
      <c r="H37" s="534"/>
      <c r="I37" s="534"/>
      <c r="J37" s="534"/>
      <c r="K37" s="534"/>
      <c r="L37" s="534"/>
      <c r="M37" s="535"/>
    </row>
    <row r="38" spans="1:14" ht="15.95" customHeight="1">
      <c r="A38" s="528" t="s">
        <v>671</v>
      </c>
      <c r="B38" s="482"/>
      <c r="C38" s="482"/>
      <c r="D38" s="482"/>
      <c r="E38" s="536"/>
      <c r="F38" s="482"/>
      <c r="G38" s="482"/>
      <c r="H38" s="482"/>
      <c r="I38" s="482"/>
      <c r="J38" s="482"/>
      <c r="K38" s="482"/>
      <c r="L38" s="482"/>
      <c r="M38" s="529"/>
    </row>
    <row r="39" spans="1:14" ht="15.95" customHeight="1">
      <c r="A39" s="522" t="s">
        <v>672</v>
      </c>
      <c r="B39" s="482"/>
      <c r="C39" s="482"/>
      <c r="D39" s="482"/>
      <c r="E39" s="482"/>
      <c r="F39" s="482"/>
      <c r="G39" s="482"/>
      <c r="H39" s="482"/>
      <c r="I39" s="482"/>
      <c r="J39" s="482"/>
      <c r="K39" s="482"/>
      <c r="L39" s="482"/>
      <c r="M39" s="529"/>
    </row>
    <row r="40" spans="1:14" ht="15.95" customHeight="1" thickBot="1">
      <c r="A40" s="537" t="s">
        <v>673</v>
      </c>
      <c r="B40" s="538"/>
      <c r="C40" s="538"/>
      <c r="D40" s="538"/>
      <c r="E40" s="538"/>
      <c r="F40" s="538"/>
      <c r="G40" s="538"/>
      <c r="H40" s="538"/>
      <c r="I40" s="538"/>
      <c r="J40" s="538"/>
      <c r="K40" s="538"/>
      <c r="L40" s="538"/>
      <c r="M40" s="539"/>
    </row>
    <row r="41" spans="1:14" ht="15.95" customHeight="1"/>
    <row r="42" spans="1:14" ht="18">
      <c r="A42" s="540"/>
      <c r="B42" s="540"/>
      <c r="C42" s="540"/>
      <c r="D42" s="540"/>
      <c r="E42" s="540"/>
      <c r="F42" s="540"/>
      <c r="G42" s="540"/>
      <c r="H42" s="455"/>
      <c r="I42" s="455"/>
      <c r="J42" s="541" t="s">
        <v>674</v>
      </c>
      <c r="K42" s="667" t="s">
        <v>728</v>
      </c>
      <c r="L42" s="667"/>
      <c r="M42" s="667"/>
      <c r="N42" s="540"/>
    </row>
    <row r="43" spans="1:14" ht="7.5" customHeight="1">
      <c r="H43" s="455"/>
      <c r="I43" s="455"/>
      <c r="J43" s="455"/>
      <c r="K43" s="455"/>
      <c r="L43" s="455"/>
      <c r="M43" s="455"/>
    </row>
    <row r="44" spans="1:14" ht="16.5">
      <c r="H44" s="455"/>
      <c r="I44" s="455"/>
      <c r="J44" s="541" t="s">
        <v>675</v>
      </c>
      <c r="K44" s="668">
        <v>44265</v>
      </c>
      <c r="L44" s="668"/>
      <c r="M44" s="668"/>
    </row>
    <row r="59" spans="1:5">
      <c r="A59" s="456" t="s">
        <v>175</v>
      </c>
      <c r="B59" s="456" t="s">
        <v>676</v>
      </c>
      <c r="D59" s="456">
        <v>1</v>
      </c>
      <c r="E59" s="542" t="s">
        <v>175</v>
      </c>
    </row>
    <row r="60" spans="1:5">
      <c r="A60" s="456" t="s">
        <v>677</v>
      </c>
      <c r="B60" s="456" t="s">
        <v>678</v>
      </c>
      <c r="D60" s="456">
        <v>1.1499999999999999</v>
      </c>
      <c r="E60" s="542" t="s">
        <v>184</v>
      </c>
    </row>
    <row r="61" spans="1:5">
      <c r="A61" s="456" t="s">
        <v>679</v>
      </c>
      <c r="B61" s="456" t="s">
        <v>680</v>
      </c>
      <c r="E61" s="542" t="s">
        <v>641</v>
      </c>
    </row>
    <row r="62" spans="1:5">
      <c r="B62" s="456" t="s">
        <v>681</v>
      </c>
    </row>
    <row r="63" spans="1:5">
      <c r="B63" s="456" t="s">
        <v>682</v>
      </c>
    </row>
    <row r="64" spans="1:5">
      <c r="B64" s="456" t="s">
        <v>683</v>
      </c>
    </row>
    <row r="65" spans="2:2">
      <c r="B65" s="456" t="s">
        <v>684</v>
      </c>
    </row>
    <row r="66" spans="2:2">
      <c r="B66" s="456" t="s">
        <v>685</v>
      </c>
    </row>
    <row r="67" spans="2:2">
      <c r="B67" s="456" t="s">
        <v>686</v>
      </c>
    </row>
    <row r="68" spans="2:2">
      <c r="B68" s="456" t="s">
        <v>687</v>
      </c>
    </row>
    <row r="69" spans="2:2">
      <c r="B69" s="456" t="s">
        <v>688</v>
      </c>
    </row>
    <row r="70" spans="2:2">
      <c r="B70" s="456" t="s">
        <v>689</v>
      </c>
    </row>
    <row r="71" spans="2:2">
      <c r="B71" s="456" t="s">
        <v>690</v>
      </c>
    </row>
    <row r="72" spans="2:2">
      <c r="B72" s="456" t="s">
        <v>691</v>
      </c>
    </row>
    <row r="73" spans="2:2">
      <c r="B73" s="456" t="s">
        <v>692</v>
      </c>
    </row>
    <row r="74" spans="2:2">
      <c r="B74" s="456" t="s">
        <v>693</v>
      </c>
    </row>
    <row r="75" spans="2:2">
      <c r="B75" s="456" t="s">
        <v>694</v>
      </c>
    </row>
    <row r="76" spans="2:2">
      <c r="B76" s="456" t="s">
        <v>695</v>
      </c>
    </row>
    <row r="77" spans="2:2">
      <c r="B77" s="456" t="s">
        <v>696</v>
      </c>
    </row>
    <row r="78" spans="2:2">
      <c r="B78" s="456" t="s">
        <v>697</v>
      </c>
    </row>
    <row r="79" spans="2:2">
      <c r="B79" s="456" t="s">
        <v>698</v>
      </c>
    </row>
    <row r="80" spans="2:2">
      <c r="B80" s="456">
        <v>6312</v>
      </c>
    </row>
    <row r="81" spans="2:2">
      <c r="B81" s="456" t="s">
        <v>699</v>
      </c>
    </row>
    <row r="82" spans="2:2">
      <c r="B82" s="456" t="s">
        <v>700</v>
      </c>
    </row>
    <row r="83" spans="2:2">
      <c r="B83" s="456" t="s">
        <v>701</v>
      </c>
    </row>
    <row r="84" spans="2:2">
      <c r="B84" s="456" t="s">
        <v>702</v>
      </c>
    </row>
    <row r="85" spans="2:2">
      <c r="B85" s="456">
        <v>6313</v>
      </c>
    </row>
    <row r="86" spans="2:2">
      <c r="B86" s="456" t="s">
        <v>703</v>
      </c>
    </row>
    <row r="87" spans="2:2">
      <c r="B87" s="456" t="s">
        <v>704</v>
      </c>
    </row>
    <row r="88" spans="2:2">
      <c r="B88" s="456" t="s">
        <v>705</v>
      </c>
    </row>
    <row r="89" spans="2:2">
      <c r="B89" s="456">
        <v>6314</v>
      </c>
    </row>
    <row r="90" spans="2:2">
      <c r="B90" s="456" t="s">
        <v>706</v>
      </c>
    </row>
    <row r="91" spans="2:2">
      <c r="B91" s="456">
        <v>6317</v>
      </c>
    </row>
    <row r="92" spans="2:2">
      <c r="B92" s="456" t="s">
        <v>707</v>
      </c>
    </row>
    <row r="93" spans="2:2">
      <c r="B93" s="456">
        <v>6318</v>
      </c>
    </row>
    <row r="94" spans="2:2">
      <c r="B94" s="456" t="s">
        <v>708</v>
      </c>
    </row>
    <row r="95" spans="2:2">
      <c r="B95" s="456" t="s">
        <v>709</v>
      </c>
    </row>
    <row r="96" spans="2:2">
      <c r="B96" s="456" t="s">
        <v>710</v>
      </c>
    </row>
    <row r="97" spans="2:2">
      <c r="B97" s="456">
        <v>6320</v>
      </c>
    </row>
    <row r="98" spans="2:2">
      <c r="B98" s="456" t="s">
        <v>711</v>
      </c>
    </row>
    <row r="99" spans="2:2">
      <c r="B99" s="456" t="s">
        <v>712</v>
      </c>
    </row>
    <row r="100" spans="2:2">
      <c r="B100" s="456" t="s">
        <v>713</v>
      </c>
    </row>
    <row r="101" spans="2:2">
      <c r="B101" s="456" t="s">
        <v>714</v>
      </c>
    </row>
    <row r="102" spans="2:2">
      <c r="B102" s="456" t="s">
        <v>714</v>
      </c>
    </row>
    <row r="118" spans="2:2">
      <c r="B118" s="456" t="s">
        <v>715</v>
      </c>
    </row>
    <row r="120" spans="2:2">
      <c r="B120" s="456" t="s">
        <v>716</v>
      </c>
    </row>
  </sheetData>
  <mergeCells count="4">
    <mergeCell ref="L22:M22"/>
    <mergeCell ref="L23:M23"/>
    <mergeCell ref="K42:M42"/>
    <mergeCell ref="K44:M44"/>
  </mergeCells>
  <dataValidations count="4">
    <dataValidation type="list" errorStyle="warning" allowBlank="1" showInputMessage="1" showErrorMessage="1" error="You should choose from the list!" prompt="Choose Enclosure Type" sqref="WVN983054 JB14 SX14 ACT14 AMP14 AWL14 BGH14 BQD14 BZZ14 CJV14 CTR14 DDN14 DNJ14 DXF14 EHB14 EQX14 FAT14 FKP14 FUL14 GEH14 GOD14 GXZ14 HHV14 HRR14 IBN14 ILJ14 IVF14 JFB14 JOX14 JYT14 KIP14 KSL14 LCH14 LMD14 LVZ14 MFV14 MPR14 MZN14 NJJ14 NTF14 ODB14 OMX14 OWT14 PGP14 PQL14 QAH14 QKD14 QTZ14 RDV14 RNR14 RXN14 SHJ14 SRF14 TBB14 TKX14 TUT14 UEP14 UOL14 UYH14 VID14 VRZ14 WBV14 WLR14 WVN14 F65550 JB65550 SX65550 ACT65550 AMP65550 AWL65550 BGH65550 BQD65550 BZZ65550 CJV65550 CTR65550 DDN65550 DNJ65550 DXF65550 EHB65550 EQX65550 FAT65550 FKP65550 FUL65550 GEH65550 GOD65550 GXZ65550 HHV65550 HRR65550 IBN65550 ILJ65550 IVF65550 JFB65550 JOX65550 JYT65550 KIP65550 KSL65550 LCH65550 LMD65550 LVZ65550 MFV65550 MPR65550 MZN65550 NJJ65550 NTF65550 ODB65550 OMX65550 OWT65550 PGP65550 PQL65550 QAH65550 QKD65550 QTZ65550 RDV65550 RNR65550 RXN65550 SHJ65550 SRF65550 TBB65550 TKX65550 TUT65550 UEP65550 UOL65550 UYH65550 VID65550 VRZ65550 WBV65550 WLR65550 WVN65550 F131086 JB131086 SX131086 ACT131086 AMP131086 AWL131086 BGH131086 BQD131086 BZZ131086 CJV131086 CTR131086 DDN131086 DNJ131086 DXF131086 EHB131086 EQX131086 FAT131086 FKP131086 FUL131086 GEH131086 GOD131086 GXZ131086 HHV131086 HRR131086 IBN131086 ILJ131086 IVF131086 JFB131086 JOX131086 JYT131086 KIP131086 KSL131086 LCH131086 LMD131086 LVZ131086 MFV131086 MPR131086 MZN131086 NJJ131086 NTF131086 ODB131086 OMX131086 OWT131086 PGP131086 PQL131086 QAH131086 QKD131086 QTZ131086 RDV131086 RNR131086 RXN131086 SHJ131086 SRF131086 TBB131086 TKX131086 TUT131086 UEP131086 UOL131086 UYH131086 VID131086 VRZ131086 WBV131086 WLR131086 WVN131086 F196622 JB196622 SX196622 ACT196622 AMP196622 AWL196622 BGH196622 BQD196622 BZZ196622 CJV196622 CTR196622 DDN196622 DNJ196622 DXF196622 EHB196622 EQX196622 FAT196622 FKP196622 FUL196622 GEH196622 GOD196622 GXZ196622 HHV196622 HRR196622 IBN196622 ILJ196622 IVF196622 JFB196622 JOX196622 JYT196622 KIP196622 KSL196622 LCH196622 LMD196622 LVZ196622 MFV196622 MPR196622 MZN196622 NJJ196622 NTF196622 ODB196622 OMX196622 OWT196622 PGP196622 PQL196622 QAH196622 QKD196622 QTZ196622 RDV196622 RNR196622 RXN196622 SHJ196622 SRF196622 TBB196622 TKX196622 TUT196622 UEP196622 UOL196622 UYH196622 VID196622 VRZ196622 WBV196622 WLR196622 WVN196622 F262158 JB262158 SX262158 ACT262158 AMP262158 AWL262158 BGH262158 BQD262158 BZZ262158 CJV262158 CTR262158 DDN262158 DNJ262158 DXF262158 EHB262158 EQX262158 FAT262158 FKP262158 FUL262158 GEH262158 GOD262158 GXZ262158 HHV262158 HRR262158 IBN262158 ILJ262158 IVF262158 JFB262158 JOX262158 JYT262158 KIP262158 KSL262158 LCH262158 LMD262158 LVZ262158 MFV262158 MPR262158 MZN262158 NJJ262158 NTF262158 ODB262158 OMX262158 OWT262158 PGP262158 PQL262158 QAH262158 QKD262158 QTZ262158 RDV262158 RNR262158 RXN262158 SHJ262158 SRF262158 TBB262158 TKX262158 TUT262158 UEP262158 UOL262158 UYH262158 VID262158 VRZ262158 WBV262158 WLR262158 WVN262158 F327694 JB327694 SX327694 ACT327694 AMP327694 AWL327694 BGH327694 BQD327694 BZZ327694 CJV327694 CTR327694 DDN327694 DNJ327694 DXF327694 EHB327694 EQX327694 FAT327694 FKP327694 FUL327694 GEH327694 GOD327694 GXZ327694 HHV327694 HRR327694 IBN327694 ILJ327694 IVF327694 JFB327694 JOX327694 JYT327694 KIP327694 KSL327694 LCH327694 LMD327694 LVZ327694 MFV327694 MPR327694 MZN327694 NJJ327694 NTF327694 ODB327694 OMX327694 OWT327694 PGP327694 PQL327694 QAH327694 QKD327694 QTZ327694 RDV327694 RNR327694 RXN327694 SHJ327694 SRF327694 TBB327694 TKX327694 TUT327694 UEP327694 UOL327694 UYH327694 VID327694 VRZ327694 WBV327694 WLR327694 WVN327694 F393230 JB393230 SX393230 ACT393230 AMP393230 AWL393230 BGH393230 BQD393230 BZZ393230 CJV393230 CTR393230 DDN393230 DNJ393230 DXF393230 EHB393230 EQX393230 FAT393230 FKP393230 FUL393230 GEH393230 GOD393230 GXZ393230 HHV393230 HRR393230 IBN393230 ILJ393230 IVF393230 JFB393230 JOX393230 JYT393230 KIP393230 KSL393230 LCH393230 LMD393230 LVZ393230 MFV393230 MPR393230 MZN393230 NJJ393230 NTF393230 ODB393230 OMX393230 OWT393230 PGP393230 PQL393230 QAH393230 QKD393230 QTZ393230 RDV393230 RNR393230 RXN393230 SHJ393230 SRF393230 TBB393230 TKX393230 TUT393230 UEP393230 UOL393230 UYH393230 VID393230 VRZ393230 WBV393230 WLR393230 WVN393230 F458766 JB458766 SX458766 ACT458766 AMP458766 AWL458766 BGH458766 BQD458766 BZZ458766 CJV458766 CTR458766 DDN458766 DNJ458766 DXF458766 EHB458766 EQX458766 FAT458766 FKP458766 FUL458766 GEH458766 GOD458766 GXZ458766 HHV458766 HRR458766 IBN458766 ILJ458766 IVF458766 JFB458766 JOX458766 JYT458766 KIP458766 KSL458766 LCH458766 LMD458766 LVZ458766 MFV458766 MPR458766 MZN458766 NJJ458766 NTF458766 ODB458766 OMX458766 OWT458766 PGP458766 PQL458766 QAH458766 QKD458766 QTZ458766 RDV458766 RNR458766 RXN458766 SHJ458766 SRF458766 TBB458766 TKX458766 TUT458766 UEP458766 UOL458766 UYH458766 VID458766 VRZ458766 WBV458766 WLR458766 WVN458766 F524302 JB524302 SX524302 ACT524302 AMP524302 AWL524302 BGH524302 BQD524302 BZZ524302 CJV524302 CTR524302 DDN524302 DNJ524302 DXF524302 EHB524302 EQX524302 FAT524302 FKP524302 FUL524302 GEH524302 GOD524302 GXZ524302 HHV524302 HRR524302 IBN524302 ILJ524302 IVF524302 JFB524302 JOX524302 JYT524302 KIP524302 KSL524302 LCH524302 LMD524302 LVZ524302 MFV524302 MPR524302 MZN524302 NJJ524302 NTF524302 ODB524302 OMX524302 OWT524302 PGP524302 PQL524302 QAH524302 QKD524302 QTZ524302 RDV524302 RNR524302 RXN524302 SHJ524302 SRF524302 TBB524302 TKX524302 TUT524302 UEP524302 UOL524302 UYH524302 VID524302 VRZ524302 WBV524302 WLR524302 WVN524302 F589838 JB589838 SX589838 ACT589838 AMP589838 AWL589838 BGH589838 BQD589838 BZZ589838 CJV589838 CTR589838 DDN589838 DNJ589838 DXF589838 EHB589838 EQX589838 FAT589838 FKP589838 FUL589838 GEH589838 GOD589838 GXZ589838 HHV589838 HRR589838 IBN589838 ILJ589838 IVF589838 JFB589838 JOX589838 JYT589838 KIP589838 KSL589838 LCH589838 LMD589838 LVZ589838 MFV589838 MPR589838 MZN589838 NJJ589838 NTF589838 ODB589838 OMX589838 OWT589838 PGP589838 PQL589838 QAH589838 QKD589838 QTZ589838 RDV589838 RNR589838 RXN589838 SHJ589838 SRF589838 TBB589838 TKX589838 TUT589838 UEP589838 UOL589838 UYH589838 VID589838 VRZ589838 WBV589838 WLR589838 WVN589838 F655374 JB655374 SX655374 ACT655374 AMP655374 AWL655374 BGH655374 BQD655374 BZZ655374 CJV655374 CTR655374 DDN655374 DNJ655374 DXF655374 EHB655374 EQX655374 FAT655374 FKP655374 FUL655374 GEH655374 GOD655374 GXZ655374 HHV655374 HRR655374 IBN655374 ILJ655374 IVF655374 JFB655374 JOX655374 JYT655374 KIP655374 KSL655374 LCH655374 LMD655374 LVZ655374 MFV655374 MPR655374 MZN655374 NJJ655374 NTF655374 ODB655374 OMX655374 OWT655374 PGP655374 PQL655374 QAH655374 QKD655374 QTZ655374 RDV655374 RNR655374 RXN655374 SHJ655374 SRF655374 TBB655374 TKX655374 TUT655374 UEP655374 UOL655374 UYH655374 VID655374 VRZ655374 WBV655374 WLR655374 WVN655374 F720910 JB720910 SX720910 ACT720910 AMP720910 AWL720910 BGH720910 BQD720910 BZZ720910 CJV720910 CTR720910 DDN720910 DNJ720910 DXF720910 EHB720910 EQX720910 FAT720910 FKP720910 FUL720910 GEH720910 GOD720910 GXZ720910 HHV720910 HRR720910 IBN720910 ILJ720910 IVF720910 JFB720910 JOX720910 JYT720910 KIP720910 KSL720910 LCH720910 LMD720910 LVZ720910 MFV720910 MPR720910 MZN720910 NJJ720910 NTF720910 ODB720910 OMX720910 OWT720910 PGP720910 PQL720910 QAH720910 QKD720910 QTZ720910 RDV720910 RNR720910 RXN720910 SHJ720910 SRF720910 TBB720910 TKX720910 TUT720910 UEP720910 UOL720910 UYH720910 VID720910 VRZ720910 WBV720910 WLR720910 WVN720910 F786446 JB786446 SX786446 ACT786446 AMP786446 AWL786446 BGH786446 BQD786446 BZZ786446 CJV786446 CTR786446 DDN786446 DNJ786446 DXF786446 EHB786446 EQX786446 FAT786446 FKP786446 FUL786446 GEH786446 GOD786446 GXZ786446 HHV786446 HRR786446 IBN786446 ILJ786446 IVF786446 JFB786446 JOX786446 JYT786446 KIP786446 KSL786446 LCH786446 LMD786446 LVZ786446 MFV786446 MPR786446 MZN786446 NJJ786446 NTF786446 ODB786446 OMX786446 OWT786446 PGP786446 PQL786446 QAH786446 QKD786446 QTZ786446 RDV786446 RNR786446 RXN786446 SHJ786446 SRF786446 TBB786446 TKX786446 TUT786446 UEP786446 UOL786446 UYH786446 VID786446 VRZ786446 WBV786446 WLR786446 WVN786446 F851982 JB851982 SX851982 ACT851982 AMP851982 AWL851982 BGH851982 BQD851982 BZZ851982 CJV851982 CTR851982 DDN851982 DNJ851982 DXF851982 EHB851982 EQX851982 FAT851982 FKP851982 FUL851982 GEH851982 GOD851982 GXZ851982 HHV851982 HRR851982 IBN851982 ILJ851982 IVF851982 JFB851982 JOX851982 JYT851982 KIP851982 KSL851982 LCH851982 LMD851982 LVZ851982 MFV851982 MPR851982 MZN851982 NJJ851982 NTF851982 ODB851982 OMX851982 OWT851982 PGP851982 PQL851982 QAH851982 QKD851982 QTZ851982 RDV851982 RNR851982 RXN851982 SHJ851982 SRF851982 TBB851982 TKX851982 TUT851982 UEP851982 UOL851982 UYH851982 VID851982 VRZ851982 WBV851982 WLR851982 WVN851982 F917518 JB917518 SX917518 ACT917518 AMP917518 AWL917518 BGH917518 BQD917518 BZZ917518 CJV917518 CTR917518 DDN917518 DNJ917518 DXF917518 EHB917518 EQX917518 FAT917518 FKP917518 FUL917518 GEH917518 GOD917518 GXZ917518 HHV917518 HRR917518 IBN917518 ILJ917518 IVF917518 JFB917518 JOX917518 JYT917518 KIP917518 KSL917518 LCH917518 LMD917518 LVZ917518 MFV917518 MPR917518 MZN917518 NJJ917518 NTF917518 ODB917518 OMX917518 OWT917518 PGP917518 PQL917518 QAH917518 QKD917518 QTZ917518 RDV917518 RNR917518 RXN917518 SHJ917518 SRF917518 TBB917518 TKX917518 TUT917518 UEP917518 UOL917518 UYH917518 VID917518 VRZ917518 WBV917518 WLR917518 WVN917518 F983054 JB983054 SX983054 ACT983054 AMP983054 AWL983054 BGH983054 BQD983054 BZZ983054 CJV983054 CTR983054 DDN983054 DNJ983054 DXF983054 EHB983054 EQX983054 FAT983054 FKP983054 FUL983054 GEH983054 GOD983054 GXZ983054 HHV983054 HRR983054 IBN983054 ILJ983054 IVF983054 JFB983054 JOX983054 JYT983054 KIP983054 KSL983054 LCH983054 LMD983054 LVZ983054 MFV983054 MPR983054 MZN983054 NJJ983054 NTF983054 ODB983054 OMX983054 OWT983054 PGP983054 PQL983054 QAH983054 QKD983054 QTZ983054 RDV983054 RNR983054 RXN983054 SHJ983054 SRF983054 TBB983054 TKX983054 TUT983054 UEP983054 UOL983054 UYH983054 VID983054 VRZ983054 WBV983054 WLR983054" xr:uid="{00000000-0002-0000-0400-000000000000}">
      <formula1>$A$59:$A$61</formula1>
    </dataValidation>
    <dataValidation type="list" allowBlank="1" showInputMessage="1" showErrorMessage="1" prompt="Choose from list" sqref="L22:L23 JH22:JH23 TD22:TD23 ACZ22:ACZ23 AMV22:AMV23 AWR22:AWR23 BGN22:BGN23 BQJ22:BQJ23 CAF22:CAF23 CKB22:CKB23 CTX22:CTX23 DDT22:DDT23 DNP22:DNP23 DXL22:DXL23 EHH22:EHH23 ERD22:ERD23 FAZ22:FAZ23 FKV22:FKV23 FUR22:FUR23 GEN22:GEN23 GOJ22:GOJ23 GYF22:GYF23 HIB22:HIB23 HRX22:HRX23 IBT22:IBT23 ILP22:ILP23 IVL22:IVL23 JFH22:JFH23 JPD22:JPD23 JYZ22:JYZ23 KIV22:KIV23 KSR22:KSR23 LCN22:LCN23 LMJ22:LMJ23 LWF22:LWF23 MGB22:MGB23 MPX22:MPX23 MZT22:MZT23 NJP22:NJP23 NTL22:NTL23 ODH22:ODH23 OND22:OND23 OWZ22:OWZ23 PGV22:PGV23 PQR22:PQR23 QAN22:QAN23 QKJ22:QKJ23 QUF22:QUF23 REB22:REB23 RNX22:RNX23 RXT22:RXT23 SHP22:SHP23 SRL22:SRL23 TBH22:TBH23 TLD22:TLD23 TUZ22:TUZ23 UEV22:UEV23 UOR22:UOR23 UYN22:UYN23 VIJ22:VIJ23 VSF22:VSF23 WCB22:WCB23 WLX22:WLX23 WVT22:WVT23 L65558:L65559 JH65558:JH65559 TD65558:TD65559 ACZ65558:ACZ65559 AMV65558:AMV65559 AWR65558:AWR65559 BGN65558:BGN65559 BQJ65558:BQJ65559 CAF65558:CAF65559 CKB65558:CKB65559 CTX65558:CTX65559 DDT65558:DDT65559 DNP65558:DNP65559 DXL65558:DXL65559 EHH65558:EHH65559 ERD65558:ERD65559 FAZ65558:FAZ65559 FKV65558:FKV65559 FUR65558:FUR65559 GEN65558:GEN65559 GOJ65558:GOJ65559 GYF65558:GYF65559 HIB65558:HIB65559 HRX65558:HRX65559 IBT65558:IBT65559 ILP65558:ILP65559 IVL65558:IVL65559 JFH65558:JFH65559 JPD65558:JPD65559 JYZ65558:JYZ65559 KIV65558:KIV65559 KSR65558:KSR65559 LCN65558:LCN65559 LMJ65558:LMJ65559 LWF65558:LWF65559 MGB65558:MGB65559 MPX65558:MPX65559 MZT65558:MZT65559 NJP65558:NJP65559 NTL65558:NTL65559 ODH65558:ODH65559 OND65558:OND65559 OWZ65558:OWZ65559 PGV65558:PGV65559 PQR65558:PQR65559 QAN65558:QAN65559 QKJ65558:QKJ65559 QUF65558:QUF65559 REB65558:REB65559 RNX65558:RNX65559 RXT65558:RXT65559 SHP65558:SHP65559 SRL65558:SRL65559 TBH65558:TBH65559 TLD65558:TLD65559 TUZ65558:TUZ65559 UEV65558:UEV65559 UOR65558:UOR65559 UYN65558:UYN65559 VIJ65558:VIJ65559 VSF65558:VSF65559 WCB65558:WCB65559 WLX65558:WLX65559 WVT65558:WVT65559 L131094:L131095 JH131094:JH131095 TD131094:TD131095 ACZ131094:ACZ131095 AMV131094:AMV131095 AWR131094:AWR131095 BGN131094:BGN131095 BQJ131094:BQJ131095 CAF131094:CAF131095 CKB131094:CKB131095 CTX131094:CTX131095 DDT131094:DDT131095 DNP131094:DNP131095 DXL131094:DXL131095 EHH131094:EHH131095 ERD131094:ERD131095 FAZ131094:FAZ131095 FKV131094:FKV131095 FUR131094:FUR131095 GEN131094:GEN131095 GOJ131094:GOJ131095 GYF131094:GYF131095 HIB131094:HIB131095 HRX131094:HRX131095 IBT131094:IBT131095 ILP131094:ILP131095 IVL131094:IVL131095 JFH131094:JFH131095 JPD131094:JPD131095 JYZ131094:JYZ131095 KIV131094:KIV131095 KSR131094:KSR131095 LCN131094:LCN131095 LMJ131094:LMJ131095 LWF131094:LWF131095 MGB131094:MGB131095 MPX131094:MPX131095 MZT131094:MZT131095 NJP131094:NJP131095 NTL131094:NTL131095 ODH131094:ODH131095 OND131094:OND131095 OWZ131094:OWZ131095 PGV131094:PGV131095 PQR131094:PQR131095 QAN131094:QAN131095 QKJ131094:QKJ131095 QUF131094:QUF131095 REB131094:REB131095 RNX131094:RNX131095 RXT131094:RXT131095 SHP131094:SHP131095 SRL131094:SRL131095 TBH131094:TBH131095 TLD131094:TLD131095 TUZ131094:TUZ131095 UEV131094:UEV131095 UOR131094:UOR131095 UYN131094:UYN131095 VIJ131094:VIJ131095 VSF131094:VSF131095 WCB131094:WCB131095 WLX131094:WLX131095 WVT131094:WVT131095 L196630:L196631 JH196630:JH196631 TD196630:TD196631 ACZ196630:ACZ196631 AMV196630:AMV196631 AWR196630:AWR196631 BGN196630:BGN196631 BQJ196630:BQJ196631 CAF196630:CAF196631 CKB196630:CKB196631 CTX196630:CTX196631 DDT196630:DDT196631 DNP196630:DNP196631 DXL196630:DXL196631 EHH196630:EHH196631 ERD196630:ERD196631 FAZ196630:FAZ196631 FKV196630:FKV196631 FUR196630:FUR196631 GEN196630:GEN196631 GOJ196630:GOJ196631 GYF196630:GYF196631 HIB196630:HIB196631 HRX196630:HRX196631 IBT196630:IBT196631 ILP196630:ILP196631 IVL196630:IVL196631 JFH196630:JFH196631 JPD196630:JPD196631 JYZ196630:JYZ196631 KIV196630:KIV196631 KSR196630:KSR196631 LCN196630:LCN196631 LMJ196630:LMJ196631 LWF196630:LWF196631 MGB196630:MGB196631 MPX196630:MPX196631 MZT196630:MZT196631 NJP196630:NJP196631 NTL196630:NTL196631 ODH196630:ODH196631 OND196630:OND196631 OWZ196630:OWZ196631 PGV196630:PGV196631 PQR196630:PQR196631 QAN196630:QAN196631 QKJ196630:QKJ196631 QUF196630:QUF196631 REB196630:REB196631 RNX196630:RNX196631 RXT196630:RXT196631 SHP196630:SHP196631 SRL196630:SRL196631 TBH196630:TBH196631 TLD196630:TLD196631 TUZ196630:TUZ196631 UEV196630:UEV196631 UOR196630:UOR196631 UYN196630:UYN196631 VIJ196630:VIJ196631 VSF196630:VSF196631 WCB196630:WCB196631 WLX196630:WLX196631 WVT196630:WVT196631 L262166:L262167 JH262166:JH262167 TD262166:TD262167 ACZ262166:ACZ262167 AMV262166:AMV262167 AWR262166:AWR262167 BGN262166:BGN262167 BQJ262166:BQJ262167 CAF262166:CAF262167 CKB262166:CKB262167 CTX262166:CTX262167 DDT262166:DDT262167 DNP262166:DNP262167 DXL262166:DXL262167 EHH262166:EHH262167 ERD262166:ERD262167 FAZ262166:FAZ262167 FKV262166:FKV262167 FUR262166:FUR262167 GEN262166:GEN262167 GOJ262166:GOJ262167 GYF262166:GYF262167 HIB262166:HIB262167 HRX262166:HRX262167 IBT262166:IBT262167 ILP262166:ILP262167 IVL262166:IVL262167 JFH262166:JFH262167 JPD262166:JPD262167 JYZ262166:JYZ262167 KIV262166:KIV262167 KSR262166:KSR262167 LCN262166:LCN262167 LMJ262166:LMJ262167 LWF262166:LWF262167 MGB262166:MGB262167 MPX262166:MPX262167 MZT262166:MZT262167 NJP262166:NJP262167 NTL262166:NTL262167 ODH262166:ODH262167 OND262166:OND262167 OWZ262166:OWZ262167 PGV262166:PGV262167 PQR262166:PQR262167 QAN262166:QAN262167 QKJ262166:QKJ262167 QUF262166:QUF262167 REB262166:REB262167 RNX262166:RNX262167 RXT262166:RXT262167 SHP262166:SHP262167 SRL262166:SRL262167 TBH262166:TBH262167 TLD262166:TLD262167 TUZ262166:TUZ262167 UEV262166:UEV262167 UOR262166:UOR262167 UYN262166:UYN262167 VIJ262166:VIJ262167 VSF262166:VSF262167 WCB262166:WCB262167 WLX262166:WLX262167 WVT262166:WVT262167 L327702:L327703 JH327702:JH327703 TD327702:TD327703 ACZ327702:ACZ327703 AMV327702:AMV327703 AWR327702:AWR327703 BGN327702:BGN327703 BQJ327702:BQJ327703 CAF327702:CAF327703 CKB327702:CKB327703 CTX327702:CTX327703 DDT327702:DDT327703 DNP327702:DNP327703 DXL327702:DXL327703 EHH327702:EHH327703 ERD327702:ERD327703 FAZ327702:FAZ327703 FKV327702:FKV327703 FUR327702:FUR327703 GEN327702:GEN327703 GOJ327702:GOJ327703 GYF327702:GYF327703 HIB327702:HIB327703 HRX327702:HRX327703 IBT327702:IBT327703 ILP327702:ILP327703 IVL327702:IVL327703 JFH327702:JFH327703 JPD327702:JPD327703 JYZ327702:JYZ327703 KIV327702:KIV327703 KSR327702:KSR327703 LCN327702:LCN327703 LMJ327702:LMJ327703 LWF327702:LWF327703 MGB327702:MGB327703 MPX327702:MPX327703 MZT327702:MZT327703 NJP327702:NJP327703 NTL327702:NTL327703 ODH327702:ODH327703 OND327702:OND327703 OWZ327702:OWZ327703 PGV327702:PGV327703 PQR327702:PQR327703 QAN327702:QAN327703 QKJ327702:QKJ327703 QUF327702:QUF327703 REB327702:REB327703 RNX327702:RNX327703 RXT327702:RXT327703 SHP327702:SHP327703 SRL327702:SRL327703 TBH327702:TBH327703 TLD327702:TLD327703 TUZ327702:TUZ327703 UEV327702:UEV327703 UOR327702:UOR327703 UYN327702:UYN327703 VIJ327702:VIJ327703 VSF327702:VSF327703 WCB327702:WCB327703 WLX327702:WLX327703 WVT327702:WVT327703 L393238:L393239 JH393238:JH393239 TD393238:TD393239 ACZ393238:ACZ393239 AMV393238:AMV393239 AWR393238:AWR393239 BGN393238:BGN393239 BQJ393238:BQJ393239 CAF393238:CAF393239 CKB393238:CKB393239 CTX393238:CTX393239 DDT393238:DDT393239 DNP393238:DNP393239 DXL393238:DXL393239 EHH393238:EHH393239 ERD393238:ERD393239 FAZ393238:FAZ393239 FKV393238:FKV393239 FUR393238:FUR393239 GEN393238:GEN393239 GOJ393238:GOJ393239 GYF393238:GYF393239 HIB393238:HIB393239 HRX393238:HRX393239 IBT393238:IBT393239 ILP393238:ILP393239 IVL393238:IVL393239 JFH393238:JFH393239 JPD393238:JPD393239 JYZ393238:JYZ393239 KIV393238:KIV393239 KSR393238:KSR393239 LCN393238:LCN393239 LMJ393238:LMJ393239 LWF393238:LWF393239 MGB393238:MGB393239 MPX393238:MPX393239 MZT393238:MZT393239 NJP393238:NJP393239 NTL393238:NTL393239 ODH393238:ODH393239 OND393238:OND393239 OWZ393238:OWZ393239 PGV393238:PGV393239 PQR393238:PQR393239 QAN393238:QAN393239 QKJ393238:QKJ393239 QUF393238:QUF393239 REB393238:REB393239 RNX393238:RNX393239 RXT393238:RXT393239 SHP393238:SHP393239 SRL393238:SRL393239 TBH393238:TBH393239 TLD393238:TLD393239 TUZ393238:TUZ393239 UEV393238:UEV393239 UOR393238:UOR393239 UYN393238:UYN393239 VIJ393238:VIJ393239 VSF393238:VSF393239 WCB393238:WCB393239 WLX393238:WLX393239 WVT393238:WVT393239 L458774:L458775 JH458774:JH458775 TD458774:TD458775 ACZ458774:ACZ458775 AMV458774:AMV458775 AWR458774:AWR458775 BGN458774:BGN458775 BQJ458774:BQJ458775 CAF458774:CAF458775 CKB458774:CKB458775 CTX458774:CTX458775 DDT458774:DDT458775 DNP458774:DNP458775 DXL458774:DXL458775 EHH458774:EHH458775 ERD458774:ERD458775 FAZ458774:FAZ458775 FKV458774:FKV458775 FUR458774:FUR458775 GEN458774:GEN458775 GOJ458774:GOJ458775 GYF458774:GYF458775 HIB458774:HIB458775 HRX458774:HRX458775 IBT458774:IBT458775 ILP458774:ILP458775 IVL458774:IVL458775 JFH458774:JFH458775 JPD458774:JPD458775 JYZ458774:JYZ458775 KIV458774:KIV458775 KSR458774:KSR458775 LCN458774:LCN458775 LMJ458774:LMJ458775 LWF458774:LWF458775 MGB458774:MGB458775 MPX458774:MPX458775 MZT458774:MZT458775 NJP458774:NJP458775 NTL458774:NTL458775 ODH458774:ODH458775 OND458774:OND458775 OWZ458774:OWZ458775 PGV458774:PGV458775 PQR458774:PQR458775 QAN458774:QAN458775 QKJ458774:QKJ458775 QUF458774:QUF458775 REB458774:REB458775 RNX458774:RNX458775 RXT458774:RXT458775 SHP458774:SHP458775 SRL458774:SRL458775 TBH458774:TBH458775 TLD458774:TLD458775 TUZ458774:TUZ458775 UEV458774:UEV458775 UOR458774:UOR458775 UYN458774:UYN458775 VIJ458774:VIJ458775 VSF458774:VSF458775 WCB458774:WCB458775 WLX458774:WLX458775 WVT458774:WVT458775 L524310:L524311 JH524310:JH524311 TD524310:TD524311 ACZ524310:ACZ524311 AMV524310:AMV524311 AWR524310:AWR524311 BGN524310:BGN524311 BQJ524310:BQJ524311 CAF524310:CAF524311 CKB524310:CKB524311 CTX524310:CTX524311 DDT524310:DDT524311 DNP524310:DNP524311 DXL524310:DXL524311 EHH524310:EHH524311 ERD524310:ERD524311 FAZ524310:FAZ524311 FKV524310:FKV524311 FUR524310:FUR524311 GEN524310:GEN524311 GOJ524310:GOJ524311 GYF524310:GYF524311 HIB524310:HIB524311 HRX524310:HRX524311 IBT524310:IBT524311 ILP524310:ILP524311 IVL524310:IVL524311 JFH524310:JFH524311 JPD524310:JPD524311 JYZ524310:JYZ524311 KIV524310:KIV524311 KSR524310:KSR524311 LCN524310:LCN524311 LMJ524310:LMJ524311 LWF524310:LWF524311 MGB524310:MGB524311 MPX524310:MPX524311 MZT524310:MZT524311 NJP524310:NJP524311 NTL524310:NTL524311 ODH524310:ODH524311 OND524310:OND524311 OWZ524310:OWZ524311 PGV524310:PGV524311 PQR524310:PQR524311 QAN524310:QAN524311 QKJ524310:QKJ524311 QUF524310:QUF524311 REB524310:REB524311 RNX524310:RNX524311 RXT524310:RXT524311 SHP524310:SHP524311 SRL524310:SRL524311 TBH524310:TBH524311 TLD524310:TLD524311 TUZ524310:TUZ524311 UEV524310:UEV524311 UOR524310:UOR524311 UYN524310:UYN524311 VIJ524310:VIJ524311 VSF524310:VSF524311 WCB524310:WCB524311 WLX524310:WLX524311 WVT524310:WVT524311 L589846:L589847 JH589846:JH589847 TD589846:TD589847 ACZ589846:ACZ589847 AMV589846:AMV589847 AWR589846:AWR589847 BGN589846:BGN589847 BQJ589846:BQJ589847 CAF589846:CAF589847 CKB589846:CKB589847 CTX589846:CTX589847 DDT589846:DDT589847 DNP589846:DNP589847 DXL589846:DXL589847 EHH589846:EHH589847 ERD589846:ERD589847 FAZ589846:FAZ589847 FKV589846:FKV589847 FUR589846:FUR589847 GEN589846:GEN589847 GOJ589846:GOJ589847 GYF589846:GYF589847 HIB589846:HIB589847 HRX589846:HRX589847 IBT589846:IBT589847 ILP589846:ILP589847 IVL589846:IVL589847 JFH589846:JFH589847 JPD589846:JPD589847 JYZ589846:JYZ589847 KIV589846:KIV589847 KSR589846:KSR589847 LCN589846:LCN589847 LMJ589846:LMJ589847 LWF589846:LWF589847 MGB589846:MGB589847 MPX589846:MPX589847 MZT589846:MZT589847 NJP589846:NJP589847 NTL589846:NTL589847 ODH589846:ODH589847 OND589846:OND589847 OWZ589846:OWZ589847 PGV589846:PGV589847 PQR589846:PQR589847 QAN589846:QAN589847 QKJ589846:QKJ589847 QUF589846:QUF589847 REB589846:REB589847 RNX589846:RNX589847 RXT589846:RXT589847 SHP589846:SHP589847 SRL589846:SRL589847 TBH589846:TBH589847 TLD589846:TLD589847 TUZ589846:TUZ589847 UEV589846:UEV589847 UOR589846:UOR589847 UYN589846:UYN589847 VIJ589846:VIJ589847 VSF589846:VSF589847 WCB589846:WCB589847 WLX589846:WLX589847 WVT589846:WVT589847 L655382:L655383 JH655382:JH655383 TD655382:TD655383 ACZ655382:ACZ655383 AMV655382:AMV655383 AWR655382:AWR655383 BGN655382:BGN655383 BQJ655382:BQJ655383 CAF655382:CAF655383 CKB655382:CKB655383 CTX655382:CTX655383 DDT655382:DDT655383 DNP655382:DNP655383 DXL655382:DXL655383 EHH655382:EHH655383 ERD655382:ERD655383 FAZ655382:FAZ655383 FKV655382:FKV655383 FUR655382:FUR655383 GEN655382:GEN655383 GOJ655382:GOJ655383 GYF655382:GYF655383 HIB655382:HIB655383 HRX655382:HRX655383 IBT655382:IBT655383 ILP655382:ILP655383 IVL655382:IVL655383 JFH655382:JFH655383 JPD655382:JPD655383 JYZ655382:JYZ655383 KIV655382:KIV655383 KSR655382:KSR655383 LCN655382:LCN655383 LMJ655382:LMJ655383 LWF655382:LWF655383 MGB655382:MGB655383 MPX655382:MPX655383 MZT655382:MZT655383 NJP655382:NJP655383 NTL655382:NTL655383 ODH655382:ODH655383 OND655382:OND655383 OWZ655382:OWZ655383 PGV655382:PGV655383 PQR655382:PQR655383 QAN655382:QAN655383 QKJ655382:QKJ655383 QUF655382:QUF655383 REB655382:REB655383 RNX655382:RNX655383 RXT655382:RXT655383 SHP655382:SHP655383 SRL655382:SRL655383 TBH655382:TBH655383 TLD655382:TLD655383 TUZ655382:TUZ655383 UEV655382:UEV655383 UOR655382:UOR655383 UYN655382:UYN655383 VIJ655382:VIJ655383 VSF655382:VSF655383 WCB655382:WCB655383 WLX655382:WLX655383 WVT655382:WVT655383 L720918:L720919 JH720918:JH720919 TD720918:TD720919 ACZ720918:ACZ720919 AMV720918:AMV720919 AWR720918:AWR720919 BGN720918:BGN720919 BQJ720918:BQJ720919 CAF720918:CAF720919 CKB720918:CKB720919 CTX720918:CTX720919 DDT720918:DDT720919 DNP720918:DNP720919 DXL720918:DXL720919 EHH720918:EHH720919 ERD720918:ERD720919 FAZ720918:FAZ720919 FKV720918:FKV720919 FUR720918:FUR720919 GEN720918:GEN720919 GOJ720918:GOJ720919 GYF720918:GYF720919 HIB720918:HIB720919 HRX720918:HRX720919 IBT720918:IBT720919 ILP720918:ILP720919 IVL720918:IVL720919 JFH720918:JFH720919 JPD720918:JPD720919 JYZ720918:JYZ720919 KIV720918:KIV720919 KSR720918:KSR720919 LCN720918:LCN720919 LMJ720918:LMJ720919 LWF720918:LWF720919 MGB720918:MGB720919 MPX720918:MPX720919 MZT720918:MZT720919 NJP720918:NJP720919 NTL720918:NTL720919 ODH720918:ODH720919 OND720918:OND720919 OWZ720918:OWZ720919 PGV720918:PGV720919 PQR720918:PQR720919 QAN720918:QAN720919 QKJ720918:QKJ720919 QUF720918:QUF720919 REB720918:REB720919 RNX720918:RNX720919 RXT720918:RXT720919 SHP720918:SHP720919 SRL720918:SRL720919 TBH720918:TBH720919 TLD720918:TLD720919 TUZ720918:TUZ720919 UEV720918:UEV720919 UOR720918:UOR720919 UYN720918:UYN720919 VIJ720918:VIJ720919 VSF720918:VSF720919 WCB720918:WCB720919 WLX720918:WLX720919 WVT720918:WVT720919 L786454:L786455 JH786454:JH786455 TD786454:TD786455 ACZ786454:ACZ786455 AMV786454:AMV786455 AWR786454:AWR786455 BGN786454:BGN786455 BQJ786454:BQJ786455 CAF786454:CAF786455 CKB786454:CKB786455 CTX786454:CTX786455 DDT786454:DDT786455 DNP786454:DNP786455 DXL786454:DXL786455 EHH786454:EHH786455 ERD786454:ERD786455 FAZ786454:FAZ786455 FKV786454:FKV786455 FUR786454:FUR786455 GEN786454:GEN786455 GOJ786454:GOJ786455 GYF786454:GYF786455 HIB786454:HIB786455 HRX786454:HRX786455 IBT786454:IBT786455 ILP786454:ILP786455 IVL786454:IVL786455 JFH786454:JFH786455 JPD786454:JPD786455 JYZ786454:JYZ786455 KIV786454:KIV786455 KSR786454:KSR786455 LCN786454:LCN786455 LMJ786454:LMJ786455 LWF786454:LWF786455 MGB786454:MGB786455 MPX786454:MPX786455 MZT786454:MZT786455 NJP786454:NJP786455 NTL786454:NTL786455 ODH786454:ODH786455 OND786454:OND786455 OWZ786454:OWZ786455 PGV786454:PGV786455 PQR786454:PQR786455 QAN786454:QAN786455 QKJ786454:QKJ786455 QUF786454:QUF786455 REB786454:REB786455 RNX786454:RNX786455 RXT786454:RXT786455 SHP786454:SHP786455 SRL786454:SRL786455 TBH786454:TBH786455 TLD786454:TLD786455 TUZ786454:TUZ786455 UEV786454:UEV786455 UOR786454:UOR786455 UYN786454:UYN786455 VIJ786454:VIJ786455 VSF786454:VSF786455 WCB786454:WCB786455 WLX786454:WLX786455 WVT786454:WVT786455 L851990:L851991 JH851990:JH851991 TD851990:TD851991 ACZ851990:ACZ851991 AMV851990:AMV851991 AWR851990:AWR851991 BGN851990:BGN851991 BQJ851990:BQJ851991 CAF851990:CAF851991 CKB851990:CKB851991 CTX851990:CTX851991 DDT851990:DDT851991 DNP851990:DNP851991 DXL851990:DXL851991 EHH851990:EHH851991 ERD851990:ERD851991 FAZ851990:FAZ851991 FKV851990:FKV851991 FUR851990:FUR851991 GEN851990:GEN851991 GOJ851990:GOJ851991 GYF851990:GYF851991 HIB851990:HIB851991 HRX851990:HRX851991 IBT851990:IBT851991 ILP851990:ILP851991 IVL851990:IVL851991 JFH851990:JFH851991 JPD851990:JPD851991 JYZ851990:JYZ851991 KIV851990:KIV851991 KSR851990:KSR851991 LCN851990:LCN851991 LMJ851990:LMJ851991 LWF851990:LWF851991 MGB851990:MGB851991 MPX851990:MPX851991 MZT851990:MZT851991 NJP851990:NJP851991 NTL851990:NTL851991 ODH851990:ODH851991 OND851990:OND851991 OWZ851990:OWZ851991 PGV851990:PGV851991 PQR851990:PQR851991 QAN851990:QAN851991 QKJ851990:QKJ851991 QUF851990:QUF851991 REB851990:REB851991 RNX851990:RNX851991 RXT851990:RXT851991 SHP851990:SHP851991 SRL851990:SRL851991 TBH851990:TBH851991 TLD851990:TLD851991 TUZ851990:TUZ851991 UEV851990:UEV851991 UOR851990:UOR851991 UYN851990:UYN851991 VIJ851990:VIJ851991 VSF851990:VSF851991 WCB851990:WCB851991 WLX851990:WLX851991 WVT851990:WVT851991 L917526:L917527 JH917526:JH917527 TD917526:TD917527 ACZ917526:ACZ917527 AMV917526:AMV917527 AWR917526:AWR917527 BGN917526:BGN917527 BQJ917526:BQJ917527 CAF917526:CAF917527 CKB917526:CKB917527 CTX917526:CTX917527 DDT917526:DDT917527 DNP917526:DNP917527 DXL917526:DXL917527 EHH917526:EHH917527 ERD917526:ERD917527 FAZ917526:FAZ917527 FKV917526:FKV917527 FUR917526:FUR917527 GEN917526:GEN917527 GOJ917526:GOJ917527 GYF917526:GYF917527 HIB917526:HIB917527 HRX917526:HRX917527 IBT917526:IBT917527 ILP917526:ILP917527 IVL917526:IVL917527 JFH917526:JFH917527 JPD917526:JPD917527 JYZ917526:JYZ917527 KIV917526:KIV917527 KSR917526:KSR917527 LCN917526:LCN917527 LMJ917526:LMJ917527 LWF917526:LWF917527 MGB917526:MGB917527 MPX917526:MPX917527 MZT917526:MZT917527 NJP917526:NJP917527 NTL917526:NTL917527 ODH917526:ODH917527 OND917526:OND917527 OWZ917526:OWZ917527 PGV917526:PGV917527 PQR917526:PQR917527 QAN917526:QAN917527 QKJ917526:QKJ917527 QUF917526:QUF917527 REB917526:REB917527 RNX917526:RNX917527 RXT917526:RXT917527 SHP917526:SHP917527 SRL917526:SRL917527 TBH917526:TBH917527 TLD917526:TLD917527 TUZ917526:TUZ917527 UEV917526:UEV917527 UOR917526:UOR917527 UYN917526:UYN917527 VIJ917526:VIJ917527 VSF917526:VSF917527 WCB917526:WCB917527 WLX917526:WLX917527 WVT917526:WVT917527 L983062:L983063 JH983062:JH983063 TD983062:TD983063 ACZ983062:ACZ983063 AMV983062:AMV983063 AWR983062:AWR983063 BGN983062:BGN983063 BQJ983062:BQJ983063 CAF983062:CAF983063 CKB983062:CKB983063 CTX983062:CTX983063 DDT983062:DDT983063 DNP983062:DNP983063 DXL983062:DXL983063 EHH983062:EHH983063 ERD983062:ERD983063 FAZ983062:FAZ983063 FKV983062:FKV983063 FUR983062:FUR983063 GEN983062:GEN983063 GOJ983062:GOJ983063 GYF983062:GYF983063 HIB983062:HIB983063 HRX983062:HRX983063 IBT983062:IBT983063 ILP983062:ILP983063 IVL983062:IVL983063 JFH983062:JFH983063 JPD983062:JPD983063 JYZ983062:JYZ983063 KIV983062:KIV983063 KSR983062:KSR983063 LCN983062:LCN983063 LMJ983062:LMJ983063 LWF983062:LWF983063 MGB983062:MGB983063 MPX983062:MPX983063 MZT983062:MZT983063 NJP983062:NJP983063 NTL983062:NTL983063 ODH983062:ODH983063 OND983062:OND983063 OWZ983062:OWZ983063 PGV983062:PGV983063 PQR983062:PQR983063 QAN983062:QAN983063 QKJ983062:QKJ983063 QUF983062:QUF983063 REB983062:REB983063 RNX983062:RNX983063 RXT983062:RXT983063 SHP983062:SHP983063 SRL983062:SRL983063 TBH983062:TBH983063 TLD983062:TLD983063 TUZ983062:TUZ983063 UEV983062:UEV983063 UOR983062:UOR983063 UYN983062:UYN983063 VIJ983062:VIJ983063 VSF983062:VSF983063 WCB983062:WCB983063 WLX983062:WLX983063 WVT983062:WVT983063" xr:uid="{00000000-0002-0000-0400-000001000000}">
      <formula1>$B$59:$B$102</formula1>
    </dataValidation>
    <dataValidation type="list" allowBlank="1" showInputMessage="1" showErrorMessage="1" prompt="Pick from list" sqref="WVN983055 JB15 SX15 ACT15 AMP15 AWL15 BGH15 BQD15 BZZ15 CJV15 CTR15 DDN15 DNJ15 DXF15 EHB15 EQX15 FAT15 FKP15 FUL15 GEH15 GOD15 GXZ15 HHV15 HRR15 IBN15 ILJ15 IVF15 JFB15 JOX15 JYT15 KIP15 KSL15 LCH15 LMD15 LVZ15 MFV15 MPR15 MZN15 NJJ15 NTF15 ODB15 OMX15 OWT15 PGP15 PQL15 QAH15 QKD15 QTZ15 RDV15 RNR15 RXN15 SHJ15 SRF15 TBB15 TKX15 TUT15 UEP15 UOL15 UYH15 VID15 VRZ15 WBV15 WLR15 WVN15 F65551 JB65551 SX65551 ACT65551 AMP65551 AWL65551 BGH65551 BQD65551 BZZ65551 CJV65551 CTR65551 DDN65551 DNJ65551 DXF65551 EHB65551 EQX65551 FAT65551 FKP65551 FUL65551 GEH65551 GOD65551 GXZ65551 HHV65551 HRR65551 IBN65551 ILJ65551 IVF65551 JFB65551 JOX65551 JYT65551 KIP65551 KSL65551 LCH65551 LMD65551 LVZ65551 MFV65551 MPR65551 MZN65551 NJJ65551 NTF65551 ODB65551 OMX65551 OWT65551 PGP65551 PQL65551 QAH65551 QKD65551 QTZ65551 RDV65551 RNR65551 RXN65551 SHJ65551 SRF65551 TBB65551 TKX65551 TUT65551 UEP65551 UOL65551 UYH65551 VID65551 VRZ65551 WBV65551 WLR65551 WVN65551 F131087 JB131087 SX131087 ACT131087 AMP131087 AWL131087 BGH131087 BQD131087 BZZ131087 CJV131087 CTR131087 DDN131087 DNJ131087 DXF131087 EHB131087 EQX131087 FAT131087 FKP131087 FUL131087 GEH131087 GOD131087 GXZ131087 HHV131087 HRR131087 IBN131087 ILJ131087 IVF131087 JFB131087 JOX131087 JYT131087 KIP131087 KSL131087 LCH131087 LMD131087 LVZ131087 MFV131087 MPR131087 MZN131087 NJJ131087 NTF131087 ODB131087 OMX131087 OWT131087 PGP131087 PQL131087 QAH131087 QKD131087 QTZ131087 RDV131087 RNR131087 RXN131087 SHJ131087 SRF131087 TBB131087 TKX131087 TUT131087 UEP131087 UOL131087 UYH131087 VID131087 VRZ131087 WBV131087 WLR131087 WVN131087 F196623 JB196623 SX196623 ACT196623 AMP196623 AWL196623 BGH196623 BQD196623 BZZ196623 CJV196623 CTR196623 DDN196623 DNJ196623 DXF196623 EHB196623 EQX196623 FAT196623 FKP196623 FUL196623 GEH196623 GOD196623 GXZ196623 HHV196623 HRR196623 IBN196623 ILJ196623 IVF196623 JFB196623 JOX196623 JYT196623 KIP196623 KSL196623 LCH196623 LMD196623 LVZ196623 MFV196623 MPR196623 MZN196623 NJJ196623 NTF196623 ODB196623 OMX196623 OWT196623 PGP196623 PQL196623 QAH196623 QKD196623 QTZ196623 RDV196623 RNR196623 RXN196623 SHJ196623 SRF196623 TBB196623 TKX196623 TUT196623 UEP196623 UOL196623 UYH196623 VID196623 VRZ196623 WBV196623 WLR196623 WVN196623 F262159 JB262159 SX262159 ACT262159 AMP262159 AWL262159 BGH262159 BQD262159 BZZ262159 CJV262159 CTR262159 DDN262159 DNJ262159 DXF262159 EHB262159 EQX262159 FAT262159 FKP262159 FUL262159 GEH262159 GOD262159 GXZ262159 HHV262159 HRR262159 IBN262159 ILJ262159 IVF262159 JFB262159 JOX262159 JYT262159 KIP262159 KSL262159 LCH262159 LMD262159 LVZ262159 MFV262159 MPR262159 MZN262159 NJJ262159 NTF262159 ODB262159 OMX262159 OWT262159 PGP262159 PQL262159 QAH262159 QKD262159 QTZ262159 RDV262159 RNR262159 RXN262159 SHJ262159 SRF262159 TBB262159 TKX262159 TUT262159 UEP262159 UOL262159 UYH262159 VID262159 VRZ262159 WBV262159 WLR262159 WVN262159 F327695 JB327695 SX327695 ACT327695 AMP327695 AWL327695 BGH327695 BQD327695 BZZ327695 CJV327695 CTR327695 DDN327695 DNJ327695 DXF327695 EHB327695 EQX327695 FAT327695 FKP327695 FUL327695 GEH327695 GOD327695 GXZ327695 HHV327695 HRR327695 IBN327695 ILJ327695 IVF327695 JFB327695 JOX327695 JYT327695 KIP327695 KSL327695 LCH327695 LMD327695 LVZ327695 MFV327695 MPR327695 MZN327695 NJJ327695 NTF327695 ODB327695 OMX327695 OWT327695 PGP327695 PQL327695 QAH327695 QKD327695 QTZ327695 RDV327695 RNR327695 RXN327695 SHJ327695 SRF327695 TBB327695 TKX327695 TUT327695 UEP327695 UOL327695 UYH327695 VID327695 VRZ327695 WBV327695 WLR327695 WVN327695 F393231 JB393231 SX393231 ACT393231 AMP393231 AWL393231 BGH393231 BQD393231 BZZ393231 CJV393231 CTR393231 DDN393231 DNJ393231 DXF393231 EHB393231 EQX393231 FAT393231 FKP393231 FUL393231 GEH393231 GOD393231 GXZ393231 HHV393231 HRR393231 IBN393231 ILJ393231 IVF393231 JFB393231 JOX393231 JYT393231 KIP393231 KSL393231 LCH393231 LMD393231 LVZ393231 MFV393231 MPR393231 MZN393231 NJJ393231 NTF393231 ODB393231 OMX393231 OWT393231 PGP393231 PQL393231 QAH393231 QKD393231 QTZ393231 RDV393231 RNR393231 RXN393231 SHJ393231 SRF393231 TBB393231 TKX393231 TUT393231 UEP393231 UOL393231 UYH393231 VID393231 VRZ393231 WBV393231 WLR393231 WVN393231 F458767 JB458767 SX458767 ACT458767 AMP458767 AWL458767 BGH458767 BQD458767 BZZ458767 CJV458767 CTR458767 DDN458767 DNJ458767 DXF458767 EHB458767 EQX458767 FAT458767 FKP458767 FUL458767 GEH458767 GOD458767 GXZ458767 HHV458767 HRR458767 IBN458767 ILJ458767 IVF458767 JFB458767 JOX458767 JYT458767 KIP458767 KSL458767 LCH458767 LMD458767 LVZ458767 MFV458767 MPR458767 MZN458767 NJJ458767 NTF458767 ODB458767 OMX458767 OWT458767 PGP458767 PQL458767 QAH458767 QKD458767 QTZ458767 RDV458767 RNR458767 RXN458767 SHJ458767 SRF458767 TBB458767 TKX458767 TUT458767 UEP458767 UOL458767 UYH458767 VID458767 VRZ458767 WBV458767 WLR458767 WVN458767 F524303 JB524303 SX524303 ACT524303 AMP524303 AWL524303 BGH524303 BQD524303 BZZ524303 CJV524303 CTR524303 DDN524303 DNJ524303 DXF524303 EHB524303 EQX524303 FAT524303 FKP524303 FUL524303 GEH524303 GOD524303 GXZ524303 HHV524303 HRR524303 IBN524303 ILJ524303 IVF524303 JFB524303 JOX524303 JYT524303 KIP524303 KSL524303 LCH524303 LMD524303 LVZ524303 MFV524303 MPR524303 MZN524303 NJJ524303 NTF524303 ODB524303 OMX524303 OWT524303 PGP524303 PQL524303 QAH524303 QKD524303 QTZ524303 RDV524303 RNR524303 RXN524303 SHJ524303 SRF524303 TBB524303 TKX524303 TUT524303 UEP524303 UOL524303 UYH524303 VID524303 VRZ524303 WBV524303 WLR524303 WVN524303 F589839 JB589839 SX589839 ACT589839 AMP589839 AWL589839 BGH589839 BQD589839 BZZ589839 CJV589839 CTR589839 DDN589839 DNJ589839 DXF589839 EHB589839 EQX589839 FAT589839 FKP589839 FUL589839 GEH589839 GOD589839 GXZ589839 HHV589839 HRR589839 IBN589839 ILJ589839 IVF589839 JFB589839 JOX589839 JYT589839 KIP589839 KSL589839 LCH589839 LMD589839 LVZ589839 MFV589839 MPR589839 MZN589839 NJJ589839 NTF589839 ODB589839 OMX589839 OWT589839 PGP589839 PQL589839 QAH589839 QKD589839 QTZ589839 RDV589839 RNR589839 RXN589839 SHJ589839 SRF589839 TBB589839 TKX589839 TUT589839 UEP589839 UOL589839 UYH589839 VID589839 VRZ589839 WBV589839 WLR589839 WVN589839 F655375 JB655375 SX655375 ACT655375 AMP655375 AWL655375 BGH655375 BQD655375 BZZ655375 CJV655375 CTR655375 DDN655375 DNJ655375 DXF655375 EHB655375 EQX655375 FAT655375 FKP655375 FUL655375 GEH655375 GOD655375 GXZ655375 HHV655375 HRR655375 IBN655375 ILJ655375 IVF655375 JFB655375 JOX655375 JYT655375 KIP655375 KSL655375 LCH655375 LMD655375 LVZ655375 MFV655375 MPR655375 MZN655375 NJJ655375 NTF655375 ODB655375 OMX655375 OWT655375 PGP655375 PQL655375 QAH655375 QKD655375 QTZ655375 RDV655375 RNR655375 RXN655375 SHJ655375 SRF655375 TBB655375 TKX655375 TUT655375 UEP655375 UOL655375 UYH655375 VID655375 VRZ655375 WBV655375 WLR655375 WVN655375 F720911 JB720911 SX720911 ACT720911 AMP720911 AWL720911 BGH720911 BQD720911 BZZ720911 CJV720911 CTR720911 DDN720911 DNJ720911 DXF720911 EHB720911 EQX720911 FAT720911 FKP720911 FUL720911 GEH720911 GOD720911 GXZ720911 HHV720911 HRR720911 IBN720911 ILJ720911 IVF720911 JFB720911 JOX720911 JYT720911 KIP720911 KSL720911 LCH720911 LMD720911 LVZ720911 MFV720911 MPR720911 MZN720911 NJJ720911 NTF720911 ODB720911 OMX720911 OWT720911 PGP720911 PQL720911 QAH720911 QKD720911 QTZ720911 RDV720911 RNR720911 RXN720911 SHJ720911 SRF720911 TBB720911 TKX720911 TUT720911 UEP720911 UOL720911 UYH720911 VID720911 VRZ720911 WBV720911 WLR720911 WVN720911 F786447 JB786447 SX786447 ACT786447 AMP786447 AWL786447 BGH786447 BQD786447 BZZ786447 CJV786447 CTR786447 DDN786447 DNJ786447 DXF786447 EHB786447 EQX786447 FAT786447 FKP786447 FUL786447 GEH786447 GOD786447 GXZ786447 HHV786447 HRR786447 IBN786447 ILJ786447 IVF786447 JFB786447 JOX786447 JYT786447 KIP786447 KSL786447 LCH786447 LMD786447 LVZ786447 MFV786447 MPR786447 MZN786447 NJJ786447 NTF786447 ODB786447 OMX786447 OWT786447 PGP786447 PQL786447 QAH786447 QKD786447 QTZ786447 RDV786447 RNR786447 RXN786447 SHJ786447 SRF786447 TBB786447 TKX786447 TUT786447 UEP786447 UOL786447 UYH786447 VID786447 VRZ786447 WBV786447 WLR786447 WVN786447 F851983 JB851983 SX851983 ACT851983 AMP851983 AWL851983 BGH851983 BQD851983 BZZ851983 CJV851983 CTR851983 DDN851983 DNJ851983 DXF851983 EHB851983 EQX851983 FAT851983 FKP851983 FUL851983 GEH851983 GOD851983 GXZ851983 HHV851983 HRR851983 IBN851983 ILJ851983 IVF851983 JFB851983 JOX851983 JYT851983 KIP851983 KSL851983 LCH851983 LMD851983 LVZ851983 MFV851983 MPR851983 MZN851983 NJJ851983 NTF851983 ODB851983 OMX851983 OWT851983 PGP851983 PQL851983 QAH851983 QKD851983 QTZ851983 RDV851983 RNR851983 RXN851983 SHJ851983 SRF851983 TBB851983 TKX851983 TUT851983 UEP851983 UOL851983 UYH851983 VID851983 VRZ851983 WBV851983 WLR851983 WVN851983 F917519 JB917519 SX917519 ACT917519 AMP917519 AWL917519 BGH917519 BQD917519 BZZ917519 CJV917519 CTR917519 DDN917519 DNJ917519 DXF917519 EHB917519 EQX917519 FAT917519 FKP917519 FUL917519 GEH917519 GOD917519 GXZ917519 HHV917519 HRR917519 IBN917519 ILJ917519 IVF917519 JFB917519 JOX917519 JYT917519 KIP917519 KSL917519 LCH917519 LMD917519 LVZ917519 MFV917519 MPR917519 MZN917519 NJJ917519 NTF917519 ODB917519 OMX917519 OWT917519 PGP917519 PQL917519 QAH917519 QKD917519 QTZ917519 RDV917519 RNR917519 RXN917519 SHJ917519 SRF917519 TBB917519 TKX917519 TUT917519 UEP917519 UOL917519 UYH917519 VID917519 VRZ917519 WBV917519 WLR917519 WVN917519 F983055 JB983055 SX983055 ACT983055 AMP983055 AWL983055 BGH983055 BQD983055 BZZ983055 CJV983055 CTR983055 DDN983055 DNJ983055 DXF983055 EHB983055 EQX983055 FAT983055 FKP983055 FUL983055 GEH983055 GOD983055 GXZ983055 HHV983055 HRR983055 IBN983055 ILJ983055 IVF983055 JFB983055 JOX983055 JYT983055 KIP983055 KSL983055 LCH983055 LMD983055 LVZ983055 MFV983055 MPR983055 MZN983055 NJJ983055 NTF983055 ODB983055 OMX983055 OWT983055 PGP983055 PQL983055 QAH983055 QKD983055 QTZ983055 RDV983055 RNR983055 RXN983055 SHJ983055 SRF983055 TBB983055 TKX983055 TUT983055 UEP983055 UOL983055 UYH983055 VID983055 VRZ983055 WBV983055 WLR983055" xr:uid="{00000000-0002-0000-0400-000002000000}">
      <formula1>$D$59:$D$60</formula1>
    </dataValidation>
    <dataValidation type="list" allowBlank="1" showInputMessage="1" showErrorMessage="1" prompt="Pick one!" sqref="WVQ983055 JE15 TA15 ACW15 AMS15 AWO15 BGK15 BQG15 CAC15 CJY15 CTU15 DDQ15 DNM15 DXI15 EHE15 ERA15 FAW15 FKS15 FUO15 GEK15 GOG15 GYC15 HHY15 HRU15 IBQ15 ILM15 IVI15 JFE15 JPA15 JYW15 KIS15 KSO15 LCK15 LMG15 LWC15 MFY15 MPU15 MZQ15 NJM15 NTI15 ODE15 ONA15 OWW15 PGS15 PQO15 QAK15 QKG15 QUC15 RDY15 RNU15 RXQ15 SHM15 SRI15 TBE15 TLA15 TUW15 UES15 UOO15 UYK15 VIG15 VSC15 WBY15 WLU15 WVQ15 I65551 JE65551 TA65551 ACW65551 AMS65551 AWO65551 BGK65551 BQG65551 CAC65551 CJY65551 CTU65551 DDQ65551 DNM65551 DXI65551 EHE65551 ERA65551 FAW65551 FKS65551 FUO65551 GEK65551 GOG65551 GYC65551 HHY65551 HRU65551 IBQ65551 ILM65551 IVI65551 JFE65551 JPA65551 JYW65551 KIS65551 KSO65551 LCK65551 LMG65551 LWC65551 MFY65551 MPU65551 MZQ65551 NJM65551 NTI65551 ODE65551 ONA65551 OWW65551 PGS65551 PQO65551 QAK65551 QKG65551 QUC65551 RDY65551 RNU65551 RXQ65551 SHM65551 SRI65551 TBE65551 TLA65551 TUW65551 UES65551 UOO65551 UYK65551 VIG65551 VSC65551 WBY65551 WLU65551 WVQ65551 I131087 JE131087 TA131087 ACW131087 AMS131087 AWO131087 BGK131087 BQG131087 CAC131087 CJY131087 CTU131087 DDQ131087 DNM131087 DXI131087 EHE131087 ERA131087 FAW131087 FKS131087 FUO131087 GEK131087 GOG131087 GYC131087 HHY131087 HRU131087 IBQ131087 ILM131087 IVI131087 JFE131087 JPA131087 JYW131087 KIS131087 KSO131087 LCK131087 LMG131087 LWC131087 MFY131087 MPU131087 MZQ131087 NJM131087 NTI131087 ODE131087 ONA131087 OWW131087 PGS131087 PQO131087 QAK131087 QKG131087 QUC131087 RDY131087 RNU131087 RXQ131087 SHM131087 SRI131087 TBE131087 TLA131087 TUW131087 UES131087 UOO131087 UYK131087 VIG131087 VSC131087 WBY131087 WLU131087 WVQ131087 I196623 JE196623 TA196623 ACW196623 AMS196623 AWO196623 BGK196623 BQG196623 CAC196623 CJY196623 CTU196623 DDQ196623 DNM196623 DXI196623 EHE196623 ERA196623 FAW196623 FKS196623 FUO196623 GEK196623 GOG196623 GYC196623 HHY196623 HRU196623 IBQ196623 ILM196623 IVI196623 JFE196623 JPA196623 JYW196623 KIS196623 KSO196623 LCK196623 LMG196623 LWC196623 MFY196623 MPU196623 MZQ196623 NJM196623 NTI196623 ODE196623 ONA196623 OWW196623 PGS196623 PQO196623 QAK196623 QKG196623 QUC196623 RDY196623 RNU196623 RXQ196623 SHM196623 SRI196623 TBE196623 TLA196623 TUW196623 UES196623 UOO196623 UYK196623 VIG196623 VSC196623 WBY196623 WLU196623 WVQ196623 I262159 JE262159 TA262159 ACW262159 AMS262159 AWO262159 BGK262159 BQG262159 CAC262159 CJY262159 CTU262159 DDQ262159 DNM262159 DXI262159 EHE262159 ERA262159 FAW262159 FKS262159 FUO262159 GEK262159 GOG262159 GYC262159 HHY262159 HRU262159 IBQ262159 ILM262159 IVI262159 JFE262159 JPA262159 JYW262159 KIS262159 KSO262159 LCK262159 LMG262159 LWC262159 MFY262159 MPU262159 MZQ262159 NJM262159 NTI262159 ODE262159 ONA262159 OWW262159 PGS262159 PQO262159 QAK262159 QKG262159 QUC262159 RDY262159 RNU262159 RXQ262159 SHM262159 SRI262159 TBE262159 TLA262159 TUW262159 UES262159 UOO262159 UYK262159 VIG262159 VSC262159 WBY262159 WLU262159 WVQ262159 I327695 JE327695 TA327695 ACW327695 AMS327695 AWO327695 BGK327695 BQG327695 CAC327695 CJY327695 CTU327695 DDQ327695 DNM327695 DXI327695 EHE327695 ERA327695 FAW327695 FKS327695 FUO327695 GEK327695 GOG327695 GYC327695 HHY327695 HRU327695 IBQ327695 ILM327695 IVI327695 JFE327695 JPA327695 JYW327695 KIS327695 KSO327695 LCK327695 LMG327695 LWC327695 MFY327695 MPU327695 MZQ327695 NJM327695 NTI327695 ODE327695 ONA327695 OWW327695 PGS327695 PQO327695 QAK327695 QKG327695 QUC327695 RDY327695 RNU327695 RXQ327695 SHM327695 SRI327695 TBE327695 TLA327695 TUW327695 UES327695 UOO327695 UYK327695 VIG327695 VSC327695 WBY327695 WLU327695 WVQ327695 I393231 JE393231 TA393231 ACW393231 AMS393231 AWO393231 BGK393231 BQG393231 CAC393231 CJY393231 CTU393231 DDQ393231 DNM393231 DXI393231 EHE393231 ERA393231 FAW393231 FKS393231 FUO393231 GEK393231 GOG393231 GYC393231 HHY393231 HRU393231 IBQ393231 ILM393231 IVI393231 JFE393231 JPA393231 JYW393231 KIS393231 KSO393231 LCK393231 LMG393231 LWC393231 MFY393231 MPU393231 MZQ393231 NJM393231 NTI393231 ODE393231 ONA393231 OWW393231 PGS393231 PQO393231 QAK393231 QKG393231 QUC393231 RDY393231 RNU393231 RXQ393231 SHM393231 SRI393231 TBE393231 TLA393231 TUW393231 UES393231 UOO393231 UYK393231 VIG393231 VSC393231 WBY393231 WLU393231 WVQ393231 I458767 JE458767 TA458767 ACW458767 AMS458767 AWO458767 BGK458767 BQG458767 CAC458767 CJY458767 CTU458767 DDQ458767 DNM458767 DXI458767 EHE458767 ERA458767 FAW458767 FKS458767 FUO458767 GEK458767 GOG458767 GYC458767 HHY458767 HRU458767 IBQ458767 ILM458767 IVI458767 JFE458767 JPA458767 JYW458767 KIS458767 KSO458767 LCK458767 LMG458767 LWC458767 MFY458767 MPU458767 MZQ458767 NJM458767 NTI458767 ODE458767 ONA458767 OWW458767 PGS458767 PQO458767 QAK458767 QKG458767 QUC458767 RDY458767 RNU458767 RXQ458767 SHM458767 SRI458767 TBE458767 TLA458767 TUW458767 UES458767 UOO458767 UYK458767 VIG458767 VSC458767 WBY458767 WLU458767 WVQ458767 I524303 JE524303 TA524303 ACW524303 AMS524303 AWO524303 BGK524303 BQG524303 CAC524303 CJY524303 CTU524303 DDQ524303 DNM524303 DXI524303 EHE524303 ERA524303 FAW524303 FKS524303 FUO524303 GEK524303 GOG524303 GYC524303 HHY524303 HRU524303 IBQ524303 ILM524303 IVI524303 JFE524303 JPA524303 JYW524303 KIS524303 KSO524303 LCK524303 LMG524303 LWC524303 MFY524303 MPU524303 MZQ524303 NJM524303 NTI524303 ODE524303 ONA524303 OWW524303 PGS524303 PQO524303 QAK524303 QKG524303 QUC524303 RDY524303 RNU524303 RXQ524303 SHM524303 SRI524303 TBE524303 TLA524303 TUW524303 UES524303 UOO524303 UYK524303 VIG524303 VSC524303 WBY524303 WLU524303 WVQ524303 I589839 JE589839 TA589839 ACW589839 AMS589839 AWO589839 BGK589839 BQG589839 CAC589839 CJY589839 CTU589839 DDQ589839 DNM589839 DXI589839 EHE589839 ERA589839 FAW589839 FKS589839 FUO589839 GEK589839 GOG589839 GYC589839 HHY589839 HRU589839 IBQ589839 ILM589839 IVI589839 JFE589839 JPA589839 JYW589839 KIS589839 KSO589839 LCK589839 LMG589839 LWC589839 MFY589839 MPU589839 MZQ589839 NJM589839 NTI589839 ODE589839 ONA589839 OWW589839 PGS589839 PQO589839 QAK589839 QKG589839 QUC589839 RDY589839 RNU589839 RXQ589839 SHM589839 SRI589839 TBE589839 TLA589839 TUW589839 UES589839 UOO589839 UYK589839 VIG589839 VSC589839 WBY589839 WLU589839 WVQ589839 I655375 JE655375 TA655375 ACW655375 AMS655375 AWO655375 BGK655375 BQG655375 CAC655375 CJY655375 CTU655375 DDQ655375 DNM655375 DXI655375 EHE655375 ERA655375 FAW655375 FKS655375 FUO655375 GEK655375 GOG655375 GYC655375 HHY655375 HRU655375 IBQ655375 ILM655375 IVI655375 JFE655375 JPA655375 JYW655375 KIS655375 KSO655375 LCK655375 LMG655375 LWC655375 MFY655375 MPU655375 MZQ655375 NJM655375 NTI655375 ODE655375 ONA655375 OWW655375 PGS655375 PQO655375 QAK655375 QKG655375 QUC655375 RDY655375 RNU655375 RXQ655375 SHM655375 SRI655375 TBE655375 TLA655375 TUW655375 UES655375 UOO655375 UYK655375 VIG655375 VSC655375 WBY655375 WLU655375 WVQ655375 I720911 JE720911 TA720911 ACW720911 AMS720911 AWO720911 BGK720911 BQG720911 CAC720911 CJY720911 CTU720911 DDQ720911 DNM720911 DXI720911 EHE720911 ERA720911 FAW720911 FKS720911 FUO720911 GEK720911 GOG720911 GYC720911 HHY720911 HRU720911 IBQ720911 ILM720911 IVI720911 JFE720911 JPA720911 JYW720911 KIS720911 KSO720911 LCK720911 LMG720911 LWC720911 MFY720911 MPU720911 MZQ720911 NJM720911 NTI720911 ODE720911 ONA720911 OWW720911 PGS720911 PQO720911 QAK720911 QKG720911 QUC720911 RDY720911 RNU720911 RXQ720911 SHM720911 SRI720911 TBE720911 TLA720911 TUW720911 UES720911 UOO720911 UYK720911 VIG720911 VSC720911 WBY720911 WLU720911 WVQ720911 I786447 JE786447 TA786447 ACW786447 AMS786447 AWO786447 BGK786447 BQG786447 CAC786447 CJY786447 CTU786447 DDQ786447 DNM786447 DXI786447 EHE786447 ERA786447 FAW786447 FKS786447 FUO786447 GEK786447 GOG786447 GYC786447 HHY786447 HRU786447 IBQ786447 ILM786447 IVI786447 JFE786447 JPA786447 JYW786447 KIS786447 KSO786447 LCK786447 LMG786447 LWC786447 MFY786447 MPU786447 MZQ786447 NJM786447 NTI786447 ODE786447 ONA786447 OWW786447 PGS786447 PQO786447 QAK786447 QKG786447 QUC786447 RDY786447 RNU786447 RXQ786447 SHM786447 SRI786447 TBE786447 TLA786447 TUW786447 UES786447 UOO786447 UYK786447 VIG786447 VSC786447 WBY786447 WLU786447 WVQ786447 I851983 JE851983 TA851983 ACW851983 AMS851983 AWO851983 BGK851983 BQG851983 CAC851983 CJY851983 CTU851983 DDQ851983 DNM851983 DXI851983 EHE851983 ERA851983 FAW851983 FKS851983 FUO851983 GEK851983 GOG851983 GYC851983 HHY851983 HRU851983 IBQ851983 ILM851983 IVI851983 JFE851983 JPA851983 JYW851983 KIS851983 KSO851983 LCK851983 LMG851983 LWC851983 MFY851983 MPU851983 MZQ851983 NJM851983 NTI851983 ODE851983 ONA851983 OWW851983 PGS851983 PQO851983 QAK851983 QKG851983 QUC851983 RDY851983 RNU851983 RXQ851983 SHM851983 SRI851983 TBE851983 TLA851983 TUW851983 UES851983 UOO851983 UYK851983 VIG851983 VSC851983 WBY851983 WLU851983 WVQ851983 I917519 JE917519 TA917519 ACW917519 AMS917519 AWO917519 BGK917519 BQG917519 CAC917519 CJY917519 CTU917519 DDQ917519 DNM917519 DXI917519 EHE917519 ERA917519 FAW917519 FKS917519 FUO917519 GEK917519 GOG917519 GYC917519 HHY917519 HRU917519 IBQ917519 ILM917519 IVI917519 JFE917519 JPA917519 JYW917519 KIS917519 KSO917519 LCK917519 LMG917519 LWC917519 MFY917519 MPU917519 MZQ917519 NJM917519 NTI917519 ODE917519 ONA917519 OWW917519 PGS917519 PQO917519 QAK917519 QKG917519 QUC917519 RDY917519 RNU917519 RXQ917519 SHM917519 SRI917519 TBE917519 TLA917519 TUW917519 UES917519 UOO917519 UYK917519 VIG917519 VSC917519 WBY917519 WLU917519 WVQ917519 I983055 JE983055 TA983055 ACW983055 AMS983055 AWO983055 BGK983055 BQG983055 CAC983055 CJY983055 CTU983055 DDQ983055 DNM983055 DXI983055 EHE983055 ERA983055 FAW983055 FKS983055 FUO983055 GEK983055 GOG983055 GYC983055 HHY983055 HRU983055 IBQ983055 ILM983055 IVI983055 JFE983055 JPA983055 JYW983055 KIS983055 KSO983055 LCK983055 LMG983055 LWC983055 MFY983055 MPU983055 MZQ983055 NJM983055 NTI983055 ODE983055 ONA983055 OWW983055 PGS983055 PQO983055 QAK983055 QKG983055 QUC983055 RDY983055 RNU983055 RXQ983055 SHM983055 SRI983055 TBE983055 TLA983055 TUW983055 UES983055 UOO983055 UYK983055 VIG983055 VSC983055 WBY983055 WLU983055" xr:uid="{00000000-0002-0000-0400-000003000000}">
      <formula1>$E$59:$E$61</formula1>
    </dataValidation>
  </dataValidation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67"/>
  <sheetViews>
    <sheetView tabSelected="1" topLeftCell="A24" workbookViewId="0">
      <selection activeCell="B54" sqref="B54:D67"/>
    </sheetView>
  </sheetViews>
  <sheetFormatPr defaultColWidth="9.140625" defaultRowHeight="12.75"/>
  <cols>
    <col min="1" max="6" width="16.7109375" style="383" customWidth="1"/>
    <col min="7" max="16384" width="9.140625" style="383"/>
  </cols>
  <sheetData>
    <row r="1" spans="1:6" ht="18.95" customHeight="1">
      <c r="A1" s="411"/>
      <c r="B1" s="412"/>
      <c r="C1" s="412"/>
      <c r="D1" s="412"/>
      <c r="E1" s="412"/>
      <c r="F1" s="413"/>
    </row>
    <row r="2" spans="1:6" ht="26.1" customHeight="1">
      <c r="A2" s="414" t="s">
        <v>268</v>
      </c>
      <c r="B2" s="415"/>
      <c r="C2" s="415"/>
      <c r="D2" s="415"/>
      <c r="E2" s="415"/>
      <c r="F2" s="416"/>
    </row>
    <row r="3" spans="1:6" ht="18.95" customHeight="1">
      <c r="A3" s="417" t="s">
        <v>576</v>
      </c>
      <c r="B3" s="415"/>
      <c r="C3" s="415"/>
      <c r="D3" s="415"/>
      <c r="E3" s="415"/>
      <c r="F3" s="416"/>
    </row>
    <row r="4" spans="1:6" ht="18.95" customHeight="1">
      <c r="A4" s="418"/>
      <c r="B4" s="419"/>
      <c r="C4" s="419"/>
      <c r="D4" s="419"/>
      <c r="E4" s="419"/>
      <c r="F4" s="420"/>
    </row>
    <row r="5" spans="1:6" ht="18.95" customHeight="1">
      <c r="A5" s="418"/>
      <c r="B5" s="419"/>
      <c r="C5" s="419"/>
      <c r="D5" s="419"/>
      <c r="E5" s="419"/>
      <c r="F5" s="420"/>
    </row>
    <row r="6" spans="1:6" ht="18.95" customHeight="1">
      <c r="A6" s="421" t="s">
        <v>577</v>
      </c>
      <c r="B6" s="669" t="str">
        <f>'Performance Data Sheet'!C17</f>
        <v>GP-10035342</v>
      </c>
      <c r="C6" s="670"/>
      <c r="D6" s="671"/>
      <c r="E6" s="421" t="s">
        <v>578</v>
      </c>
      <c r="F6" s="422" t="str">
        <f>'Performance Data Sheet'!I14 &amp; " A"</f>
        <v>100 A</v>
      </c>
    </row>
    <row r="7" spans="1:6" ht="18.95" customHeight="1">
      <c r="A7" s="421" t="s">
        <v>579</v>
      </c>
      <c r="B7" s="422" t="str">
        <f>'Performance Data Sheet'!F14</f>
        <v>TEFC</v>
      </c>
      <c r="C7" s="421" t="s">
        <v>580</v>
      </c>
      <c r="D7" s="422" t="str">
        <f>'Performance Data Sheet'!F13 &amp; " V"</f>
        <v>4000 V</v>
      </c>
      <c r="E7" s="421" t="s">
        <v>581</v>
      </c>
      <c r="F7" s="422" t="str">
        <f>'Performance Data Sheet'!C14</f>
        <v>5811UZ</v>
      </c>
    </row>
    <row r="8" spans="1:6" ht="18.95" customHeight="1">
      <c r="A8" s="421" t="s">
        <v>582</v>
      </c>
      <c r="B8" s="422">
        <v>4</v>
      </c>
      <c r="C8" s="421" t="s">
        <v>583</v>
      </c>
      <c r="D8" s="422" t="s">
        <v>584</v>
      </c>
      <c r="E8" s="421" t="s">
        <v>585</v>
      </c>
      <c r="F8" s="422" t="str">
        <f>'Performance Data Sheet'!M15</f>
        <v>F</v>
      </c>
    </row>
    <row r="9" spans="1:6" ht="18.95" customHeight="1">
      <c r="A9" s="421" t="s">
        <v>586</v>
      </c>
      <c r="B9" s="422">
        <f>'Performance Data Sheet'!C13</f>
        <v>800</v>
      </c>
      <c r="C9" s="421" t="s">
        <v>587</v>
      </c>
      <c r="D9" s="422" t="s">
        <v>597</v>
      </c>
      <c r="E9" s="421" t="s">
        <v>2</v>
      </c>
      <c r="F9" s="423">
        <f>'Performance Data Sheet'!K44</f>
        <v>44265</v>
      </c>
    </row>
    <row r="10" spans="1:6" ht="18.95" customHeight="1">
      <c r="A10" s="421" t="s">
        <v>588</v>
      </c>
      <c r="B10" s="422">
        <f>'Performance Data Sheet'!M14</f>
        <v>1785</v>
      </c>
      <c r="C10" s="421" t="s">
        <v>409</v>
      </c>
      <c r="D10" s="422" t="s">
        <v>598</v>
      </c>
      <c r="E10" s="421" t="s">
        <v>1</v>
      </c>
      <c r="F10" s="422" t="s">
        <v>379</v>
      </c>
    </row>
    <row r="11" spans="1:6" ht="18.95" customHeight="1">
      <c r="A11" s="418"/>
      <c r="B11" s="419"/>
      <c r="C11" s="419"/>
      <c r="D11" s="419"/>
      <c r="E11" s="419"/>
      <c r="F11" s="420"/>
    </row>
    <row r="12" spans="1:6" ht="18.95" customHeight="1">
      <c r="A12" s="418"/>
      <c r="B12" s="424" t="s">
        <v>589</v>
      </c>
      <c r="C12" s="425" t="str">
        <f>'Performance Data Sheet'!D22 &amp; " A"</f>
        <v>676 A</v>
      </c>
      <c r="D12" s="424" t="s">
        <v>408</v>
      </c>
      <c r="E12" s="425" t="s">
        <v>729</v>
      </c>
      <c r="F12" s="420"/>
    </row>
    <row r="13" spans="1:6" ht="18.95" customHeight="1">
      <c r="A13" s="418"/>
      <c r="B13" s="424" t="s">
        <v>590</v>
      </c>
      <c r="C13" s="426">
        <f>'Performance Data Sheet'!H23/100</f>
        <v>0.8</v>
      </c>
      <c r="D13" s="424" t="s">
        <v>591</v>
      </c>
      <c r="E13" s="425" t="s">
        <v>729</v>
      </c>
      <c r="F13" s="420"/>
    </row>
    <row r="14" spans="1:6" ht="18.95" customHeight="1">
      <c r="A14" s="418"/>
      <c r="B14" s="424" t="s">
        <v>592</v>
      </c>
      <c r="C14" s="426">
        <v>2.2999999999999998</v>
      </c>
      <c r="D14" s="424" t="s">
        <v>410</v>
      </c>
      <c r="E14" s="425" t="s">
        <v>729</v>
      </c>
      <c r="F14" s="420"/>
    </row>
    <row r="15" spans="1:6" ht="18.95" customHeight="1">
      <c r="A15" s="418"/>
      <c r="B15" s="424" t="s">
        <v>411</v>
      </c>
      <c r="C15" s="425" t="str">
        <f>'Performance Data Sheet'!H22 &amp; " lb-ft"</f>
        <v>2349 lb-ft</v>
      </c>
      <c r="D15" s="419"/>
      <c r="E15" s="419"/>
      <c r="F15" s="420"/>
    </row>
    <row r="16" spans="1:6" ht="18.95" customHeight="1">
      <c r="A16" s="418"/>
      <c r="B16" s="419"/>
      <c r="C16" s="419"/>
      <c r="D16" s="419"/>
      <c r="E16" s="419"/>
      <c r="F16" s="420"/>
    </row>
    <row r="17" spans="1:6" ht="18.95" customHeight="1">
      <c r="A17" s="418"/>
      <c r="B17" s="419"/>
      <c r="C17" s="419"/>
      <c r="D17" s="419"/>
      <c r="E17" s="419"/>
      <c r="F17" s="420"/>
    </row>
    <row r="18" spans="1:6" ht="18.95" customHeight="1">
      <c r="A18" s="418"/>
      <c r="B18" s="419"/>
      <c r="C18" s="419"/>
      <c r="D18" s="419"/>
      <c r="E18" s="419"/>
      <c r="F18" s="420"/>
    </row>
    <row r="19" spans="1:6" ht="18.95" customHeight="1">
      <c r="A19" s="418"/>
      <c r="B19" s="419"/>
      <c r="C19" s="419"/>
      <c r="D19" s="419"/>
      <c r="E19" s="419"/>
      <c r="F19" s="420"/>
    </row>
    <row r="20" spans="1:6" ht="18.95" customHeight="1">
      <c r="A20" s="418"/>
      <c r="B20" s="419"/>
      <c r="C20" s="419"/>
      <c r="D20" s="419"/>
      <c r="E20" s="419"/>
      <c r="F20" s="420"/>
    </row>
    <row r="21" spans="1:6" ht="18.95" customHeight="1">
      <c r="A21" s="418"/>
      <c r="B21" s="419"/>
      <c r="C21" s="419"/>
      <c r="D21" s="419"/>
      <c r="E21" s="419"/>
      <c r="F21" s="420"/>
    </row>
    <row r="22" spans="1:6" ht="18.95" customHeight="1">
      <c r="A22" s="418"/>
      <c r="B22" s="419"/>
      <c r="C22" s="419"/>
      <c r="D22" s="419"/>
      <c r="E22" s="419"/>
      <c r="F22" s="420"/>
    </row>
    <row r="23" spans="1:6" ht="18.95" customHeight="1">
      <c r="A23" s="418"/>
      <c r="B23" s="419"/>
      <c r="C23" s="419"/>
      <c r="D23" s="419"/>
      <c r="E23" s="419"/>
      <c r="F23" s="420"/>
    </row>
    <row r="24" spans="1:6" ht="18.95" customHeight="1">
      <c r="A24" s="418"/>
      <c r="B24" s="419"/>
      <c r="C24" s="419"/>
      <c r="D24" s="419"/>
      <c r="E24" s="419"/>
      <c r="F24" s="420"/>
    </row>
    <row r="25" spans="1:6" ht="18.95" customHeight="1">
      <c r="A25" s="418"/>
      <c r="B25" s="419"/>
      <c r="C25" s="419"/>
      <c r="D25" s="419"/>
      <c r="E25" s="419"/>
      <c r="F25" s="420"/>
    </row>
    <row r="26" spans="1:6" ht="18.95" customHeight="1">
      <c r="A26" s="418"/>
      <c r="B26" s="419"/>
      <c r="C26" s="419"/>
      <c r="D26" s="419"/>
      <c r="E26" s="419"/>
      <c r="F26" s="420"/>
    </row>
    <row r="27" spans="1:6" ht="18.95" customHeight="1">
      <c r="A27" s="418"/>
      <c r="B27" s="419"/>
      <c r="C27" s="419"/>
      <c r="D27" s="419"/>
      <c r="E27" s="419"/>
      <c r="F27" s="420"/>
    </row>
    <row r="28" spans="1:6" ht="18.95" customHeight="1">
      <c r="A28" s="418"/>
      <c r="B28" s="419"/>
      <c r="C28" s="419"/>
      <c r="D28" s="419"/>
      <c r="E28" s="419"/>
      <c r="F28" s="420"/>
    </row>
    <row r="29" spans="1:6" ht="18.95" customHeight="1">
      <c r="A29" s="418"/>
      <c r="B29" s="419"/>
      <c r="C29" s="419"/>
      <c r="D29" s="419"/>
      <c r="E29" s="419"/>
      <c r="F29" s="420"/>
    </row>
    <row r="30" spans="1:6" ht="18.95" customHeight="1">
      <c r="A30" s="418"/>
      <c r="B30" s="419"/>
      <c r="C30" s="419"/>
      <c r="D30" s="419"/>
      <c r="E30" s="419"/>
      <c r="F30" s="420"/>
    </row>
    <row r="31" spans="1:6" ht="18.95" customHeight="1">
      <c r="A31" s="418"/>
      <c r="B31" s="419"/>
      <c r="C31" s="419"/>
      <c r="D31" s="419"/>
      <c r="E31" s="419"/>
      <c r="F31" s="420"/>
    </row>
    <row r="32" spans="1:6" ht="18.95" customHeight="1">
      <c r="A32" s="418"/>
      <c r="B32" s="419"/>
      <c r="C32" s="419"/>
      <c r="D32" s="419"/>
      <c r="E32" s="419"/>
      <c r="F32" s="420"/>
    </row>
    <row r="33" spans="1:6" ht="18.95" customHeight="1">
      <c r="A33" s="418"/>
      <c r="B33" s="419"/>
      <c r="C33" s="419"/>
      <c r="D33" s="419"/>
      <c r="E33" s="419"/>
      <c r="F33" s="420"/>
    </row>
    <row r="34" spans="1:6" ht="18.95" customHeight="1">
      <c r="A34" s="418"/>
      <c r="B34" s="419"/>
      <c r="C34" s="419"/>
      <c r="D34" s="419"/>
      <c r="E34" s="419"/>
      <c r="F34" s="420"/>
    </row>
    <row r="35" spans="1:6" ht="18.95" customHeight="1">
      <c r="A35" s="418"/>
      <c r="B35" s="419"/>
      <c r="C35" s="419"/>
      <c r="D35" s="419"/>
      <c r="E35" s="419"/>
      <c r="F35" s="420"/>
    </row>
    <row r="36" spans="1:6" ht="18.95" customHeight="1">
      <c r="A36" s="418"/>
      <c r="B36" s="419"/>
      <c r="C36" s="419"/>
      <c r="D36" s="419"/>
      <c r="E36" s="419"/>
      <c r="F36" s="420"/>
    </row>
    <row r="37" spans="1:6" ht="18.95" customHeight="1">
      <c r="A37" s="418"/>
      <c r="B37" s="419"/>
      <c r="C37" s="419"/>
      <c r="D37" s="419"/>
      <c r="E37" s="419"/>
      <c r="F37" s="420"/>
    </row>
    <row r="38" spans="1:6" ht="18.95" customHeight="1">
      <c r="A38" s="418"/>
      <c r="B38" s="419"/>
      <c r="C38" s="419"/>
      <c r="D38" s="419"/>
      <c r="E38" s="419"/>
      <c r="F38" s="420"/>
    </row>
    <row r="39" spans="1:6" ht="18.95" customHeight="1">
      <c r="A39" s="427" t="s">
        <v>593</v>
      </c>
      <c r="B39" s="428" t="s">
        <v>370</v>
      </c>
      <c r="C39" s="428" t="str">
        <f>'Performance Data Sheet'!C10</f>
        <v>2210056.1</v>
      </c>
      <c r="D39" s="419"/>
      <c r="E39" s="424" t="s">
        <v>594</v>
      </c>
      <c r="F39" s="429" t="str">
        <f>F10</f>
        <v>CS4800</v>
      </c>
    </row>
    <row r="40" spans="1:6" ht="18.95" customHeight="1">
      <c r="A40" s="418"/>
      <c r="B40" s="428"/>
      <c r="C40" s="428"/>
      <c r="D40" s="419"/>
      <c r="E40" s="419"/>
      <c r="F40" s="420"/>
    </row>
    <row r="41" spans="1:6" ht="18.95" customHeight="1">
      <c r="A41" s="418"/>
      <c r="B41" s="428"/>
      <c r="C41" s="428"/>
      <c r="D41" s="419"/>
      <c r="E41" s="419"/>
      <c r="F41" s="420"/>
    </row>
    <row r="42" spans="1:6" ht="18.95" customHeight="1">
      <c r="A42" s="418"/>
      <c r="B42" s="419"/>
      <c r="C42" s="419"/>
      <c r="D42" s="419"/>
      <c r="E42" s="419"/>
      <c r="F42" s="420"/>
    </row>
    <row r="43" spans="1:6" ht="18.95" customHeight="1">
      <c r="A43" s="430"/>
      <c r="B43" s="428"/>
      <c r="C43" s="431" t="s">
        <v>595</v>
      </c>
      <c r="D43" s="432" t="str">
        <f>'Performance Data Sheet'!K42</f>
        <v>JERRY R</v>
      </c>
      <c r="E43" s="431" t="s">
        <v>596</v>
      </c>
      <c r="F43" s="432"/>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376" t="s">
        <v>407</v>
      </c>
      <c r="E53" s="376"/>
      <c r="F53" s="376"/>
      <c r="G53" s="376"/>
      <c r="H53" s="376"/>
      <c r="I53" s="376"/>
      <c r="J53" s="376"/>
      <c r="K53" s="376"/>
      <c r="L53" s="376"/>
    </row>
    <row r="54" spans="1:12" ht="15" customHeight="1">
      <c r="A54" s="381">
        <v>100</v>
      </c>
      <c r="B54" s="376">
        <v>0</v>
      </c>
      <c r="C54" s="376">
        <v>0.19833412766456604</v>
      </c>
      <c r="D54" s="376">
        <v>100</v>
      </c>
      <c r="E54" s="376"/>
      <c r="F54" s="376"/>
      <c r="G54" s="376"/>
      <c r="H54" s="376"/>
      <c r="I54" s="376"/>
      <c r="J54" s="376"/>
      <c r="K54" s="376"/>
      <c r="L54" s="376"/>
    </row>
    <row r="55" spans="1:12" ht="15" customHeight="1">
      <c r="A55" s="381">
        <v>99.799999967217445</v>
      </c>
      <c r="B55" s="376">
        <v>139.73127888828128</v>
      </c>
      <c r="C55" s="376">
        <v>178.58975219726563</v>
      </c>
      <c r="D55" s="376">
        <v>99.599998474121094</v>
      </c>
      <c r="E55" s="376"/>
      <c r="F55" s="376"/>
      <c r="G55" s="376"/>
      <c r="H55" s="376"/>
      <c r="I55" s="376"/>
      <c r="J55" s="376"/>
      <c r="K55" s="376"/>
      <c r="L55" s="376"/>
    </row>
    <row r="56" spans="1:12" ht="15" customHeight="1">
      <c r="A56" s="381">
        <v>98.999999836087227</v>
      </c>
      <c r="B56" s="376">
        <v>230</v>
      </c>
      <c r="C56" s="376">
        <v>497.51583862304688</v>
      </c>
      <c r="D56" s="376">
        <v>98</v>
      </c>
      <c r="E56" s="376"/>
      <c r="F56" s="376"/>
      <c r="G56" s="376"/>
      <c r="H56" s="376"/>
      <c r="I56" s="376"/>
      <c r="J56" s="376"/>
      <c r="K56" s="376"/>
      <c r="L56" s="376"/>
    </row>
    <row r="57" spans="1:12">
      <c r="A57" s="381">
        <v>93.789473548531532</v>
      </c>
      <c r="B57" s="376">
        <v>128.46791170131246</v>
      </c>
      <c r="C57" s="376">
        <v>569.45867919921875</v>
      </c>
      <c r="D57" s="376">
        <v>83.852630615234375</v>
      </c>
      <c r="E57" s="376"/>
      <c r="F57" s="376"/>
      <c r="G57" s="376"/>
      <c r="H57" s="376"/>
      <c r="I57" s="376"/>
      <c r="J57" s="376"/>
      <c r="K57" s="376"/>
      <c r="L57" s="376"/>
    </row>
    <row r="58" spans="1:12">
      <c r="A58" s="381">
        <v>88.578946888446808</v>
      </c>
      <c r="B58" s="376">
        <v>102.74786023614847</v>
      </c>
      <c r="C58" s="376">
        <v>590.96307373046875</v>
      </c>
      <c r="D58" s="376">
        <v>70.305259704589844</v>
      </c>
      <c r="E58" s="376"/>
      <c r="F58" s="376"/>
      <c r="G58" s="376"/>
      <c r="H58" s="376"/>
      <c r="I58" s="376"/>
      <c r="J58" s="376"/>
      <c r="K58" s="376"/>
      <c r="L58" s="376"/>
    </row>
    <row r="59" spans="1:12">
      <c r="A59" s="381">
        <v>83.368420600891113</v>
      </c>
      <c r="B59" s="376">
        <v>92.156775556421664</v>
      </c>
      <c r="C59" s="376">
        <v>603.0108642578125</v>
      </c>
      <c r="D59" s="376">
        <v>57.410526275634766</v>
      </c>
      <c r="E59" s="376"/>
      <c r="F59" s="376"/>
      <c r="G59" s="376"/>
      <c r="H59" s="376"/>
      <c r="I59" s="376"/>
      <c r="J59" s="376"/>
      <c r="K59" s="376"/>
      <c r="L59" s="376"/>
    </row>
    <row r="60" spans="1:12">
      <c r="A60" s="381">
        <v>72.947368025779724</v>
      </c>
      <c r="B60" s="376">
        <v>85.971927941556544</v>
      </c>
      <c r="C60" s="376">
        <v>620.2919921875</v>
      </c>
      <c r="D60" s="376">
        <v>38.010524749755859</v>
      </c>
      <c r="E60" s="376"/>
      <c r="F60" s="376"/>
      <c r="G60" s="376"/>
      <c r="H60" s="376"/>
      <c r="I60" s="376"/>
      <c r="J60" s="376"/>
      <c r="K60" s="376"/>
      <c r="L60" s="376"/>
    </row>
    <row r="61" spans="1:12">
      <c r="A61" s="381">
        <v>62.526315450668335</v>
      </c>
      <c r="B61" s="376">
        <v>83.390427932424743</v>
      </c>
      <c r="C61" s="376">
        <v>634.01422119140625</v>
      </c>
      <c r="D61" s="376">
        <v>24.778947830200195</v>
      </c>
      <c r="E61" s="376"/>
      <c r="F61" s="376"/>
      <c r="G61" s="376"/>
      <c r="H61" s="376"/>
      <c r="I61" s="376"/>
      <c r="J61" s="376"/>
      <c r="K61" s="376"/>
      <c r="L61" s="376"/>
    </row>
    <row r="62" spans="1:12">
      <c r="A62" s="381">
        <v>52.105262875556946</v>
      </c>
      <c r="B62" s="376">
        <v>81.95990882464902</v>
      </c>
      <c r="C62" s="376">
        <v>645.1915283203125</v>
      </c>
      <c r="D62" s="376">
        <v>15.684209823608398</v>
      </c>
      <c r="E62" s="376"/>
      <c r="F62" s="376"/>
      <c r="G62" s="376"/>
      <c r="H62" s="376"/>
      <c r="I62" s="376"/>
      <c r="J62" s="376"/>
      <c r="K62" s="376"/>
      <c r="L62" s="376"/>
    </row>
    <row r="63" spans="1:12">
      <c r="A63" s="381">
        <v>41.684210300445557</v>
      </c>
      <c r="B63" s="376">
        <v>81.094326714954121</v>
      </c>
      <c r="C63" s="376">
        <v>654.13739013671875</v>
      </c>
      <c r="D63" s="376">
        <v>9.0105257034301758</v>
      </c>
      <c r="E63" s="376"/>
      <c r="F63" s="376"/>
      <c r="G63" s="376"/>
      <c r="H63" s="376"/>
      <c r="I63" s="376"/>
      <c r="J63" s="376"/>
      <c r="K63" s="376"/>
      <c r="L63" s="376"/>
    </row>
    <row r="64" spans="1:12">
      <c r="A64" s="381">
        <v>31.263160705566406</v>
      </c>
      <c r="B64" s="376">
        <v>80.572128744760647</v>
      </c>
      <c r="C64" s="376">
        <v>661.34124755859375</v>
      </c>
      <c r="D64" s="376">
        <v>6.2526321411132813</v>
      </c>
      <c r="E64" s="376"/>
      <c r="F64" s="376"/>
      <c r="G64" s="376"/>
      <c r="H64" s="376"/>
      <c r="I64" s="376"/>
      <c r="J64" s="376"/>
      <c r="K64" s="376"/>
      <c r="L64" s="376"/>
    </row>
    <row r="65" spans="1:12">
      <c r="A65" s="381">
        <v>20.842105150222778</v>
      </c>
      <c r="B65" s="376">
        <v>80.264888479573528</v>
      </c>
      <c r="C65" s="376">
        <v>667.1480712890625</v>
      </c>
      <c r="D65" s="376">
        <v>7.8315787315368652</v>
      </c>
      <c r="E65" s="376"/>
      <c r="F65" s="376"/>
      <c r="G65" s="376"/>
      <c r="H65" s="376"/>
      <c r="I65" s="376"/>
      <c r="J65" s="376"/>
      <c r="K65" s="376"/>
      <c r="L65" s="376"/>
    </row>
    <row r="66" spans="1:12">
      <c r="A66" s="381">
        <v>10.421055555343628</v>
      </c>
      <c r="B66" s="376">
        <v>80.091945289178426</v>
      </c>
      <c r="C66" s="376">
        <v>671.95306396484375</v>
      </c>
      <c r="D66" s="376">
        <v>14.70526123046875</v>
      </c>
      <c r="E66" s="376"/>
      <c r="F66" s="376"/>
      <c r="G66" s="376"/>
      <c r="H66" s="376"/>
      <c r="I66" s="376"/>
      <c r="J66" s="376"/>
      <c r="K66" s="376"/>
      <c r="L66" s="376"/>
    </row>
    <row r="67" spans="1:12">
      <c r="A67" s="382">
        <v>0</v>
      </c>
      <c r="B67" s="376">
        <v>80</v>
      </c>
      <c r="C67" s="376">
        <v>676</v>
      </c>
      <c r="D67" s="376">
        <v>30</v>
      </c>
      <c r="E67" s="376"/>
      <c r="F67" s="376"/>
      <c r="G67" s="376"/>
      <c r="H67" s="376"/>
      <c r="I67" s="376"/>
      <c r="J67" s="376"/>
      <c r="K67" s="376"/>
      <c r="L67" s="376"/>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81"/>
  <sheetViews>
    <sheetView workbookViewId="0">
      <selection activeCell="D10" sqref="D10"/>
    </sheetView>
  </sheetViews>
  <sheetFormatPr defaultColWidth="9.140625" defaultRowHeight="12.75"/>
  <cols>
    <col min="1" max="6" width="16.7109375" style="383" customWidth="1"/>
    <col min="7" max="16384" width="9.140625" style="383"/>
  </cols>
  <sheetData>
    <row r="1" spans="1:6" ht="18.95" customHeight="1">
      <c r="A1" s="411"/>
      <c r="B1" s="412"/>
      <c r="C1" s="412"/>
      <c r="D1" s="412"/>
      <c r="E1" s="412"/>
      <c r="F1" s="413"/>
    </row>
    <row r="2" spans="1:6" ht="26.1" customHeight="1">
      <c r="A2" s="414" t="s">
        <v>268</v>
      </c>
      <c r="B2" s="415"/>
      <c r="C2" s="415"/>
      <c r="D2" s="415"/>
      <c r="E2" s="415"/>
      <c r="F2" s="416"/>
    </row>
    <row r="3" spans="1:6" ht="18.95" customHeight="1">
      <c r="A3" s="672" t="s">
        <v>603</v>
      </c>
      <c r="B3" s="673"/>
      <c r="C3" s="673"/>
      <c r="D3" s="673"/>
      <c r="E3" s="673"/>
      <c r="F3" s="674"/>
    </row>
    <row r="4" spans="1:6" ht="18.95" customHeight="1">
      <c r="A4" s="675" t="s">
        <v>604</v>
      </c>
      <c r="B4" s="676"/>
      <c r="C4" s="676"/>
      <c r="D4" s="676"/>
      <c r="E4" s="676"/>
      <c r="F4" s="677"/>
    </row>
    <row r="5" spans="1:6" ht="18.95" customHeight="1">
      <c r="A5" s="418"/>
      <c r="B5" s="419"/>
      <c r="C5" s="419"/>
      <c r="D5" s="419"/>
      <c r="E5" s="419"/>
      <c r="F5" s="420"/>
    </row>
    <row r="6" spans="1:6" ht="18.95" customHeight="1">
      <c r="A6" s="421" t="s">
        <v>577</v>
      </c>
      <c r="B6" s="669" t="str">
        <f>'Performance Data Sheet'!C17</f>
        <v>GP-10035342</v>
      </c>
      <c r="C6" s="670"/>
      <c r="D6" s="671"/>
      <c r="E6" s="421" t="s">
        <v>578</v>
      </c>
      <c r="F6" s="422" t="str">
        <f>'Performance Data Sheet'!I14 &amp; " A"</f>
        <v>100 A</v>
      </c>
    </row>
    <row r="7" spans="1:6" ht="18.95" customHeight="1">
      <c r="A7" s="421" t="s">
        <v>579</v>
      </c>
      <c r="B7" s="422" t="str">
        <f>'Performance Data Sheet'!F14</f>
        <v>TEFC</v>
      </c>
      <c r="C7" s="421" t="s">
        <v>580</v>
      </c>
      <c r="D7" s="422" t="str">
        <f>'Performance Data Sheet'!F13 &amp; " V"</f>
        <v>4000 V</v>
      </c>
      <c r="E7" s="421" t="s">
        <v>581</v>
      </c>
      <c r="F7" s="422" t="str">
        <f>'Performance Data Sheet'!C14</f>
        <v>5811UZ</v>
      </c>
    </row>
    <row r="8" spans="1:6" ht="18.95" customHeight="1">
      <c r="A8" s="421" t="s">
        <v>582</v>
      </c>
      <c r="B8" s="422">
        <v>4</v>
      </c>
      <c r="C8" s="421" t="s">
        <v>583</v>
      </c>
      <c r="D8" s="422" t="s">
        <v>584</v>
      </c>
      <c r="E8" s="421" t="s">
        <v>585</v>
      </c>
      <c r="F8" s="422" t="str">
        <f>'Performance Data Sheet'!M15</f>
        <v>F</v>
      </c>
    </row>
    <row r="9" spans="1:6" ht="18.95" customHeight="1">
      <c r="A9" s="421" t="s">
        <v>586</v>
      </c>
      <c r="B9" s="422">
        <f>'Performance Data Sheet'!C13</f>
        <v>800</v>
      </c>
      <c r="C9" s="421" t="s">
        <v>587</v>
      </c>
      <c r="D9" s="422" t="s">
        <v>597</v>
      </c>
      <c r="E9" s="421" t="s">
        <v>2</v>
      </c>
      <c r="F9" s="423">
        <f>'Performance Data Sheet'!K44</f>
        <v>44265</v>
      </c>
    </row>
    <row r="10" spans="1:6" ht="18.95" customHeight="1">
      <c r="A10" s="421" t="s">
        <v>588</v>
      </c>
      <c r="B10" s="422">
        <f>'Performance Data Sheet'!M14</f>
        <v>1785</v>
      </c>
      <c r="C10" s="421" t="s">
        <v>409</v>
      </c>
      <c r="D10" s="422" t="s">
        <v>598</v>
      </c>
      <c r="E10" s="421" t="s">
        <v>1</v>
      </c>
      <c r="F10" s="422" t="s">
        <v>379</v>
      </c>
    </row>
    <row r="11" spans="1:6" ht="18.95" customHeight="1">
      <c r="A11" s="418"/>
      <c r="B11" s="419"/>
      <c r="C11" s="419"/>
      <c r="D11" s="419"/>
      <c r="E11" s="419"/>
      <c r="F11" s="420"/>
    </row>
    <row r="12" spans="1:6" ht="18.95" customHeight="1">
      <c r="A12" s="418"/>
      <c r="B12" s="424"/>
      <c r="C12" s="425" t="str">
        <f>'Performance Data Sheet'!D22 &amp; " A"</f>
        <v>676 A</v>
      </c>
      <c r="D12" s="424"/>
      <c r="E12" s="425"/>
      <c r="F12" s="420"/>
    </row>
    <row r="13" spans="1:6" ht="18.95" customHeight="1">
      <c r="A13" s="418"/>
      <c r="B13" s="424"/>
      <c r="C13" s="426">
        <f>'Performance Data Sheet'!H23/100</f>
        <v>0.8</v>
      </c>
      <c r="D13" s="424"/>
      <c r="E13" s="425"/>
      <c r="F13" s="420"/>
    </row>
    <row r="14" spans="1:6" ht="18.95" customHeight="1">
      <c r="A14" s="418"/>
      <c r="B14" s="424"/>
      <c r="C14" s="426"/>
      <c r="D14" s="424"/>
      <c r="E14" s="425"/>
      <c r="F14" s="420"/>
    </row>
    <row r="15" spans="1:6" ht="18.95" customHeight="1">
      <c r="A15" s="418"/>
      <c r="B15" s="424"/>
      <c r="C15" s="425" t="str">
        <f>'Performance Data Sheet'!H22 &amp; " lb-ft"</f>
        <v>2349 lb-ft</v>
      </c>
      <c r="D15" s="419"/>
      <c r="E15" s="419"/>
      <c r="F15" s="420"/>
    </row>
    <row r="16" spans="1:6" ht="18.95" customHeight="1">
      <c r="A16" s="418"/>
      <c r="B16" s="419"/>
      <c r="C16" s="419"/>
      <c r="D16" s="419"/>
      <c r="E16" s="419"/>
      <c r="F16" s="420"/>
    </row>
    <row r="17" spans="1:6" ht="18.95" customHeight="1">
      <c r="A17" s="418"/>
      <c r="B17" s="419"/>
      <c r="C17" s="419"/>
      <c r="D17" s="419"/>
      <c r="E17" s="419"/>
      <c r="F17" s="420"/>
    </row>
    <row r="18" spans="1:6" ht="18.95" customHeight="1">
      <c r="A18" s="418"/>
      <c r="B18" s="419"/>
      <c r="C18" s="419"/>
      <c r="D18" s="419"/>
      <c r="E18" s="419"/>
      <c r="F18" s="420"/>
    </row>
    <row r="19" spans="1:6" ht="18.95" customHeight="1">
      <c r="A19" s="418"/>
      <c r="B19" s="419"/>
      <c r="C19" s="419"/>
      <c r="D19" s="419"/>
      <c r="E19" s="419"/>
      <c r="F19" s="420"/>
    </row>
    <row r="20" spans="1:6" ht="18.95" customHeight="1">
      <c r="A20" s="418"/>
      <c r="B20" s="419"/>
      <c r="C20" s="419"/>
      <c r="D20" s="419"/>
      <c r="E20" s="419"/>
      <c r="F20" s="420"/>
    </row>
    <row r="21" spans="1:6" ht="18.95" customHeight="1">
      <c r="A21" s="418"/>
      <c r="B21" s="419"/>
      <c r="C21" s="419"/>
      <c r="D21" s="419"/>
      <c r="E21" s="419"/>
      <c r="F21" s="420"/>
    </row>
    <row r="22" spans="1:6" ht="18.95" customHeight="1">
      <c r="A22" s="418"/>
      <c r="B22" s="419"/>
      <c r="C22" s="419"/>
      <c r="D22" s="419"/>
      <c r="E22" s="419"/>
      <c r="F22" s="420"/>
    </row>
    <row r="23" spans="1:6" ht="18.95" customHeight="1">
      <c r="A23" s="418"/>
      <c r="B23" s="419"/>
      <c r="C23" s="419"/>
      <c r="D23" s="419"/>
      <c r="E23" s="419"/>
      <c r="F23" s="420"/>
    </row>
    <row r="24" spans="1:6" ht="18.95" customHeight="1">
      <c r="A24" s="418"/>
      <c r="B24" s="419"/>
      <c r="C24" s="419"/>
      <c r="D24" s="419"/>
      <c r="E24" s="419"/>
      <c r="F24" s="420"/>
    </row>
    <row r="25" spans="1:6" ht="18.95" customHeight="1">
      <c r="A25" s="418"/>
      <c r="B25" s="419"/>
      <c r="C25" s="419"/>
      <c r="D25" s="419"/>
      <c r="E25" s="419"/>
      <c r="F25" s="420"/>
    </row>
    <row r="26" spans="1:6" ht="18.95" customHeight="1">
      <c r="A26" s="418"/>
      <c r="B26" s="419"/>
      <c r="C26" s="419"/>
      <c r="D26" s="419"/>
      <c r="E26" s="419"/>
      <c r="F26" s="420"/>
    </row>
    <row r="27" spans="1:6" ht="18.95" customHeight="1">
      <c r="A27" s="418"/>
      <c r="B27" s="419"/>
      <c r="C27" s="419"/>
      <c r="D27" s="419"/>
      <c r="E27" s="419"/>
      <c r="F27" s="420"/>
    </row>
    <row r="28" spans="1:6" ht="18.95" customHeight="1">
      <c r="A28" s="418"/>
      <c r="B28" s="419"/>
      <c r="C28" s="419"/>
      <c r="D28" s="419"/>
      <c r="E28" s="419"/>
      <c r="F28" s="420"/>
    </row>
    <row r="29" spans="1:6" ht="18.95" customHeight="1">
      <c r="A29" s="418"/>
      <c r="B29" s="419"/>
      <c r="C29" s="419"/>
      <c r="D29" s="419"/>
      <c r="E29" s="419"/>
      <c r="F29" s="420"/>
    </row>
    <row r="30" spans="1:6" ht="18.95" customHeight="1">
      <c r="A30" s="418"/>
      <c r="B30" s="419"/>
      <c r="C30" s="419"/>
      <c r="D30" s="419"/>
      <c r="E30" s="419"/>
      <c r="F30" s="420"/>
    </row>
    <row r="31" spans="1:6" ht="18.95" customHeight="1">
      <c r="A31" s="418"/>
      <c r="B31" s="419"/>
      <c r="C31" s="419"/>
      <c r="D31" s="419"/>
      <c r="E31" s="419"/>
      <c r="F31" s="420"/>
    </row>
    <row r="32" spans="1:6" ht="18.95" customHeight="1">
      <c r="A32" s="418"/>
      <c r="B32" s="419"/>
      <c r="C32" s="419"/>
      <c r="D32" s="419"/>
      <c r="E32" s="419"/>
      <c r="F32" s="420"/>
    </row>
    <row r="33" spans="1:6" ht="18.95" customHeight="1">
      <c r="A33" s="418"/>
      <c r="B33" s="419"/>
      <c r="C33" s="419"/>
      <c r="D33" s="419"/>
      <c r="E33" s="419"/>
      <c r="F33" s="420"/>
    </row>
    <row r="34" spans="1:6" ht="18.95" customHeight="1">
      <c r="A34" s="418"/>
      <c r="B34" s="419"/>
      <c r="C34" s="419"/>
      <c r="D34" s="419"/>
      <c r="E34" s="419"/>
      <c r="F34" s="420"/>
    </row>
    <row r="35" spans="1:6" ht="18.95" customHeight="1">
      <c r="A35" s="418"/>
      <c r="B35" s="419"/>
      <c r="C35" s="419"/>
      <c r="D35" s="419"/>
      <c r="E35" s="419"/>
      <c r="F35" s="420"/>
    </row>
    <row r="36" spans="1:6" ht="18.95" customHeight="1">
      <c r="A36" s="418"/>
      <c r="B36" s="419"/>
      <c r="C36" s="419"/>
      <c r="D36" s="419"/>
      <c r="E36" s="419"/>
      <c r="F36" s="420"/>
    </row>
    <row r="37" spans="1:6" ht="18.95" customHeight="1">
      <c r="A37" s="418"/>
      <c r="B37" s="419"/>
      <c r="C37" s="419"/>
      <c r="D37" s="419"/>
      <c r="E37" s="419"/>
      <c r="F37" s="420"/>
    </row>
    <row r="38" spans="1:6" ht="18.95" customHeight="1">
      <c r="A38" s="418"/>
      <c r="B38" s="419"/>
      <c r="C38" s="419"/>
      <c r="D38" s="419"/>
      <c r="E38" s="419"/>
      <c r="F38" s="420"/>
    </row>
    <row r="39" spans="1:6" ht="18.95" customHeight="1">
      <c r="A39" s="427" t="s">
        <v>593</v>
      </c>
      <c r="B39" s="428" t="s">
        <v>370</v>
      </c>
      <c r="C39" s="428" t="str">
        <f>'Performance Data Sheet'!C10</f>
        <v>2210056.1</v>
      </c>
      <c r="D39" s="419"/>
      <c r="E39" s="424" t="s">
        <v>594</v>
      </c>
      <c r="F39" s="429" t="str">
        <f>F10</f>
        <v>CS4800</v>
      </c>
    </row>
    <row r="40" spans="1:6" ht="18.95" customHeight="1">
      <c r="A40" s="418"/>
      <c r="B40" s="428"/>
      <c r="C40" s="428"/>
      <c r="D40" s="419"/>
      <c r="E40" s="419"/>
      <c r="F40" s="420"/>
    </row>
    <row r="41" spans="1:6" ht="18.95" customHeight="1">
      <c r="A41" s="418"/>
      <c r="B41" s="428"/>
      <c r="C41" s="428"/>
      <c r="D41" s="419"/>
      <c r="E41" s="419"/>
      <c r="F41" s="420"/>
    </row>
    <row r="42" spans="1:6" ht="18.95" customHeight="1">
      <c r="A42" s="418"/>
      <c r="B42" s="419"/>
      <c r="C42" s="419"/>
      <c r="D42" s="419"/>
      <c r="E42" s="419"/>
      <c r="F42" s="420"/>
    </row>
    <row r="43" spans="1:6" ht="18.95" customHeight="1">
      <c r="A43" s="430"/>
      <c r="B43" s="428"/>
      <c r="C43" s="431" t="s">
        <v>595</v>
      </c>
      <c r="D43" s="432" t="str">
        <f>'Performance Data Sheet'!K42</f>
        <v>JERRY R</v>
      </c>
      <c r="E43" s="431" t="s">
        <v>596</v>
      </c>
      <c r="F43" s="432"/>
    </row>
    <row r="44" spans="1:6" ht="15" customHeight="1"/>
    <row r="45" spans="1:6" ht="15" customHeight="1"/>
    <row r="46" spans="1:6" ht="15" customHeight="1"/>
    <row r="47" spans="1:6" ht="15" customHeight="1"/>
    <row r="48" spans="1:6" ht="15" customHeight="1"/>
    <row r="49" spans="6:9" ht="15" customHeight="1"/>
    <row r="50" spans="6:9" ht="15" customHeight="1">
      <c r="F50" s="435" t="e">
        <f>5252.1*B50/D53</f>
        <v>#DIV/0!</v>
      </c>
      <c r="G50" s="435"/>
    </row>
    <row r="51" spans="6:9" ht="15" customHeight="1"/>
    <row r="52" spans="6:9" ht="15" customHeight="1"/>
    <row r="53" spans="6:9" ht="15" customHeight="1"/>
    <row r="54" spans="6:9" ht="15" customHeight="1"/>
    <row r="55" spans="6:9" ht="15" customHeight="1"/>
    <row r="56" spans="6:9" ht="15" customHeight="1"/>
    <row r="62" spans="6:9">
      <c r="I62" s="436"/>
    </row>
    <row r="63" spans="6:9">
      <c r="I63" s="383" t="s">
        <v>39</v>
      </c>
    </row>
    <row r="66" spans="1:6">
      <c r="D66" s="435" t="e">
        <f>D65/D64</f>
        <v>#DIV/0!</v>
      </c>
    </row>
    <row r="67" spans="1:6">
      <c r="A67" s="384" t="s">
        <v>389</v>
      </c>
      <c r="B67" s="384" t="s">
        <v>605</v>
      </c>
      <c r="C67" s="384" t="s">
        <v>606</v>
      </c>
      <c r="E67" s="384" t="s">
        <v>607</v>
      </c>
      <c r="F67" s="384" t="s">
        <v>608</v>
      </c>
    </row>
    <row r="68" spans="1:6">
      <c r="A68" s="437">
        <v>676</v>
      </c>
      <c r="B68" s="438">
        <v>35</v>
      </c>
      <c r="C68" s="438">
        <v>15</v>
      </c>
      <c r="E68" s="437">
        <f>A68</f>
        <v>676</v>
      </c>
      <c r="F68" s="438">
        <v>1E-4</v>
      </c>
    </row>
    <row r="69" spans="1:6">
      <c r="A69" s="437">
        <f>FLOOR(A68,100)</f>
        <v>600</v>
      </c>
      <c r="B69" s="438">
        <f>((A68/A69)^2)*B68</f>
        <v>44.428222222222225</v>
      </c>
      <c r="C69" s="438">
        <f>((A68/A69)^2)*C68</f>
        <v>19.04066666666667</v>
      </c>
      <c r="E69" s="437">
        <v>674</v>
      </c>
      <c r="F69" s="438">
        <v>1.4559999704360962</v>
      </c>
    </row>
    <row r="70" spans="1:6">
      <c r="A70" s="437">
        <f>A69-100</f>
        <v>500</v>
      </c>
      <c r="B70" s="438">
        <f>((A68/A70)^2)*B68</f>
        <v>63.976640000000003</v>
      </c>
      <c r="C70" s="438">
        <f>((A68/A70)^2)*C68</f>
        <v>27.418560000000003</v>
      </c>
      <c r="E70" s="437">
        <v>669.6</v>
      </c>
      <c r="F70" s="438">
        <v>2.6749999523162842</v>
      </c>
    </row>
    <row r="71" spans="1:6">
      <c r="A71" s="437">
        <f>A70-100</f>
        <v>400</v>
      </c>
      <c r="B71" s="438">
        <f>((A68/A71)^2)*B68</f>
        <v>99.963499999999982</v>
      </c>
      <c r="C71" s="438">
        <f>((A68/A71)^2)*C68</f>
        <v>42.841499999999996</v>
      </c>
      <c r="E71" s="437">
        <v>664.2</v>
      </c>
      <c r="F71" s="438">
        <v>3.8190000057220459</v>
      </c>
    </row>
    <row r="72" spans="1:6">
      <c r="A72" s="437">
        <f>A71-100</f>
        <v>300</v>
      </c>
      <c r="B72" s="438">
        <f>((A68/A72)^2)*B68</f>
        <v>177.7128888888889</v>
      </c>
      <c r="C72" s="438"/>
      <c r="E72" s="437">
        <v>657.7</v>
      </c>
      <c r="F72" s="438">
        <v>4.9660000801086426</v>
      </c>
    </row>
    <row r="73" spans="1:6">
      <c r="A73" s="437">
        <f>A72-100</f>
        <v>200</v>
      </c>
      <c r="B73" s="438">
        <f>((A68/A73)^2)*B68</f>
        <v>399.85399999999993</v>
      </c>
      <c r="C73" s="438"/>
      <c r="E73" s="437">
        <v>649.70000000000005</v>
      </c>
      <c r="F73" s="438">
        <v>6.1800003051757813</v>
      </c>
    </row>
    <row r="74" spans="1:6">
      <c r="A74" s="437">
        <v>230</v>
      </c>
      <c r="B74" s="438">
        <f>((A68/A74)^2)*B68</f>
        <v>302.34706994328917</v>
      </c>
      <c r="C74" s="438">
        <f>((A68/A74)^2)*C68</f>
        <v>129.57731568998108</v>
      </c>
      <c r="E74" s="437">
        <v>639.6</v>
      </c>
      <c r="F74" s="438">
        <v>7.5260004997253418</v>
      </c>
    </row>
    <row r="75" spans="1:6">
      <c r="A75" s="439">
        <v>180</v>
      </c>
      <c r="B75" s="438">
        <f>((A68/A75)^2)*B69</f>
        <v>626.62442216735258</v>
      </c>
      <c r="C75" s="438">
        <f>((A68/A75)^2)*C68</f>
        <v>211.56296296296296</v>
      </c>
      <c r="E75" s="437">
        <v>627.20000000000005</v>
      </c>
      <c r="F75" s="438">
        <v>9.1020002365112305</v>
      </c>
    </row>
    <row r="76" spans="1:6">
      <c r="A76" s="439">
        <v>145</v>
      </c>
      <c r="B76" s="438">
        <f>((A68/A76)^2)*B68</f>
        <v>760.7210463733652</v>
      </c>
      <c r="C76" s="438">
        <f>((A68/A76)^2)*C68</f>
        <v>326.02330558858506</v>
      </c>
      <c r="E76" s="437">
        <v>611.70000000000005</v>
      </c>
      <c r="F76" s="438">
        <v>11.131000518798828</v>
      </c>
    </row>
    <row r="77" spans="1:6">
      <c r="A77" s="439">
        <v>125</v>
      </c>
      <c r="B77" s="438"/>
      <c r="C77" s="437">
        <f>CEILING(C76*2,100)</f>
        <v>700</v>
      </c>
      <c r="E77" s="437">
        <v>597</v>
      </c>
      <c r="F77" s="438">
        <v>12.381000518798828</v>
      </c>
    </row>
    <row r="78" spans="1:6">
      <c r="A78" s="439">
        <v>125</v>
      </c>
      <c r="B78" s="438"/>
      <c r="C78" s="437">
        <f>2*C77</f>
        <v>1400</v>
      </c>
      <c r="E78" s="437">
        <v>580.20000000000005</v>
      </c>
      <c r="F78" s="438">
        <v>13.472000122070313</v>
      </c>
    </row>
    <row r="79" spans="1:6">
      <c r="A79" s="439">
        <v>125</v>
      </c>
      <c r="B79" s="439"/>
      <c r="C79" s="439">
        <v>10000</v>
      </c>
      <c r="E79" s="437">
        <v>533.5</v>
      </c>
      <c r="F79" s="438">
        <v>13.947999954223633</v>
      </c>
    </row>
    <row r="80" spans="1:6">
      <c r="E80" s="437">
        <f>A74</f>
        <v>230</v>
      </c>
      <c r="F80" s="438">
        <v>14.02299976348877</v>
      </c>
    </row>
    <row r="81" spans="5:6">
      <c r="E81" s="437">
        <f>A77</f>
        <v>125</v>
      </c>
      <c r="F81" s="438">
        <v>14.102999687194824</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69"/>
  <sheetViews>
    <sheetView workbookViewId="0">
      <selection activeCell="H13" sqref="H13"/>
    </sheetView>
  </sheetViews>
  <sheetFormatPr defaultColWidth="9.140625" defaultRowHeight="12.75"/>
  <cols>
    <col min="1" max="6" width="16.7109375" style="383" customWidth="1"/>
    <col min="7" max="16384" width="9.140625" style="383"/>
  </cols>
  <sheetData>
    <row r="1" spans="1:6" ht="18.95" customHeight="1">
      <c r="A1" s="411"/>
      <c r="B1" s="412"/>
      <c r="C1" s="412"/>
      <c r="D1" s="412"/>
      <c r="E1" s="412"/>
      <c r="F1" s="413"/>
    </row>
    <row r="2" spans="1:6" ht="26.1" customHeight="1">
      <c r="A2" s="414" t="s">
        <v>268</v>
      </c>
      <c r="B2" s="415"/>
      <c r="C2" s="415"/>
      <c r="D2" s="415"/>
      <c r="E2" s="415"/>
      <c r="F2" s="416"/>
    </row>
    <row r="3" spans="1:6" ht="18.95" customHeight="1">
      <c r="A3" s="417" t="s">
        <v>609</v>
      </c>
      <c r="B3" s="415"/>
      <c r="C3" s="415"/>
      <c r="D3" s="415"/>
      <c r="E3" s="415"/>
      <c r="F3" s="416"/>
    </row>
    <row r="4" spans="1:6" ht="18.95" customHeight="1">
      <c r="A4" s="675" t="s">
        <v>604</v>
      </c>
      <c r="B4" s="676"/>
      <c r="C4" s="676"/>
      <c r="D4" s="676"/>
      <c r="E4" s="676"/>
      <c r="F4" s="677"/>
    </row>
    <row r="5" spans="1:6" ht="18.95" customHeight="1">
      <c r="A5" s="418"/>
      <c r="B5" s="419"/>
      <c r="C5" s="419"/>
      <c r="D5" s="419"/>
      <c r="E5" s="419"/>
      <c r="F5" s="420"/>
    </row>
    <row r="6" spans="1:6" ht="18.95" customHeight="1">
      <c r="A6" s="421" t="s">
        <v>577</v>
      </c>
      <c r="B6" s="669" t="str">
        <f>'Performance Data Sheet'!C17</f>
        <v>GP-10035342</v>
      </c>
      <c r="C6" s="670"/>
      <c r="D6" s="671"/>
      <c r="E6" s="421" t="s">
        <v>578</v>
      </c>
      <c r="F6" s="422" t="str">
        <f>'Performance Data Sheet'!I14 &amp; " A"</f>
        <v>100 A</v>
      </c>
    </row>
    <row r="7" spans="1:6" ht="18.95" customHeight="1">
      <c r="A7" s="421" t="s">
        <v>579</v>
      </c>
      <c r="B7" s="422" t="str">
        <f>'Performance Data Sheet'!F14</f>
        <v>TEFC</v>
      </c>
      <c r="C7" s="421" t="s">
        <v>580</v>
      </c>
      <c r="D7" s="422" t="str">
        <f>'Performance Data Sheet'!F13 &amp; " V"</f>
        <v>4000 V</v>
      </c>
      <c r="E7" s="421" t="s">
        <v>581</v>
      </c>
      <c r="F7" s="422" t="str">
        <f>'Performance Data Sheet'!C14</f>
        <v>5811UZ</v>
      </c>
    </row>
    <row r="8" spans="1:6" ht="18.95" customHeight="1">
      <c r="A8" s="421" t="s">
        <v>582</v>
      </c>
      <c r="B8" s="422">
        <v>4</v>
      </c>
      <c r="C8" s="421" t="s">
        <v>583</v>
      </c>
      <c r="D8" s="422" t="s">
        <v>584</v>
      </c>
      <c r="E8" s="421" t="s">
        <v>585</v>
      </c>
      <c r="F8" s="422" t="str">
        <f>'Performance Data Sheet'!M15</f>
        <v>F</v>
      </c>
    </row>
    <row r="9" spans="1:6" ht="18.95" customHeight="1">
      <c r="A9" s="421" t="s">
        <v>586</v>
      </c>
      <c r="B9" s="422">
        <f>'Performance Data Sheet'!C13</f>
        <v>800</v>
      </c>
      <c r="C9" s="421" t="s">
        <v>587</v>
      </c>
      <c r="D9" s="422" t="s">
        <v>597</v>
      </c>
      <c r="E9" s="421" t="s">
        <v>2</v>
      </c>
      <c r="F9" s="423">
        <f>'Performance Data Sheet'!K44</f>
        <v>44265</v>
      </c>
    </row>
    <row r="10" spans="1:6" ht="18.95" customHeight="1">
      <c r="A10" s="421" t="s">
        <v>588</v>
      </c>
      <c r="B10" s="422">
        <f>'Performance Data Sheet'!M14</f>
        <v>1785</v>
      </c>
      <c r="C10" s="421" t="s">
        <v>409</v>
      </c>
      <c r="D10" s="422" t="s">
        <v>598</v>
      </c>
      <c r="E10" s="421" t="s">
        <v>1</v>
      </c>
      <c r="F10" s="422" t="s">
        <v>379</v>
      </c>
    </row>
    <row r="11" spans="1:6" ht="18.95" customHeight="1">
      <c r="A11" s="418"/>
      <c r="B11" s="419"/>
      <c r="C11" s="419"/>
      <c r="D11" s="419"/>
      <c r="E11" s="419"/>
      <c r="F11" s="420"/>
    </row>
    <row r="12" spans="1:6" ht="18.95" customHeight="1">
      <c r="A12" s="418"/>
      <c r="B12" s="424" t="s">
        <v>589</v>
      </c>
      <c r="C12" s="425" t="str">
        <f>'Performance Data Sheet'!D22 &amp; " A"</f>
        <v>676 A</v>
      </c>
      <c r="D12" s="424" t="s">
        <v>408</v>
      </c>
      <c r="E12" s="425" t="s">
        <v>729</v>
      </c>
      <c r="F12" s="420"/>
    </row>
    <row r="13" spans="1:6" ht="18.95" customHeight="1">
      <c r="A13" s="418"/>
      <c r="B13" s="424" t="s">
        <v>590</v>
      </c>
      <c r="C13" s="426">
        <f>'Performance Data Sheet'!H23/100</f>
        <v>0.8</v>
      </c>
      <c r="D13" s="424" t="s">
        <v>591</v>
      </c>
      <c r="E13" s="425" t="s">
        <v>729</v>
      </c>
      <c r="F13" s="420"/>
    </row>
    <row r="14" spans="1:6" ht="18.95" customHeight="1">
      <c r="A14" s="418"/>
      <c r="B14" s="424" t="s">
        <v>592</v>
      </c>
      <c r="C14" s="426">
        <v>2.2999999999999998</v>
      </c>
      <c r="D14" s="424" t="s">
        <v>410</v>
      </c>
      <c r="E14" s="425" t="s">
        <v>729</v>
      </c>
      <c r="F14" s="420"/>
    </row>
    <row r="15" spans="1:6" ht="18.95" customHeight="1">
      <c r="A15" s="418"/>
      <c r="B15" s="424" t="s">
        <v>411</v>
      </c>
      <c r="C15" s="425" t="str">
        <f>'Performance Data Sheet'!H22 &amp; " lb-ft"</f>
        <v>2349 lb-ft</v>
      </c>
      <c r="D15" s="419"/>
      <c r="E15" s="419"/>
      <c r="F15" s="420"/>
    </row>
    <row r="16" spans="1:6" ht="18.95" customHeight="1">
      <c r="A16" s="418"/>
      <c r="B16" s="419"/>
      <c r="C16" s="419"/>
      <c r="D16" s="419"/>
      <c r="E16" s="419"/>
      <c r="F16" s="420"/>
    </row>
    <row r="17" spans="1:8" ht="18.95" customHeight="1">
      <c r="A17" s="418"/>
      <c r="B17" s="419"/>
      <c r="C17" s="419"/>
      <c r="D17" s="419"/>
      <c r="E17" s="419"/>
      <c r="F17" s="420"/>
    </row>
    <row r="18" spans="1:8" ht="18.95" customHeight="1">
      <c r="A18" s="418"/>
      <c r="B18" s="419"/>
      <c r="C18" s="419"/>
      <c r="D18" s="419"/>
      <c r="E18" s="419"/>
      <c r="F18" s="420"/>
    </row>
    <row r="19" spans="1:8" ht="18.95" customHeight="1">
      <c r="A19" s="418"/>
      <c r="B19" s="419"/>
      <c r="C19" s="419"/>
      <c r="D19" s="419"/>
      <c r="E19" s="419"/>
      <c r="F19" s="420"/>
    </row>
    <row r="20" spans="1:8" ht="18.95" customHeight="1">
      <c r="A20" s="418"/>
      <c r="B20" s="419"/>
      <c r="C20" s="419"/>
      <c r="D20" s="419"/>
      <c r="E20" s="419"/>
      <c r="F20" s="420"/>
    </row>
    <row r="21" spans="1:8" ht="18.95" customHeight="1">
      <c r="A21" s="418"/>
      <c r="B21" s="419"/>
      <c r="C21" s="419"/>
      <c r="D21" s="419"/>
      <c r="E21" s="419"/>
      <c r="F21" s="420"/>
    </row>
    <row r="22" spans="1:8" ht="18.95" customHeight="1">
      <c r="A22" s="418"/>
      <c r="B22" s="419"/>
      <c r="C22" s="419"/>
      <c r="D22" s="419"/>
      <c r="E22" s="419"/>
      <c r="F22" s="420"/>
    </row>
    <row r="23" spans="1:8" ht="18.95" customHeight="1">
      <c r="A23" s="418"/>
      <c r="B23" s="419"/>
      <c r="C23" s="419"/>
      <c r="D23" s="419"/>
      <c r="E23" s="419"/>
      <c r="F23" s="420"/>
    </row>
    <row r="24" spans="1:8" ht="18.95" customHeight="1">
      <c r="A24" s="418"/>
      <c r="B24" s="419"/>
      <c r="C24" s="419"/>
      <c r="D24" s="419"/>
      <c r="E24" s="419"/>
      <c r="F24" s="420"/>
      <c r="H24" s="440"/>
    </row>
    <row r="25" spans="1:8" ht="18.95" customHeight="1">
      <c r="A25" s="418"/>
      <c r="B25" s="419"/>
      <c r="C25" s="419"/>
      <c r="D25" s="419"/>
      <c r="E25" s="419"/>
      <c r="F25" s="420"/>
    </row>
    <row r="26" spans="1:8" ht="18.95" customHeight="1">
      <c r="A26" s="418"/>
      <c r="B26" s="419"/>
      <c r="C26" s="419"/>
      <c r="D26" s="419"/>
      <c r="E26" s="419"/>
      <c r="F26" s="420"/>
    </row>
    <row r="27" spans="1:8" ht="18.95" customHeight="1">
      <c r="A27" s="418"/>
      <c r="B27" s="419"/>
      <c r="C27" s="419"/>
      <c r="D27" s="419"/>
      <c r="E27" s="419"/>
      <c r="F27" s="420"/>
    </row>
    <row r="28" spans="1:8" ht="18.95" customHeight="1">
      <c r="A28" s="418"/>
      <c r="B28" s="419"/>
      <c r="C28" s="419"/>
      <c r="D28" s="419"/>
      <c r="E28" s="419"/>
      <c r="F28" s="420"/>
    </row>
    <row r="29" spans="1:8" ht="18.95" customHeight="1">
      <c r="A29" s="418"/>
      <c r="B29" s="419"/>
      <c r="C29" s="419"/>
      <c r="D29" s="419"/>
      <c r="E29" s="419"/>
      <c r="F29" s="420"/>
    </row>
    <row r="30" spans="1:8" ht="18.95" customHeight="1">
      <c r="A30" s="418"/>
      <c r="B30" s="419"/>
      <c r="C30" s="419"/>
      <c r="D30" s="419"/>
      <c r="E30" s="419"/>
      <c r="F30" s="420"/>
    </row>
    <row r="31" spans="1:8" ht="18.95" customHeight="1">
      <c r="A31" s="418"/>
      <c r="B31" s="419"/>
      <c r="C31" s="419"/>
      <c r="D31" s="419"/>
      <c r="E31" s="419"/>
      <c r="F31" s="420"/>
    </row>
    <row r="32" spans="1:8" ht="18.95" customHeight="1">
      <c r="A32" s="418"/>
      <c r="B32" s="419"/>
      <c r="C32" s="419"/>
      <c r="D32" s="419"/>
      <c r="E32" s="419"/>
      <c r="F32" s="420"/>
    </row>
    <row r="33" spans="1:15" ht="18.95" customHeight="1">
      <c r="A33" s="418"/>
      <c r="B33" s="419"/>
      <c r="C33" s="419"/>
      <c r="D33" s="419"/>
      <c r="E33" s="419"/>
      <c r="F33" s="420"/>
    </row>
    <row r="34" spans="1:15" ht="18.95" customHeight="1">
      <c r="A34" s="418"/>
      <c r="B34" s="419"/>
      <c r="C34" s="419"/>
      <c r="D34" s="419"/>
      <c r="E34" s="419"/>
      <c r="F34" s="420"/>
    </row>
    <row r="35" spans="1:15" ht="18.95" customHeight="1">
      <c r="A35" s="418"/>
      <c r="B35" s="419"/>
      <c r="C35" s="419"/>
      <c r="D35" s="419"/>
      <c r="E35" s="419"/>
      <c r="F35" s="420"/>
    </row>
    <row r="36" spans="1:15" ht="18.95" customHeight="1">
      <c r="A36" s="418"/>
      <c r="B36" s="419"/>
      <c r="C36" s="419"/>
      <c r="D36" s="419"/>
      <c r="E36" s="419"/>
      <c r="F36" s="420"/>
      <c r="N36" s="543" t="s">
        <v>722</v>
      </c>
      <c r="O36" s="543" t="s">
        <v>723</v>
      </c>
    </row>
    <row r="37" spans="1:15" ht="18.95" customHeight="1">
      <c r="A37" s="418"/>
      <c r="B37" s="419"/>
      <c r="C37" s="419"/>
      <c r="D37" s="419"/>
      <c r="E37" s="419"/>
      <c r="F37" s="420"/>
      <c r="N37" s="543">
        <f xml:space="preserve"> L43 - (L43-L44) / 10 * 0</f>
        <v>1800</v>
      </c>
      <c r="O37" s="543">
        <f xml:space="preserve"> L45 / 10 * 10</f>
        <v>1600</v>
      </c>
    </row>
    <row r="38" spans="1:15" ht="18.95" customHeight="1">
      <c r="A38" s="418"/>
      <c r="B38" s="419"/>
      <c r="C38" s="419"/>
      <c r="D38" s="419"/>
      <c r="E38" s="419"/>
      <c r="F38" s="420"/>
      <c r="N38" s="543">
        <f xml:space="preserve"> L43 - (L43-L44) / 10 * 1</f>
        <v>1798</v>
      </c>
      <c r="O38" s="543">
        <f xml:space="preserve"> L45 / 10 * 9</f>
        <v>1440</v>
      </c>
    </row>
    <row r="39" spans="1:15" ht="18.95" customHeight="1">
      <c r="A39" s="427" t="s">
        <v>593</v>
      </c>
      <c r="B39" s="428" t="s">
        <v>370</v>
      </c>
      <c r="C39" s="428" t="str">
        <f>'Performance Data Sheet'!C10</f>
        <v>2210056.1</v>
      </c>
      <c r="D39" s="419"/>
      <c r="E39" s="424" t="s">
        <v>594</v>
      </c>
      <c r="F39" s="429" t="str">
        <f>F10</f>
        <v>CS4800</v>
      </c>
      <c r="N39" s="543">
        <f xml:space="preserve"> L43 - (L43-L44) / 10 * 2</f>
        <v>1796</v>
      </c>
      <c r="O39" s="543">
        <f xml:space="preserve"> L45 / 10 * 8</f>
        <v>1280</v>
      </c>
    </row>
    <row r="40" spans="1:15" ht="18.95" customHeight="1">
      <c r="A40" s="418"/>
      <c r="B40" s="428"/>
      <c r="C40" s="428"/>
      <c r="D40" s="419"/>
      <c r="E40" s="419"/>
      <c r="F40" s="420"/>
      <c r="N40" s="543">
        <f xml:space="preserve"> L43 - (L43-L44) / 10 * 3</f>
        <v>1794</v>
      </c>
      <c r="O40" s="543">
        <f xml:space="preserve"> L45 / 10 * 7</f>
        <v>1120</v>
      </c>
    </row>
    <row r="41" spans="1:15" ht="18.95" customHeight="1">
      <c r="A41" s="418"/>
      <c r="B41" s="428"/>
      <c r="C41" s="428"/>
      <c r="D41" s="419"/>
      <c r="E41" s="419"/>
      <c r="F41" s="420"/>
      <c r="N41" s="543">
        <f xml:space="preserve"> L43 - (L43-L44) / 10 * 4</f>
        <v>1792</v>
      </c>
      <c r="O41" s="543">
        <f xml:space="preserve"> L45 / 10 * 6</f>
        <v>960</v>
      </c>
    </row>
    <row r="42" spans="1:15" ht="18.95" customHeight="1">
      <c r="A42" s="418"/>
      <c r="B42" s="419"/>
      <c r="C42" s="419"/>
      <c r="D42" s="419"/>
      <c r="E42" s="419"/>
      <c r="F42" s="420"/>
      <c r="N42" s="543">
        <f xml:space="preserve"> L43 - (L43-L44) / 10 * 5</f>
        <v>1790</v>
      </c>
      <c r="O42" s="543">
        <f xml:space="preserve"> L45 / 10 * 5</f>
        <v>800</v>
      </c>
    </row>
    <row r="43" spans="1:15" ht="18.95" customHeight="1">
      <c r="A43" s="430"/>
      <c r="B43" s="428"/>
      <c r="C43" s="431" t="s">
        <v>595</v>
      </c>
      <c r="D43" s="432" t="str">
        <f>'Performance Data Sheet'!K42</f>
        <v>JERRY R</v>
      </c>
      <c r="E43" s="431" t="s">
        <v>596</v>
      </c>
      <c r="F43" s="432"/>
      <c r="K43" s="546" t="s">
        <v>719</v>
      </c>
      <c r="L43" s="547">
        <v>1800</v>
      </c>
      <c r="N43" s="543">
        <f xml:space="preserve"> L43 - (L43-L44) / 10 * 6</f>
        <v>1788</v>
      </c>
      <c r="O43" s="543">
        <f xml:space="preserve"> L45 / 10 * 4</f>
        <v>640</v>
      </c>
    </row>
    <row r="44" spans="1:15" ht="15" customHeight="1">
      <c r="K44" s="546" t="s">
        <v>720</v>
      </c>
      <c r="L44" s="548">
        <v>1780</v>
      </c>
      <c r="N44" s="543">
        <f xml:space="preserve"> L43 - (L43-L44) / 10 * 7</f>
        <v>1786</v>
      </c>
      <c r="O44" s="543">
        <f xml:space="preserve"> L45 / 10 * 3</f>
        <v>480</v>
      </c>
    </row>
    <row r="45" spans="1:15" ht="15" customHeight="1">
      <c r="K45" s="546" t="s">
        <v>721</v>
      </c>
      <c r="L45" s="548">
        <v>1600</v>
      </c>
      <c r="N45" s="543">
        <f xml:space="preserve"> L43 - (L43-L44) / 10 * 8</f>
        <v>1784</v>
      </c>
      <c r="O45" s="543">
        <f xml:space="preserve"> L45 / 10 * 2</f>
        <v>320</v>
      </c>
    </row>
    <row r="46" spans="1:15" ht="15" customHeight="1">
      <c r="N46" s="543">
        <f xml:space="preserve"> L43 - (L43-L44) / 10 * 9</f>
        <v>1782</v>
      </c>
      <c r="O46" s="543">
        <f xml:space="preserve"> L45 / 10 * 1</f>
        <v>160</v>
      </c>
    </row>
    <row r="47" spans="1:15" ht="15" customHeight="1">
      <c r="N47" s="543">
        <f xml:space="preserve"> L43 - (L43-L44) / 10 * 10</f>
        <v>1780</v>
      </c>
      <c r="O47" s="543">
        <f xml:space="preserve"> L45 / 10 * 0</f>
        <v>0</v>
      </c>
    </row>
    <row r="48" spans="1:15" ht="15" customHeight="1"/>
    <row r="49" spans="1:6" ht="15" customHeight="1"/>
    <row r="50" spans="1:6" ht="15" customHeight="1"/>
    <row r="51" spans="1:6" ht="15" customHeight="1" thickBot="1"/>
    <row r="52" spans="1:6" ht="15" customHeight="1" thickBot="1">
      <c r="A52" s="678" t="s">
        <v>717</v>
      </c>
      <c r="B52" s="679"/>
      <c r="C52" s="679"/>
      <c r="D52" s="679"/>
      <c r="E52" s="679"/>
      <c r="F52" s="680"/>
    </row>
    <row r="53" spans="1:6" ht="15" customHeight="1" thickBot="1">
      <c r="A53" s="544" t="s">
        <v>407</v>
      </c>
      <c r="B53" s="544" t="s">
        <v>142</v>
      </c>
      <c r="C53" s="544" t="s">
        <v>120</v>
      </c>
      <c r="D53" s="544" t="s">
        <v>135</v>
      </c>
      <c r="E53" s="544" t="s">
        <v>5</v>
      </c>
      <c r="F53" s="545" t="s">
        <v>610</v>
      </c>
    </row>
    <row r="54" spans="1:6" ht="15" customHeight="1">
      <c r="A54" s="441">
        <v>0</v>
      </c>
      <c r="B54" s="388"/>
      <c r="C54" s="442"/>
      <c r="D54" s="442">
        <v>22</v>
      </c>
      <c r="E54" s="442">
        <v>100</v>
      </c>
      <c r="F54" s="443">
        <f>11580/(L45*1000) * 100</f>
        <v>0.72375</v>
      </c>
    </row>
    <row r="55" spans="1:6" ht="15" customHeight="1">
      <c r="A55" s="444">
        <v>25</v>
      </c>
      <c r="B55" s="445">
        <v>89.300003051757813</v>
      </c>
      <c r="C55" s="385">
        <v>73</v>
      </c>
      <c r="D55" s="385">
        <v>33.049999237060547</v>
      </c>
      <c r="E55" s="385">
        <f xml:space="preserve"> (1.004611*B10-L44)/(L43-L44)*100</f>
        <v>66.153174999999464</v>
      </c>
      <c r="F55" s="386">
        <f xml:space="preserve"> 167153.3/(L45*1000)*100</f>
        <v>10.44708125</v>
      </c>
    </row>
    <row r="56" spans="1:6" ht="15" customHeight="1">
      <c r="A56" s="444">
        <v>50</v>
      </c>
      <c r="B56" s="445">
        <v>93.699996948242188</v>
      </c>
      <c r="C56" s="385">
        <v>86.599998474121094</v>
      </c>
      <c r="D56" s="385">
        <v>53.060001373291016</v>
      </c>
      <c r="E56" s="385">
        <f xml:space="preserve"> (1.003126*B10-L44)/(L43-L44)*100</f>
        <v>52.899549999999643</v>
      </c>
      <c r="F56" s="386">
        <f xml:space="preserve"> 318350.7/(L45*1000)*100</f>
        <v>19.896918750000001</v>
      </c>
    </row>
    <row r="57" spans="1:6">
      <c r="A57" s="444">
        <v>75</v>
      </c>
      <c r="B57" s="445">
        <v>95</v>
      </c>
      <c r="C57" s="385">
        <v>89.800003051757813</v>
      </c>
      <c r="D57" s="385">
        <v>75.699996948242188</v>
      </c>
      <c r="E57" s="385">
        <f xml:space="preserve"> (1.00164*B10-L44)/(L43-L44)*100</f>
        <v>39.637000000001308</v>
      </c>
      <c r="F57" s="386">
        <f xml:space="preserve"> 470969.5/(L45*1000)*100</f>
        <v>29.435593749999999</v>
      </c>
    </row>
    <row r="58" spans="1:6">
      <c r="A58" s="444">
        <v>100</v>
      </c>
      <c r="B58" s="445">
        <v>95.5</v>
      </c>
      <c r="C58" s="385">
        <v>90.300003051757813</v>
      </c>
      <c r="D58" s="385">
        <v>99.870002746582031</v>
      </c>
      <c r="E58" s="385">
        <f xml:space="preserve"> (1*B10-L44)/(L43-L44)*100</f>
        <v>25</v>
      </c>
      <c r="F58" s="386">
        <f xml:space="preserve"> 624803.4/(L45*1000)*100</f>
        <v>39.050212500000001</v>
      </c>
    </row>
    <row r="59" spans="1:6" ht="13.5" thickBot="1">
      <c r="A59" s="446">
        <v>125</v>
      </c>
      <c r="B59" s="447">
        <v>95.599998474121094</v>
      </c>
      <c r="C59" s="448">
        <v>89.600006103515625</v>
      </c>
      <c r="D59" s="448">
        <v>125.62000274658203</v>
      </c>
      <c r="E59" s="448">
        <f xml:space="preserve"> (0.9984116*B10-L44)/(L43-L44)*100</f>
        <v>10.823530000000119</v>
      </c>
      <c r="F59" s="387">
        <f xml:space="preserve"> 779807.6/(L45*1000)*100</f>
        <v>48.737974999999999</v>
      </c>
    </row>
    <row r="60" spans="1:6">
      <c r="A60" s="433"/>
      <c r="B60" s="434"/>
      <c r="C60" s="434"/>
    </row>
    <row r="61" spans="1:6" ht="13.5" thickBot="1">
      <c r="A61" s="433"/>
      <c r="B61" s="434"/>
      <c r="C61" s="434"/>
    </row>
    <row r="62" spans="1:6" ht="13.5" thickBot="1">
      <c r="A62" s="678" t="s">
        <v>718</v>
      </c>
      <c r="B62" s="679"/>
      <c r="C62" s="679"/>
      <c r="D62" s="679"/>
      <c r="E62" s="679"/>
      <c r="F62" s="680"/>
    </row>
    <row r="63" spans="1:6" ht="13.5" thickBot="1">
      <c r="A63" s="544" t="s">
        <v>407</v>
      </c>
      <c r="B63" s="544" t="s">
        <v>142</v>
      </c>
      <c r="C63" s="544" t="s">
        <v>120</v>
      </c>
      <c r="D63" s="544" t="s">
        <v>135</v>
      </c>
      <c r="E63" s="544" t="s">
        <v>5</v>
      </c>
      <c r="F63" s="545" t="s">
        <v>610</v>
      </c>
    </row>
    <row r="64" spans="1:6">
      <c r="A64" s="441">
        <v>0</v>
      </c>
      <c r="B64" s="388"/>
      <c r="C64" s="442"/>
      <c r="D64" s="442">
        <v>20.095214376234924</v>
      </c>
      <c r="E64" s="442">
        <v>100</v>
      </c>
      <c r="F64" s="443">
        <v>16.923791282531393</v>
      </c>
    </row>
    <row r="65" spans="1:6">
      <c r="A65" s="444">
        <v>25</v>
      </c>
      <c r="B65" s="445">
        <v>89.223648071289063</v>
      </c>
      <c r="C65" s="385">
        <v>73.010368347167969</v>
      </c>
      <c r="D65" s="385">
        <v>33.05560302734375</v>
      </c>
      <c r="E65" s="385">
        <v>90.256840830590193</v>
      </c>
      <c r="F65" s="386">
        <v>10.450029247636126</v>
      </c>
    </row>
    <row r="66" spans="1:6">
      <c r="A66" s="444">
        <v>50</v>
      </c>
      <c r="B66" s="445">
        <v>93.684074401855469</v>
      </c>
      <c r="C66" s="385">
        <v>86.629386901855469</v>
      </c>
      <c r="D66" s="385">
        <v>53.065052032470703</v>
      </c>
      <c r="E66" s="385">
        <v>75.892534800819419</v>
      </c>
      <c r="F66" s="386">
        <v>19.904979714343671</v>
      </c>
    </row>
    <row r="67" spans="1:6">
      <c r="A67" s="444">
        <v>75</v>
      </c>
      <c r="B67" s="445">
        <v>95.013801574707031</v>
      </c>
      <c r="C67" s="385">
        <v>89.811019897460938</v>
      </c>
      <c r="D67" s="385">
        <v>75.703262329101563</v>
      </c>
      <c r="E67" s="385">
        <v>61.233349478530343</v>
      </c>
      <c r="F67" s="386">
        <v>29.439613616370149</v>
      </c>
    </row>
    <row r="68" spans="1:6">
      <c r="A68" s="444">
        <v>100</v>
      </c>
      <c r="B68" s="445">
        <v>95.485137939453125</v>
      </c>
      <c r="C68" s="385">
        <v>90.318122863769531</v>
      </c>
      <c r="D68" s="385">
        <v>99.875503540039063</v>
      </c>
      <c r="E68" s="385">
        <v>45.463073868836879</v>
      </c>
      <c r="F68" s="386">
        <v>39.059057738596145</v>
      </c>
    </row>
    <row r="69" spans="1:6" ht="13.5" thickBot="1">
      <c r="A69" s="446">
        <v>125</v>
      </c>
      <c r="B69" s="447">
        <v>95.591133117675781</v>
      </c>
      <c r="C69" s="448">
        <v>89.656005859375</v>
      </c>
      <c r="D69" s="448">
        <v>125.62690734863281</v>
      </c>
      <c r="E69" s="448">
        <v>29.853231884217312</v>
      </c>
      <c r="F69" s="387">
        <v>48.769685602984509</v>
      </c>
    </row>
  </sheetData>
  <mergeCells count="4">
    <mergeCell ref="A4:F4"/>
    <mergeCell ref="B6:D6"/>
    <mergeCell ref="A52:F52"/>
    <mergeCell ref="A62:F62"/>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DesignSheet</vt:lpstr>
      <vt:lpstr>Data Sheet</vt:lpstr>
      <vt:lpstr>LoginSheet</vt:lpstr>
      <vt:lpstr>StallTime</vt:lpstr>
      <vt:lpstr>Performance Data Sheet</vt:lpstr>
      <vt:lpstr>STCurve</vt:lpstr>
      <vt:lpstr>Thermdam</vt:lpstr>
      <vt:lpstr>Performance</vt:lpstr>
      <vt:lpstr>'Data Sheet'!Print_Area</vt:lpstr>
      <vt:lpstr>DesignSheet!Print_Area</vt:lpstr>
      <vt:lpstr>LoginSheet!Print_Area</vt:lpstr>
      <vt:lpstr>Performance!Print_Area</vt:lpstr>
      <vt:lpstr>'Performance Data Sheet'!Print_Area</vt:lpstr>
      <vt:lpstr>StallTime!Print_Area</vt:lpstr>
      <vt:lpstr>STCurve!Print_Area</vt:lpstr>
      <vt:lpstr>Thermdam!Print_Area</vt:lpstr>
      <vt:lpstr>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DesOut</dc:title>
  <dc:creator>Xie, Zichao</dc:creator>
  <cp:lastModifiedBy>Mammen, Bibin (TIC)</cp:lastModifiedBy>
  <cp:lastPrinted>2017-05-22T14:20:14Z</cp:lastPrinted>
  <dcterms:created xsi:type="dcterms:W3CDTF">1997-10-03T20:37:30Z</dcterms:created>
  <dcterms:modified xsi:type="dcterms:W3CDTF">2026-05-27T19:15:58Z</dcterms:modified>
</cp:coreProperties>
</file>