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G:\DESPRO\BASE MV DESIGNS\6800 Frame TEFC\4P\Cu_SERIES\"/>
    </mc:Choice>
  </mc:AlternateContent>
  <bookViews>
    <workbookView xWindow="3165" yWindow="1080" windowWidth="4800" windowHeight="5190" tabRatio="831" activeTab="1"/>
  </bookViews>
  <sheets>
    <sheet name="DesignSheet" sheetId="2" r:id="rId1"/>
    <sheet name="Data Sheet" sheetId="3" r:id="rId2"/>
    <sheet name="Data Sheet_2300V" sheetId="16" r:id="rId3"/>
    <sheet name="StallTime" sheetId="7" r:id="rId4"/>
    <sheet name="Performance Data Sheet" sheetId="11" r:id="rId5"/>
    <sheet name="STCurve" sheetId="12" r:id="rId6"/>
    <sheet name="Thermdam" sheetId="13" r:id="rId7"/>
    <sheet name="Performance 4000V" sheetId="14" r:id="rId8"/>
    <sheet name="Performance 2300V" sheetId="15" r:id="rId9"/>
  </sheets>
  <definedNames>
    <definedName name="_Regression_Int" localSheetId="4" hidden="1">1</definedName>
    <definedName name="_xlnm.Print_Area" localSheetId="1">'Data Sheet'!$A$1:$K$46</definedName>
    <definedName name="_xlnm.Print_Area" localSheetId="2">'Data Sheet_2300V'!$A$1:$K$46</definedName>
    <definedName name="_xlnm.Print_Area" localSheetId="0">DesignSheet!$A$1:$J$68</definedName>
    <definedName name="_xlnm.Print_Area" localSheetId="8">'Performance 2300V'!$A$1:$F$43</definedName>
    <definedName name="_xlnm.Print_Area" localSheetId="7">'Performance 4000V'!$A$1:$F$43</definedName>
    <definedName name="_xlnm.Print_Area" localSheetId="4">'Performance Data Sheet'!$A$1:$M$44</definedName>
    <definedName name="_xlnm.Print_Area" localSheetId="3">StallTime!$A$1:$G$40</definedName>
    <definedName name="_xlnm.Print_Area" localSheetId="5">STCurve!$A$1:$F$43</definedName>
    <definedName name="_xlnm.Print_Area" localSheetId="6">Thermdam!$A$1:$F$43</definedName>
    <definedName name="Print_Area_MI">'Performance Data Sheet'!$A$10:$N$42</definedName>
    <definedName name="Z_852987ED_B4F5_11D1_ABEC_0000832EB49E_.wvu.PrintArea" localSheetId="8" hidden="1">'Performance 2300V'!$A$1:$F$43</definedName>
    <definedName name="Z_852987ED_B4F5_11D1_ABEC_0000832EB49E_.wvu.PrintArea" localSheetId="7" hidden="1">'Performance 4000V'!$A$1:$F$43</definedName>
    <definedName name="Z_852987ED_B4F5_11D1_ABEC_0000832EB49E_.wvu.PrintArea" localSheetId="5" hidden="1">STCurve!$A$1:$F$43</definedName>
  </definedNames>
  <calcPr calcId="162913"/>
</workbook>
</file>

<file path=xl/calcChain.xml><?xml version="1.0" encoding="utf-8"?>
<calcChain xmlns="http://schemas.openxmlformats.org/spreadsheetml/2006/main">
  <c r="M9" i="3" l="1"/>
  <c r="M11" i="3" l="1"/>
  <c r="M7" i="3"/>
  <c r="M7" i="16" l="1"/>
  <c r="M8" i="16"/>
  <c r="M9" i="16"/>
  <c r="M10" i="16"/>
  <c r="M11" i="16"/>
  <c r="M18" i="16"/>
  <c r="M28" i="16"/>
  <c r="D43" i="15" l="1"/>
  <c r="F39" i="15"/>
  <c r="C39" i="15"/>
  <c r="B7" i="15"/>
  <c r="F7" i="15"/>
  <c r="F9" i="15"/>
  <c r="B6" i="15"/>
  <c r="D43" i="14" l="1"/>
  <c r="F39" i="14"/>
  <c r="C39" i="14"/>
  <c r="C12" i="14"/>
  <c r="F9" i="14"/>
  <c r="F7" i="14"/>
  <c r="D7" i="14"/>
  <c r="B7" i="14"/>
  <c r="F6" i="14"/>
  <c r="B6" i="14"/>
  <c r="C76" i="13"/>
  <c r="C77" i="13" s="1"/>
  <c r="C78" i="13" s="1"/>
  <c r="B76" i="13"/>
  <c r="C75" i="13"/>
  <c r="C74" i="13"/>
  <c r="B74" i="13"/>
  <c r="C69" i="13"/>
  <c r="A69" i="13"/>
  <c r="A70" i="13" s="1"/>
  <c r="E68" i="13"/>
  <c r="D66" i="13"/>
  <c r="F50" i="13"/>
  <c r="D43" i="13"/>
  <c r="F39" i="13"/>
  <c r="C39" i="13"/>
  <c r="F9" i="13"/>
  <c r="F7" i="13"/>
  <c r="D7" i="13"/>
  <c r="B7" i="13"/>
  <c r="F6" i="13"/>
  <c r="B6" i="13"/>
  <c r="D43" i="12"/>
  <c r="F39" i="12"/>
  <c r="C39" i="12"/>
  <c r="C12" i="12"/>
  <c r="F9" i="12"/>
  <c r="F7" i="12"/>
  <c r="D7" i="12"/>
  <c r="B7" i="12"/>
  <c r="F6" i="12"/>
  <c r="B6" i="12"/>
  <c r="C70" i="13" l="1"/>
  <c r="B70" i="13"/>
  <c r="A71" i="13"/>
  <c r="B69" i="13"/>
  <c r="B75" i="13" s="1"/>
  <c r="A72" i="13" l="1"/>
  <c r="C71" i="13"/>
  <c r="B71" i="13"/>
  <c r="A73" i="13" l="1"/>
  <c r="B73" i="13" s="1"/>
  <c r="B72" i="13"/>
  <c r="M28" i="3" l="1"/>
  <c r="M18" i="3"/>
</calcChain>
</file>

<file path=xl/comments1.xml><?xml version="1.0" encoding="utf-8"?>
<comments xmlns="http://schemas.openxmlformats.org/spreadsheetml/2006/main">
  <authors>
    <author>Paulo Yoshiura</author>
  </authors>
  <commentList>
    <comment ref="K4" authorId="0" shapeId="0">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text>
        <r>
          <rPr>
            <b/>
            <sz val="8"/>
            <color indexed="81"/>
            <rFont val="Tahoma"/>
            <family val="2"/>
          </rPr>
          <t>Choose Steel Type
from list or input name</t>
        </r>
      </text>
    </comment>
    <comment ref="D21" authorId="0" shapeId="0">
      <text>
        <r>
          <rPr>
            <b/>
            <sz val="8"/>
            <color indexed="81"/>
            <rFont val="Tahoma"/>
            <family val="2"/>
          </rPr>
          <t>Choose Method of coil connection from list!</t>
        </r>
        <r>
          <rPr>
            <sz val="8"/>
            <color indexed="81"/>
            <rFont val="Tahoma"/>
            <family val="2"/>
          </rPr>
          <t xml:space="preserve">
</t>
        </r>
      </text>
    </comment>
  </commentList>
</comments>
</file>

<file path=xl/comments2.xml><?xml version="1.0" encoding="utf-8"?>
<comments xmlns="http://schemas.openxmlformats.org/spreadsheetml/2006/main">
  <authors>
    <author>Paulo Yoshiura</author>
  </authors>
  <commentList>
    <comment ref="K4" authorId="0" shapeId="0">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text>
        <r>
          <rPr>
            <b/>
            <sz val="8"/>
            <color indexed="81"/>
            <rFont val="Tahoma"/>
            <family val="2"/>
          </rPr>
          <t>Choose Steel Type
from list or input name</t>
        </r>
      </text>
    </comment>
    <comment ref="D21" authorId="0" shapeId="0">
      <text>
        <r>
          <rPr>
            <b/>
            <sz val="8"/>
            <color indexed="81"/>
            <rFont val="Tahoma"/>
            <family val="2"/>
          </rPr>
          <t>Choose Method of coil connection from list!</t>
        </r>
        <r>
          <rPr>
            <sz val="8"/>
            <color indexed="81"/>
            <rFont val="Tahoma"/>
            <family val="2"/>
          </rPr>
          <t xml:space="preserve">
</t>
        </r>
      </text>
    </comment>
  </commentList>
</comments>
</file>

<file path=xl/comments3.xml><?xml version="1.0" encoding="utf-8"?>
<comments xmlns="http://schemas.openxmlformats.org/spreadsheetml/2006/main">
  <authors>
    <author>Paulo Yoshiura</author>
  </authors>
  <commentList>
    <comment ref="L22" authorId="0" shapeId="0">
      <text>
        <r>
          <rPr>
            <b/>
            <sz val="8"/>
            <color indexed="81"/>
            <rFont val="Tahoma"/>
            <family val="2"/>
          </rPr>
          <t>Pick bearings from list!</t>
        </r>
      </text>
    </comment>
  </commentList>
</comments>
</file>

<file path=xl/sharedStrings.xml><?xml version="1.0" encoding="utf-8"?>
<sst xmlns="http://schemas.openxmlformats.org/spreadsheetml/2006/main" count="1059" uniqueCount="676">
  <si>
    <t>Calc. Code:</t>
  </si>
  <si>
    <t>File:</t>
  </si>
  <si>
    <t>Date:</t>
  </si>
  <si>
    <t>Time:</t>
  </si>
  <si>
    <t>Pole</t>
  </si>
  <si>
    <t>RPM</t>
  </si>
  <si>
    <t>Voltage</t>
  </si>
  <si>
    <t>Frequency</t>
  </si>
  <si>
    <t>FLSpeed</t>
  </si>
  <si>
    <t>FLSlip</t>
  </si>
  <si>
    <t xml:space="preserve">Frame </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</si>
  <si>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</si>
  <si>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</si>
  <si>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</si>
  <si>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</si>
  <si>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</si>
  <si>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</si>
  <si>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</si>
  <si>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</si>
  <si>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</si>
  <si>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</si>
  <si>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</si>
  <si>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</si>
  <si>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</si>
  <si>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</si>
  <si>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Cross Section Area</t>
  </si>
  <si>
    <t>Mean Value</t>
  </si>
  <si>
    <t>Core Length</t>
  </si>
  <si>
    <t>Eff.T.W.St.</t>
  </si>
  <si>
    <t>WS</t>
  </si>
  <si>
    <t>OD</t>
  </si>
  <si>
    <t>Coil Pitch</t>
  </si>
  <si>
    <t>Eff.T.W.Rt.</t>
  </si>
  <si>
    <t>ID</t>
  </si>
  <si>
    <t>Slot Fill</t>
  </si>
  <si>
    <t xml:space="preserve">St.Carter Fac. </t>
  </si>
  <si>
    <t>IS</t>
  </si>
  <si>
    <t>Core Depth</t>
  </si>
  <si>
    <t>Con./Slot</t>
  </si>
  <si>
    <t xml:space="preserve"> </t>
  </si>
  <si>
    <t>Rt.Carter Fac.</t>
  </si>
  <si>
    <t>Eff.Core L.</t>
  </si>
  <si>
    <t>Wire Size 1</t>
  </si>
  <si>
    <t>Carter Factor</t>
  </si>
  <si>
    <t>Volts / Turn</t>
  </si>
  <si>
    <t>Slot Data</t>
  </si>
  <si>
    <t>Wire Size 2</t>
  </si>
  <si>
    <t>Short. Factor</t>
  </si>
  <si>
    <t>Number</t>
  </si>
  <si>
    <t>// Circuits</t>
  </si>
  <si>
    <t>Distrib. Factor</t>
  </si>
  <si>
    <t>AC</t>
  </si>
  <si>
    <t>Kind</t>
  </si>
  <si>
    <t>Connection</t>
  </si>
  <si>
    <t>Wind. Factor</t>
  </si>
  <si>
    <t>Skew</t>
  </si>
  <si>
    <t>MCL</t>
  </si>
  <si>
    <t>Reactance</t>
  </si>
  <si>
    <t>Depth</t>
  </si>
  <si>
    <t>No.Cond./Ph.</t>
  </si>
  <si>
    <t>Running</t>
  </si>
  <si>
    <t>Start</t>
  </si>
  <si>
    <t>Width</t>
  </si>
  <si>
    <t>Stator Slot</t>
  </si>
  <si>
    <t>Opening</t>
  </si>
  <si>
    <t>Rotor Slot</t>
  </si>
  <si>
    <t>Tip Depth</t>
  </si>
  <si>
    <t>Material</t>
  </si>
  <si>
    <t>Zigzag</t>
  </si>
  <si>
    <t>T.Min.Wid.</t>
  </si>
  <si>
    <t>Spec.Resist.</t>
  </si>
  <si>
    <t>Coil End</t>
  </si>
  <si>
    <t>Low. R.</t>
  </si>
  <si>
    <t>Spec.Gravity</t>
  </si>
  <si>
    <t>Belt Leakage</t>
  </si>
  <si>
    <t>Up. R.</t>
  </si>
  <si>
    <t>Weight (kg)</t>
  </si>
  <si>
    <t>Total Resist.</t>
  </si>
  <si>
    <t>Wedge Dep.</t>
  </si>
  <si>
    <t>Wire 1</t>
  </si>
  <si>
    <t>Total React.</t>
  </si>
  <si>
    <t>Duct</t>
  </si>
  <si>
    <t>Wire 2</t>
  </si>
  <si>
    <t>Impedance</t>
  </si>
  <si>
    <t>Effective Depth (S=1)</t>
  </si>
  <si>
    <t>Magnetic Circuit Data</t>
  </si>
  <si>
    <t>Core Loss Data</t>
  </si>
  <si>
    <t>Res.=</t>
  </si>
  <si>
    <t>Length</t>
  </si>
  <si>
    <t>Section</t>
  </si>
  <si>
    <t>Density</t>
  </si>
  <si>
    <t>AT</t>
  </si>
  <si>
    <t>Volume</t>
  </si>
  <si>
    <t>Loss</t>
  </si>
  <si>
    <t>Reac.=</t>
  </si>
  <si>
    <t>Primary Core</t>
  </si>
  <si>
    <t>Excitation Data</t>
  </si>
  <si>
    <t>Tooth</t>
  </si>
  <si>
    <t>Excit.Amps</t>
  </si>
  <si>
    <t>Second.Core</t>
  </si>
  <si>
    <t>Total</t>
  </si>
  <si>
    <t>Core Loss</t>
  </si>
  <si>
    <t>Flux / Pole</t>
  </si>
  <si>
    <t>C.L.C.</t>
  </si>
  <si>
    <t>NoLoad</t>
  </si>
  <si>
    <t>S.F.C.</t>
  </si>
  <si>
    <t>Load Characteristics</t>
  </si>
  <si>
    <t>No Load Loss</t>
  </si>
  <si>
    <t>W.Loss</t>
  </si>
  <si>
    <t>Load (%)</t>
  </si>
  <si>
    <t>Primary Loss</t>
  </si>
  <si>
    <t>S.Loss</t>
  </si>
  <si>
    <t>Current (A)</t>
  </si>
  <si>
    <t>Second. Loss</t>
  </si>
  <si>
    <t>Total C.Loss</t>
  </si>
  <si>
    <t xml:space="preserve">Efficiency </t>
  </si>
  <si>
    <t>Frict.&amp; Wind.</t>
  </si>
  <si>
    <t>P.F.</t>
  </si>
  <si>
    <t>Starting Data</t>
  </si>
  <si>
    <t>Slip</t>
  </si>
  <si>
    <t>PF</t>
  </si>
  <si>
    <t xml:space="preserve">LRA </t>
  </si>
  <si>
    <t>%</t>
  </si>
  <si>
    <t>L (Inv., MH)</t>
  </si>
  <si>
    <t>LRT (kg.m)</t>
  </si>
  <si>
    <t>(No Load)</t>
  </si>
  <si>
    <t>Design Parameters (Full Load)</t>
  </si>
  <si>
    <t>Magnetic Pull  &amp; Thrust</t>
  </si>
  <si>
    <t>BDT (kW)</t>
  </si>
  <si>
    <t>IM/IW</t>
  </si>
  <si>
    <t>I*R1/E</t>
  </si>
  <si>
    <t>Rosenberg</t>
  </si>
  <si>
    <t>IW*X/E</t>
  </si>
  <si>
    <t>I*R2/E</t>
  </si>
  <si>
    <t>Schwisky</t>
  </si>
  <si>
    <t>Amps</t>
  </si>
  <si>
    <t>SUM</t>
  </si>
  <si>
    <t>Friction/OP.</t>
  </si>
  <si>
    <t>Tsurumi</t>
  </si>
  <si>
    <t>Max. Output</t>
  </si>
  <si>
    <t>IH/I</t>
  </si>
  <si>
    <t>Thrust (1mm)</t>
  </si>
  <si>
    <t>Efficiency</t>
  </si>
  <si>
    <t>Thrust (3 mm)</t>
  </si>
  <si>
    <t>Miscellaneous Data</t>
  </si>
  <si>
    <t>Slot Number</t>
  </si>
  <si>
    <t>Slit Width</t>
  </si>
  <si>
    <t>T.M.Wid.Low.</t>
  </si>
  <si>
    <t>Watt Rad.</t>
  </si>
  <si>
    <t>Coil Cur. Density</t>
  </si>
  <si>
    <t>Slit Depth</t>
  </si>
  <si>
    <t>Cal.T.W.Up.</t>
  </si>
  <si>
    <t>L.S.Up.Wid.</t>
  </si>
  <si>
    <t>Cal.M.T.Wid.</t>
  </si>
  <si>
    <t>Bar Cur. Den.</t>
  </si>
  <si>
    <t>L.S.Low.Wid.</t>
  </si>
  <si>
    <t>Up. Sl. Wid.</t>
  </si>
  <si>
    <t>L.S.Depth</t>
  </si>
  <si>
    <t>X2S</t>
  </si>
  <si>
    <t>IMC</t>
  </si>
  <si>
    <t>ER Cur. Den.</t>
  </si>
  <si>
    <t>Up. Sl. Dep.</t>
  </si>
  <si>
    <t>T.M.Wid.Up.</t>
  </si>
  <si>
    <t>X3S</t>
  </si>
  <si>
    <t>Coil Pitch Ct.</t>
  </si>
  <si>
    <t>Torque (%)</t>
  </si>
  <si>
    <t>Res.     (20°C)</t>
  </si>
  <si>
    <t>(115°C)</t>
  </si>
  <si>
    <t xml:space="preserve">                              TOSHIBA INTERNATIONAL CORPORATION</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</si>
  <si>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</si>
  <si>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</si>
  <si>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</si>
  <si>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HP</t>
  </si>
  <si>
    <t>Form</t>
  </si>
  <si>
    <t xml:space="preserve">             3-PHASE SQUIRREL CAGE INDUCTION MOTOR DESIGN SHEET</t>
  </si>
  <si>
    <t>-</t>
  </si>
  <si>
    <t>Temperature</t>
  </si>
  <si>
    <t>FCW4</t>
  </si>
  <si>
    <t>6811US</t>
  </si>
  <si>
    <t>Open</t>
  </si>
  <si>
    <t>Rectang</t>
  </si>
  <si>
    <t>11.58 - 11.58</t>
  </si>
  <si>
    <t>3.65 - 2.00</t>
  </si>
  <si>
    <t>Magnetic</t>
  </si>
  <si>
    <t>1 ~ 14</t>
  </si>
  <si>
    <t>(.081"x.258")x2</t>
  </si>
  <si>
    <t>Wye</t>
  </si>
  <si>
    <t>CU</t>
  </si>
  <si>
    <t>ERD1: 416.0</t>
  </si>
  <si>
    <t>EBL: 50.5</t>
  </si>
  <si>
    <t>ERT: 46.00</t>
  </si>
  <si>
    <t>ERH: 43.00</t>
  </si>
  <si>
    <t>(12 x 35)</t>
  </si>
  <si>
    <t>LB:  -</t>
  </si>
  <si>
    <t>LER:  -</t>
  </si>
  <si>
    <t>Single Cage Data</t>
  </si>
  <si>
    <t>UB: 420.0</t>
  </si>
  <si>
    <t>UER: 1978.0</t>
  </si>
  <si>
    <t>(Coeff.: 0.0758)</t>
  </si>
  <si>
    <t>Skew R.: 0.00</t>
  </si>
  <si>
    <t>K:\Active Projects\6800 Frame TEFC\Electrical Design\4P\Cu_SERIES\CS4900U.rat</t>
  </si>
  <si>
    <t>2-2-2-0-1-2</t>
  </si>
  <si>
    <t>B.L.-1  P.F.-1</t>
  </si>
  <si>
    <t>4829.9 / 4754.9</t>
  </si>
  <si>
    <t>4231.2 / 4386.2</t>
  </si>
  <si>
    <t>18405.4 / 13635.2</t>
  </si>
  <si>
    <t>9300.0 / 10813.0</t>
  </si>
  <si>
    <t>8942.9 / 3717.7</t>
  </si>
  <si>
    <t>938.5 / 390.1</t>
  </si>
  <si>
    <t>8004.4 / 3327.6</t>
  </si>
  <si>
    <t>1.75 / 0.73</t>
  </si>
  <si>
    <t>64 / 61</t>
  </si>
  <si>
    <t>Temp. Rise @ 100%:</t>
  </si>
  <si>
    <t>Stray Loss</t>
  </si>
  <si>
    <t>0.898 / 0.884</t>
  </si>
  <si>
    <t>0.942 / 0.927</t>
  </si>
  <si>
    <t>0.956 / 0.941</t>
  </si>
  <si>
    <t>0.962 / 0.947</t>
  </si>
  <si>
    <t>0.964 / 0.948</t>
  </si>
  <si>
    <t>0.712 / 0.704</t>
  </si>
  <si>
    <t>0.861 / 0.851</t>
  </si>
  <si>
    <t>0.897 / 0.887</t>
  </si>
  <si>
    <t>0.904 / 0.894</t>
  </si>
  <si>
    <t>37.91 / 38.94</t>
  </si>
  <si>
    <t>59.74 / 61.37</t>
  </si>
  <si>
    <t>84.73 / 87.05</t>
  </si>
  <si>
    <t>111.53 / 114.57</t>
  </si>
  <si>
    <t>140.19 / 144.03</t>
  </si>
  <si>
    <t>2.12 / 2.17</t>
  </si>
  <si>
    <t>UB: 3.01 / 3.09</t>
  </si>
  <si>
    <t>UER: 2.55 / 2.62</t>
  </si>
  <si>
    <t>1797.3 / 1796.9</t>
  </si>
  <si>
    <t>1794.7 / 1794.3</t>
  </si>
  <si>
    <t>1792.1 / 1791.7</t>
  </si>
  <si>
    <t>1789.3 / 1788.9</t>
  </si>
  <si>
    <t>1786.5 / 1786.0</t>
  </si>
  <si>
    <t>0.0015 / 0.0017</t>
  </si>
  <si>
    <t>0.0029 / 0.0032</t>
  </si>
  <si>
    <t>0.0044 / 0.0046</t>
  </si>
  <si>
    <t>0.0060 / 0.0062</t>
  </si>
  <si>
    <t>0.0075 / 0.0078</t>
  </si>
  <si>
    <t>23.975 / 26.685</t>
  </si>
  <si>
    <t>1.289 / 1.435</t>
  </si>
  <si>
    <t>24.01 / 26.72</t>
  </si>
  <si>
    <t>486.0 / 742.0</t>
  </si>
  <si>
    <t>435.7 / 665.3</t>
  </si>
  <si>
    <t>153.2 / 419.3</t>
  </si>
  <si>
    <t>41.9 / 114.7</t>
  </si>
  <si>
    <t>213.2 / 222.1</t>
  </si>
  <si>
    <t>Correlated to: TestData_H402126_fan550_lab1473.dat</t>
  </si>
  <si>
    <t>TOSHIBA INTERNATIONAL CORPORATION</t>
  </si>
  <si>
    <t>INDUCTION MOTOR DATA SHEET</t>
  </si>
  <si>
    <t>HRW / Model Number:</t>
  </si>
  <si>
    <t>Motor Type Selection</t>
  </si>
  <si>
    <t>Electrical Steel Table</t>
  </si>
  <si>
    <t>Motor Parameters</t>
  </si>
  <si>
    <t>PERFORMANCE</t>
  </si>
  <si>
    <t>DESIGN</t>
  </si>
  <si>
    <t>TEST</t>
  </si>
  <si>
    <t>EPACT</t>
  </si>
  <si>
    <t>M22 - 26Ga.</t>
  </si>
  <si>
    <t>NCB1 - 26Ga.</t>
  </si>
  <si>
    <t>NL &amp; Impedance Test</t>
  </si>
  <si>
    <t>EQP-III</t>
  </si>
  <si>
    <t>M36 - 26Ga.</t>
  </si>
  <si>
    <t>No load amps</t>
  </si>
  <si>
    <t>Exp.Prf.</t>
  </si>
  <si>
    <t>Stack length</t>
  </si>
  <si>
    <t>No load watts</t>
  </si>
  <si>
    <t>Exp.Prf.-EQPIII</t>
  </si>
  <si>
    <t>M43 - 26Ga.</t>
  </si>
  <si>
    <t>Number of turns per coil</t>
  </si>
  <si>
    <t>Impedance amps</t>
  </si>
  <si>
    <t>f</t>
  </si>
  <si>
    <t>Prem. Eff.</t>
  </si>
  <si>
    <t>M45 - 26Ga.</t>
  </si>
  <si>
    <t>Wire 1 (size &amp; number)</t>
  </si>
  <si>
    <t>Impedance volts</t>
  </si>
  <si>
    <t>OWP</t>
  </si>
  <si>
    <t>M54 - 26Ga.</t>
  </si>
  <si>
    <t>Wire 2 (size &amp; number)</t>
  </si>
  <si>
    <t>Impedance watts</t>
  </si>
  <si>
    <t>Dry Kiln</t>
  </si>
  <si>
    <r>
      <t xml:space="preserve">Slot fill - </t>
    </r>
    <r>
      <rPr>
        <i/>
        <sz val="9"/>
        <color indexed="8"/>
        <rFont val="Times New Roman"/>
        <family val="1"/>
      </rPr>
      <t>circle/square method (%)</t>
    </r>
  </si>
  <si>
    <t>Temperature Rise (°C)</t>
  </si>
  <si>
    <t>Winding</t>
  </si>
  <si>
    <t>80/115</t>
  </si>
  <si>
    <t>Allowance for ins. depth</t>
  </si>
  <si>
    <t xml:space="preserve">Bearing  PS/OS </t>
  </si>
  <si>
    <t>Allowance for ins. width</t>
  </si>
  <si>
    <t>Slot/Wire arrangement</t>
  </si>
  <si>
    <t>Nameplate Data</t>
  </si>
  <si>
    <t>Effective cross section for coil</t>
  </si>
  <si>
    <t>FLC (A)</t>
  </si>
  <si>
    <t>Coil grouping</t>
  </si>
  <si>
    <t>Coil pitch (slot number)</t>
  </si>
  <si>
    <t>CODE</t>
  </si>
  <si>
    <t>Method of coil connection</t>
  </si>
  <si>
    <t>S. F.</t>
  </si>
  <si>
    <t>Method of Connection</t>
  </si>
  <si>
    <t>Resistance per phase @ 20 °C</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</si>
  <si>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</si>
  <si>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</si>
  <si>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</si>
  <si>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</si>
  <si>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</si>
  <si>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</si>
  <si>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</si>
  <si>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</si>
  <si>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</si>
  <si>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</si>
  <si>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</si>
  <si>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</si>
  <si>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Stator Slot Shape                                          (Reference)</t>
  </si>
  <si>
    <t>Performance</t>
  </si>
  <si>
    <t>LRC (A)</t>
  </si>
  <si>
    <t>LRT (%)</t>
  </si>
  <si>
    <t>BDT (%)</t>
  </si>
  <si>
    <t>SLIP (%)</t>
  </si>
  <si>
    <t>IEEE-B</t>
  </si>
  <si>
    <t>Eff. (%)</t>
  </si>
  <si>
    <t>Rotor Slot Shape                                          (Reference)</t>
  </si>
  <si>
    <t>PF (%)</t>
  </si>
  <si>
    <t>Losses (Watts)</t>
  </si>
  <si>
    <t>Core</t>
  </si>
  <si>
    <t>F &amp; W</t>
  </si>
  <si>
    <t xml:space="preserve">Stray </t>
  </si>
  <si>
    <t>End Ring                                                      (Reference)</t>
  </si>
  <si>
    <t>Note</t>
  </si>
  <si>
    <t>Approved</t>
  </si>
  <si>
    <t>Design</t>
  </si>
  <si>
    <t>Date</t>
  </si>
  <si>
    <t>F</t>
  </si>
  <si>
    <t>A</t>
  </si>
  <si>
    <t>PROJECT</t>
  </si>
  <si>
    <t>CS4900U</t>
  </si>
  <si>
    <t>22 x 2</t>
  </si>
  <si>
    <t xml:space="preserve"> - </t>
  </si>
  <si>
    <t>64 / 84</t>
  </si>
  <si>
    <t>217 / 1400</t>
  </si>
  <si>
    <t>G</t>
  </si>
  <si>
    <t>309 / 262</t>
  </si>
  <si>
    <t>SHernandez</t>
  </si>
  <si>
    <t>S-T Curve Data (Custom Values)</t>
  </si>
  <si>
    <t>Current (%)</t>
  </si>
  <si>
    <t>Current(%)</t>
  </si>
  <si>
    <t>Load</t>
  </si>
  <si>
    <t>Load Type:</t>
  </si>
  <si>
    <t>Load Inertia:</t>
  </si>
  <si>
    <t>Accel. Time:</t>
  </si>
  <si>
    <t>Rated Torque:</t>
  </si>
  <si>
    <t>Fan / Pump</t>
  </si>
  <si>
    <t>523.9 kg.m²</t>
  </si>
  <si>
    <t>Acceleration Data (FV V)</t>
  </si>
  <si>
    <t>10.1 (s)</t>
  </si>
  <si>
    <t>365.5 kg.m</t>
  </si>
  <si>
    <t>Speed Torque/Current Curve</t>
  </si>
  <si>
    <t>Model #:</t>
  </si>
  <si>
    <t>FLAmps:</t>
  </si>
  <si>
    <t>Enclosure:</t>
  </si>
  <si>
    <t>Voltage:</t>
  </si>
  <si>
    <t>Frame:</t>
  </si>
  <si>
    <t>Pole:</t>
  </si>
  <si>
    <t>Frequency:</t>
  </si>
  <si>
    <t>3 PH / 60 Hz</t>
  </si>
  <si>
    <t>Ins. Class:</t>
  </si>
  <si>
    <t>HP:</t>
  </si>
  <si>
    <t>Rotor Inertia:</t>
  </si>
  <si>
    <t>FLRPM:</t>
  </si>
  <si>
    <t>N/A</t>
  </si>
  <si>
    <t>Locked Rotor Amps:</t>
  </si>
  <si>
    <t>Locked Rotor Torque:</t>
  </si>
  <si>
    <t>Starting at:</t>
  </si>
  <si>
    <t>Breakdown Torque:</t>
  </si>
  <si>
    <t>Comments:</t>
  </si>
  <si>
    <t>D.E.Curve #:</t>
  </si>
  <si>
    <t>Prepared by:</t>
  </si>
  <si>
    <t>Checked by:</t>
  </si>
  <si>
    <t>863.9 lb-ft²</t>
  </si>
  <si>
    <t>2648 lb-ft</t>
  </si>
  <si>
    <t>Rating:</t>
  </si>
  <si>
    <t>Starting Performance</t>
  </si>
  <si>
    <t>Motor</t>
  </si>
  <si>
    <t xml:space="preserve">Load </t>
  </si>
  <si>
    <t>Accel.</t>
  </si>
  <si>
    <t xml:space="preserve"> Line</t>
  </si>
  <si>
    <t>Stator</t>
  </si>
  <si>
    <t>Rotor</t>
  </si>
  <si>
    <t>Speed Increment</t>
  </si>
  <si>
    <t>Time (s)</t>
  </si>
  <si>
    <t>kW / s</t>
  </si>
  <si>
    <t>Energy</t>
  </si>
  <si>
    <t>First Start</t>
  </si>
  <si>
    <t>Second Start</t>
  </si>
  <si>
    <t>Stator Winding Rise</t>
  </si>
  <si>
    <t>Rotor Bar Rise</t>
  </si>
  <si>
    <t>End Ring Rise</t>
  </si>
  <si>
    <t>Locked Rotor Thermal Capability</t>
  </si>
  <si>
    <t>Cold Condition</t>
  </si>
  <si>
    <t>Rate of Rise</t>
  </si>
  <si>
    <t>Power</t>
  </si>
  <si>
    <t>Rise Limit</t>
  </si>
  <si>
    <t>Max Time</t>
  </si>
  <si>
    <t>Stator Copper</t>
  </si>
  <si>
    <t>160°C</t>
  </si>
  <si>
    <t>Rotor Bar</t>
  </si>
  <si>
    <t>260°C</t>
  </si>
  <si>
    <t>Rotor ER</t>
  </si>
  <si>
    <t>180°C</t>
  </si>
  <si>
    <t>Hot Condition</t>
  </si>
  <si>
    <t>Hot Temp.</t>
  </si>
  <si>
    <t>Ambient</t>
  </si>
  <si>
    <t>Max.Time</t>
  </si>
  <si>
    <t>40°C</t>
  </si>
  <si>
    <t>=    200°C</t>
  </si>
  <si>
    <t>=    300°C</t>
  </si>
  <si>
    <t>=    220°C</t>
  </si>
  <si>
    <t>Cold Stall Time:</t>
  </si>
  <si>
    <t>Hot Stall Time:</t>
  </si>
  <si>
    <t>4 Pole - 900.0 HP - 1800 RPM - 4000 V - 60 Hz</t>
  </si>
  <si>
    <t>0~188</t>
  </si>
  <si>
    <t>188~375</t>
  </si>
  <si>
    <t>375~563</t>
  </si>
  <si>
    <t>563~750</t>
  </si>
  <si>
    <t>750~938</t>
  </si>
  <si>
    <t>938~1125</t>
  </si>
  <si>
    <t>1125~1313</t>
  </si>
  <si>
    <t>1313~1501</t>
  </si>
  <si>
    <t>1501~1594</t>
  </si>
  <si>
    <t>1594~1688</t>
  </si>
  <si>
    <t>1688~1782</t>
  </si>
  <si>
    <t>1782~1796</t>
  </si>
  <si>
    <t>1796~1800</t>
  </si>
  <si>
    <t>Load Type: Fan / Pump - 3108.0 lb-ft²</t>
  </si>
  <si>
    <t>115.0</t>
  </si>
  <si>
    <t>115.1</t>
  </si>
  <si>
    <t>115.2</t>
  </si>
  <si>
    <t>116.4</t>
  </si>
  <si>
    <t>120.6</t>
  </si>
  <si>
    <t>133.3</t>
  </si>
  <si>
    <t>181.5</t>
  </si>
  <si>
    <t>190.5</t>
  </si>
  <si>
    <t>130.5</t>
  </si>
  <si>
    <t>22.4</t>
  </si>
  <si>
    <t>11.3</t>
  </si>
  <si>
    <t>7.0</t>
  </si>
  <si>
    <t>7.6</t>
  </si>
  <si>
    <t>12.3</t>
  </si>
  <si>
    <t>20.2</t>
  </si>
  <si>
    <t>31.4</t>
  </si>
  <si>
    <t>47.7</t>
  </si>
  <si>
    <t>63.9</t>
  </si>
  <si>
    <t>77.1</t>
  </si>
  <si>
    <t>90.9</t>
  </si>
  <si>
    <t>98.8</t>
  </si>
  <si>
    <t>99.8</t>
  </si>
  <si>
    <t>0.990</t>
  </si>
  <si>
    <t>0.884</t>
  </si>
  <si>
    <t>0.848</t>
  </si>
  <si>
    <t>0.853</t>
  </si>
  <si>
    <t>0.892</t>
  </si>
  <si>
    <t>0.966</t>
  </si>
  <si>
    <t>1.093</t>
  </si>
  <si>
    <t>1.334</t>
  </si>
  <si>
    <t>0.807</t>
  </si>
  <si>
    <t>0.815</t>
  </si>
  <si>
    <t>0.506</t>
  </si>
  <si>
    <t>0.077</t>
  </si>
  <si>
    <t>0.057</t>
  </si>
  <si>
    <t>740.4</t>
  </si>
  <si>
    <t>737.0</t>
  </si>
  <si>
    <t>732.9</t>
  </si>
  <si>
    <t>727.8</t>
  </si>
  <si>
    <t>721.4</t>
  </si>
  <si>
    <t>713.3</t>
  </si>
  <si>
    <t>703.3</t>
  </si>
  <si>
    <t>690.5</t>
  </si>
  <si>
    <t>678.4</t>
  </si>
  <si>
    <t>664.3</t>
  </si>
  <si>
    <t>622.6</t>
  </si>
  <si>
    <t>411.0</t>
  </si>
  <si>
    <t>129.8</t>
  </si>
  <si>
    <t>211.6</t>
  </si>
  <si>
    <t>187.3</t>
  </si>
  <si>
    <t>178.1</t>
  </si>
  <si>
    <t>176.8</t>
  </si>
  <si>
    <t>182.1</t>
  </si>
  <si>
    <t>193.2</t>
  </si>
  <si>
    <t>213.4</t>
  </si>
  <si>
    <t>252.1</t>
  </si>
  <si>
    <t>146.3</t>
  </si>
  <si>
    <t>143.5</t>
  </si>
  <si>
    <t>84.4</t>
  </si>
  <si>
    <t>10.4</t>
  </si>
  <si>
    <t>0.3</t>
  </si>
  <si>
    <t>761.0</t>
  </si>
  <si>
    <t>608.7</t>
  </si>
  <si>
    <t>516.6</t>
  </si>
  <si>
    <t>451.1</t>
  </si>
  <si>
    <t>400.3</t>
  </si>
  <si>
    <t>355.9</t>
  </si>
  <si>
    <t>315.5</t>
  </si>
  <si>
    <t>278.0</t>
  </si>
  <si>
    <t>211.0</t>
  </si>
  <si>
    <t>154.0</t>
  </si>
  <si>
    <t>60.1</t>
  </si>
  <si>
    <t>14.7</t>
  </si>
  <si>
    <t>19.2</t>
  </si>
  <si>
    <t>1980 kW / s</t>
  </si>
  <si>
    <t>3304 kW / s</t>
  </si>
  <si>
    <t>843 kW / s</t>
  </si>
  <si>
    <t>13°C</t>
  </si>
  <si>
    <t>59°C</t>
  </si>
  <si>
    <t>43°C</t>
  </si>
  <si>
    <t>26°C</t>
  </si>
  <si>
    <t>119°C</t>
  </si>
  <si>
    <t>86°C</t>
  </si>
  <si>
    <t>Acceleration Time:  10.1 s</t>
  </si>
  <si>
    <t>1.6°C / s</t>
  </si>
  <si>
    <t>11.1°C / s</t>
  </si>
  <si>
    <t>8.0°C / s</t>
  </si>
  <si>
    <t>243.5 kW</t>
  </si>
  <si>
    <t>615.2 kW</t>
  </si>
  <si>
    <t>156.9 kW</t>
  </si>
  <si>
    <t>101.4 s</t>
  </si>
  <si>
    <t>23.5 s</t>
  </si>
  <si>
    <t>22.4 s</t>
  </si>
  <si>
    <t>61°C    +</t>
  </si>
  <si>
    <t>80°C    +</t>
  </si>
  <si>
    <t>99°C    +</t>
  </si>
  <si>
    <t>180°C   +</t>
  </si>
  <si>
    <t>100°C   +</t>
  </si>
  <si>
    <t>62.7 s</t>
  </si>
  <si>
    <t>16.3 s</t>
  </si>
  <si>
    <t>12.5 s</t>
  </si>
  <si>
    <t>54.6 s</t>
  </si>
  <si>
    <t>30.3 s</t>
  </si>
  <si>
    <t>Design Values (For Reference Only)</t>
  </si>
  <si>
    <t>Cold</t>
  </si>
  <si>
    <t>Hot</t>
  </si>
  <si>
    <t>CURRENT (%)</t>
  </si>
  <si>
    <t>Accel. Time</t>
  </si>
  <si>
    <t>9004FTQL11E-C</t>
  </si>
  <si>
    <t>QC Limits: CS4900U</t>
  </si>
  <si>
    <t>A. Gracia</t>
  </si>
  <si>
    <t>LINK:</t>
  </si>
  <si>
    <t>H402126_Rev1.rat with TestData_H402126_fan550_lab1473.dat</t>
  </si>
  <si>
    <t>Run CS4900U.rat</t>
  </si>
  <si>
    <t>Z.X 08/20/19</t>
  </si>
  <si>
    <t>361-FA21-3L2Y ; 361-FA21-3L2D</t>
  </si>
  <si>
    <t>362-FA21-03</t>
  </si>
  <si>
    <t>RSO2: 400-F21-13p</t>
  </si>
  <si>
    <t>199 / 115</t>
  </si>
  <si>
    <t>1280 / 742</t>
  </si>
  <si>
    <t>2x Delta / 2 x Wye</t>
  </si>
  <si>
    <t>Type: TIKE - Form: FCW4 - 4 Pole - 900 HP - 2300/4000 V - 60 Hz - 6811US - Class F</t>
  </si>
  <si>
    <t>REV2. ADDED 2300v DATA JROD 05/22/2020</t>
  </si>
  <si>
    <t>INDEX</t>
  </si>
  <si>
    <t>MPCF-1033</t>
  </si>
  <si>
    <t>Industrial Division / Houston Motor Plant</t>
  </si>
  <si>
    <t>SHEET NO.</t>
  </si>
  <si>
    <t>1 of 1</t>
  </si>
  <si>
    <t>ISSUED</t>
  </si>
  <si>
    <t>7/31/13</t>
  </si>
  <si>
    <t>SUPERSEDES</t>
  </si>
  <si>
    <t>11/8/96</t>
  </si>
  <si>
    <t>REVISION</t>
  </si>
  <si>
    <t>SQUIRREL CAGE INDUCTION MOTOR</t>
  </si>
  <si>
    <t>WRITTEN BY</t>
  </si>
  <si>
    <t>MDC</t>
  </si>
  <si>
    <t>PERFORMANCE SPECIFICATIONS</t>
  </si>
  <si>
    <t>APPROVED BY</t>
  </si>
  <si>
    <t>PAA</t>
  </si>
  <si>
    <t>CUSTOMER:</t>
  </si>
  <si>
    <t>TIC SR No.:</t>
  </si>
  <si>
    <t>MOTOR NAMEPLATE DATA</t>
  </si>
  <si>
    <t>H.P.:</t>
  </si>
  <si>
    <t>VOLTS:</t>
  </si>
  <si>
    <t>3 PH /</t>
  </si>
  <si>
    <t>60 Hz</t>
  </si>
  <si>
    <t>S. RPM:</t>
  </si>
  <si>
    <t>FRAME:</t>
  </si>
  <si>
    <t>ENCL:</t>
  </si>
  <si>
    <t>TEFC</t>
  </si>
  <si>
    <t>FLAMPS:</t>
  </si>
  <si>
    <t>FORM:</t>
  </si>
  <si>
    <t>S.F.:</t>
  </si>
  <si>
    <t>NEMA DESIGN:</t>
  </si>
  <si>
    <t>INSUL CLASS:</t>
  </si>
  <si>
    <t>TYPE:</t>
  </si>
  <si>
    <t>TIKE</t>
  </si>
  <si>
    <t>AMB.:</t>
  </si>
  <si>
    <t>CODE:</t>
  </si>
  <si>
    <t>DUTY:</t>
  </si>
  <si>
    <t>Cont.</t>
  </si>
  <si>
    <t>MODEL No.:</t>
  </si>
  <si>
    <t>kW:</t>
  </si>
  <si>
    <t>NOM. EFF.:</t>
  </si>
  <si>
    <t>MIN. EFF.:</t>
  </si>
  <si>
    <t>P.F.:</t>
  </si>
  <si>
    <t>AMPERAGE</t>
  </si>
  <si>
    <t>TORQUES</t>
  </si>
  <si>
    <t>**BEARINGS:</t>
  </si>
  <si>
    <t>LOCKED ROTOR:</t>
  </si>
  <si>
    <t>FULL LOAD (lb-ft.):</t>
  </si>
  <si>
    <t>DRIVE END:</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</si>
  <si>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</si>
  <si>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</si>
  <si>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</si>
  <si>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</si>
  <si>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</si>
  <si>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</si>
  <si>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</si>
  <si>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</si>
  <si>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</si>
  <si>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</si>
  <si>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THE DECLARED LOCKED ROTOR CURRENT HAS A TOLERANCE OF 20%</t>
  </si>
  <si>
    <t>* TEMPERATURE RISE WILL BE CONSISTENT WITH INSULATION, AMBIENT AND SERVICE FACTOR AS</t>
  </si>
  <si>
    <t>DEFINED BY NEMA-MG-12 OR -20</t>
  </si>
  <si>
    <t>** BEARINGS ARE THE ONLY RECOMMENDED SPARE PART(S).</t>
  </si>
  <si>
    <t>CERTIFIED BY:</t>
  </si>
  <si>
    <t>JERRY R</t>
  </si>
  <si>
    <t>DATE:</t>
  </si>
  <si>
    <t>6205ZZ</t>
  </si>
  <si>
    <t>6206UU</t>
  </si>
  <si>
    <t>ODP</t>
  </si>
  <si>
    <t>6207ZZ</t>
  </si>
  <si>
    <t>B</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</si>
  <si>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</si>
  <si>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</si>
  <si>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</si>
  <si>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</si>
  <si>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</si>
  <si>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</si>
  <si>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</si>
  <si>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</si>
  <si>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</si>
  <si>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</si>
  <si>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</si>
  <si>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</si>
  <si>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</si>
  <si>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</si>
  <si>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</si>
  <si>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</si>
  <si>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</si>
  <si>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</si>
  <si>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</si>
  <si>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</si>
  <si>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</si>
  <si>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</si>
  <si>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</si>
  <si>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</si>
  <si>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</si>
  <si>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</si>
  <si>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</si>
  <si>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</si>
  <si>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</si>
  <si>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</si>
  <si>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</si>
  <si>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</si>
  <si>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</si>
  <si>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</si>
  <si>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</si>
  <si>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</si>
  <si>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Thermal Limit Curve</t>
  </si>
  <si>
    <t>Performance Curve</t>
  </si>
  <si>
    <t>Input Watts</t>
  </si>
  <si>
    <t>2300 V</t>
  </si>
  <si>
    <t>1280 A</t>
  </si>
  <si>
    <t>311 / 264</t>
  </si>
  <si>
    <t>218 / 1402</t>
  </si>
  <si>
    <t>65 / 86</t>
  </si>
  <si>
    <t>2 x Delta</t>
  </si>
  <si>
    <t>TIPA Lam</t>
  </si>
  <si>
    <t>Standard Eff.</t>
  </si>
  <si>
    <t>Type: TIKE - Form: FCW4 - 4 Pole - 900 HP - 2300 V - 60 Hz - 6811US - Class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</si>
</sst>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000"/>
    <numFmt numFmtId="165" formatCode="0.000"/>
    <numFmt numFmtId="166" formatCode="0.0"/>
    <numFmt numFmtId="167" formatCode="0.0%"/>
    <numFmt numFmtId="168" formatCode=".0000"/>
    <numFmt numFmtId="169" formatCode="General_)"/>
  </numFmts>
  <fonts count="70">
    <font>
      <sz val="10"/>
      <name val="Arial"/>
    </font>
    <font>
      <sz val="10"/>
      <name val="Arial"/>
      <family val="2"/>
    </font>
    <font>
      <sz val="10"/>
      <name val="Times New Roman"/>
      <family val="1"/>
    </font>
    <font>
      <i/>
      <sz val="10"/>
      <name val="Times New Roman"/>
      <family val="1"/>
    </font>
    <font>
      <b/>
      <i/>
      <sz val="10"/>
      <name val="Times New Roman"/>
      <family val="1"/>
    </font>
    <font>
      <sz val="8"/>
      <name val="Times New Roman"/>
      <family val="1"/>
    </font>
    <font>
      <b/>
      <sz val="14"/>
      <name val="Times New Roman"/>
      <family val="1"/>
    </font>
    <font>
      <i/>
      <sz val="10"/>
      <name val="Times New Roman"/>
      <family val="1"/>
    </font>
    <font>
      <b/>
      <i/>
      <sz val="10"/>
      <name val="Times New Roman"/>
      <family val="1"/>
    </font>
    <font>
      <sz val="10"/>
      <name val="Times New Roman"/>
      <family val="1"/>
    </font>
    <font>
      <i/>
      <sz val="9"/>
      <name val="Times New Roman"/>
      <family val="1"/>
    </font>
    <font>
      <b/>
      <i/>
      <sz val="10"/>
      <name val="Times New Roman"/>
      <family val="1"/>
    </font>
    <font>
      <i/>
      <sz val="10"/>
      <name val="Times New Roman"/>
      <family val="1"/>
    </font>
    <font>
      <i/>
      <vertAlign val="superscript"/>
      <sz val="10"/>
      <name val="Times New Roman"/>
      <family val="1"/>
    </font>
    <font>
      <b/>
      <sz val="10"/>
      <name val="Times New Roman"/>
      <family val="1"/>
    </font>
    <font>
      <sz val="12"/>
      <name val="Univers (W1)"/>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u/>
      <sz val="10"/>
      <color indexed="8"/>
      <name val="Univers (W1)"/>
    </font>
    <font>
      <sz val="10"/>
      <color indexed="8"/>
      <name val="Univers"/>
      <family val="2"/>
    </font>
    <font>
      <sz val="10"/>
      <color indexed="8"/>
      <name val="WP Greek Century"/>
      <charset val="2"/>
    </font>
    <font>
      <b/>
      <i/>
      <sz val="12"/>
      <color indexed="8"/>
      <name val="Brush Script MT"/>
      <family val="4"/>
    </font>
    <font>
      <b/>
      <sz val="8"/>
      <color indexed="81"/>
      <name val="Tahoma"/>
      <family val="2"/>
    </font>
    <font>
      <sz val="8"/>
      <color indexed="81"/>
      <name val="Tahoma"/>
      <family val="2"/>
    </font>
    <font>
      <sz val="10"/>
      <name val="Arial"/>
      <family val="2"/>
    </font>
    <font>
      <sz val="14"/>
      <name val="Times New Roman"/>
      <family val="1"/>
    </font>
    <font>
      <b/>
      <u/>
      <sz val="22"/>
      <name val="Times New Roman"/>
      <family val="1"/>
    </font>
    <font>
      <b/>
      <u/>
      <sz val="16"/>
      <name val="Times New Roman"/>
      <family val="1"/>
    </font>
    <font>
      <b/>
      <i/>
      <sz val="14"/>
      <name val="Times New Roman"/>
      <family val="1"/>
    </font>
    <font>
      <sz val="12"/>
      <name val="Times New Roman"/>
      <family val="1"/>
    </font>
    <font>
      <sz val="10"/>
      <color indexed="8"/>
      <name val="Arial"/>
      <family val="2"/>
    </font>
    <font>
      <b/>
      <i/>
      <sz val="12"/>
      <name val="Times New Roman"/>
      <family val="1"/>
    </font>
    <font>
      <i/>
      <sz val="12"/>
      <name val="Times New Roman"/>
      <family val="1"/>
    </font>
    <font>
      <b/>
      <i/>
      <u/>
      <sz val="14"/>
      <name val="Times New Roman"/>
      <family val="1"/>
    </font>
    <font>
      <sz val="10"/>
      <color indexed="9"/>
      <name val="Arial"/>
      <family val="2"/>
    </font>
    <font>
      <sz val="12"/>
      <name val="Helv"/>
    </font>
    <font>
      <sz val="14"/>
      <name val="Univers (W1)"/>
      <family val="2"/>
    </font>
    <font>
      <sz val="8"/>
      <name val="Univers (W1)"/>
      <family val="2"/>
    </font>
    <font>
      <sz val="10"/>
      <name val="Univers (W1)"/>
      <family val="2"/>
    </font>
    <font>
      <sz val="12"/>
      <name val="Univers (W1)"/>
      <family val="2"/>
    </font>
    <font>
      <sz val="15"/>
      <name val="Univers (W1)"/>
      <family val="2"/>
    </font>
    <font>
      <sz val="12"/>
      <name val="Script"/>
      <family val="4"/>
      <charset val="255"/>
    </font>
    <font>
      <sz val="9"/>
      <name val="Univers (W1)"/>
      <family val="2"/>
    </font>
    <font>
      <sz val="13"/>
      <name val="Univers (W1)"/>
      <family val="2"/>
    </font>
    <font>
      <b/>
      <sz val="10"/>
      <name val="Univers (W1)"/>
      <family val="2"/>
    </font>
    <font>
      <b/>
      <sz val="13"/>
      <name val="Univers (W1)"/>
      <family val="2"/>
    </font>
    <font>
      <sz val="14"/>
      <name val="Bradley Hand ITC"/>
      <family val="4"/>
    </font>
    <font>
      <sz val="10"/>
      <color indexed="10"/>
      <name val="Arial"/>
      <family val="2"/>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15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thin">
        <color indexed="64"/>
      </left>
      <right/>
      <top style="thin">
        <color indexed="64"/>
      </top>
      <bottom/>
      <diagonal/>
    </border>
    <border>
      <left/>
      <right/>
      <top style="thin">
        <color indexed="64"/>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style="thin">
        <color indexed="64"/>
      </left>
      <right/>
      <top/>
      <bottom/>
      <diagonal/>
    </border>
    <border>
      <left/>
      <right style="medium">
        <color indexed="64"/>
      </right>
      <top/>
      <bottom style="hair">
        <color indexed="23"/>
      </bottom>
      <diagonal/>
    </border>
    <border>
      <left style="thin">
        <color indexed="64"/>
      </left>
      <right/>
      <top/>
      <bottom style="thin">
        <color indexed="64"/>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right style="thin">
        <color indexed="64"/>
      </right>
      <top/>
      <bottom/>
      <diagonal/>
    </border>
    <border>
      <left style="medium">
        <color indexed="64"/>
      </left>
      <right/>
      <top/>
      <bottom style="thin">
        <color indexed="64"/>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hair">
        <color indexed="23"/>
      </left>
      <right style="medium">
        <color indexed="64"/>
      </right>
      <top style="hair">
        <color indexed="23"/>
      </top>
      <bottom style="hair">
        <color indexed="55"/>
      </bottom>
      <diagonal/>
    </border>
    <border>
      <left style="hair">
        <color indexed="23"/>
      </left>
      <right style="medium">
        <color indexed="64"/>
      </right>
      <top/>
      <bottom style="hair">
        <color indexed="23"/>
      </bottom>
      <diagonal/>
    </border>
    <border>
      <left style="hair">
        <color indexed="23"/>
      </left>
      <right style="medium">
        <color indexed="64"/>
      </right>
      <top style="hair">
        <color indexed="23"/>
      </top>
      <bottom style="thin">
        <color indexed="64"/>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style="medium">
        <color indexed="64"/>
      </top>
      <bottom style="double">
        <color indexed="8"/>
      </bottom>
      <diagonal/>
    </border>
    <border>
      <left/>
      <right/>
      <top style="medium">
        <color indexed="64"/>
      </top>
      <bottom style="double">
        <color indexed="8"/>
      </bottom>
      <diagonal/>
    </border>
    <border>
      <left/>
      <right style="medium">
        <color indexed="64"/>
      </right>
      <top style="medium">
        <color indexed="64"/>
      </top>
      <bottom style="double">
        <color indexed="8"/>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medium">
        <color indexed="64"/>
      </left>
      <right/>
      <top style="dotted">
        <color indexed="64"/>
      </top>
      <bottom style="dashed">
        <color indexed="64"/>
      </bottom>
      <diagonal/>
    </border>
    <border>
      <left/>
      <right/>
      <top style="dotted">
        <color indexed="64"/>
      </top>
      <bottom style="dashed">
        <color indexed="64"/>
      </bottom>
      <diagonal/>
    </border>
    <border>
      <left/>
      <right style="medium">
        <color indexed="64"/>
      </right>
      <top style="dott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right/>
      <top/>
      <bottom style="thin">
        <color indexed="8"/>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s>
  <cellStyleXfs count="7">
    <xf numFmtId="0" fontId="0" fillId="0" borderId="0"/>
    <xf numFmtId="0" fontId="15" fillId="0" borderId="0"/>
    <xf numFmtId="0" fontId="15" fillId="0" borderId="0"/>
    <xf numFmtId="0" fontId="46" fillId="0" borderId="0"/>
    <xf numFmtId="169" fontId="57" fillId="0" borderId="0"/>
    <xf numFmtId="0" fontId="1" fillId="0" borderId="0"/>
    <xf numFmtId="0" fontId="1" fillId="0" borderId="0"/>
  </cellStyleXfs>
  <cellXfs count="639">
    <xf numFmtId="0" fontId="0" fillId="0" borderId="0" xfId="0"/>
    <xf numFmtId="0" fontId="2" fillId="0" borderId="0" xfId="0" applyFont="1"/>
    <xf numFmtId="0" fontId="0" fillId="0" borderId="0" xfId="0" applyAlignment="1">
      <alignment horizontal="centerContinuous"/>
    </xf>
    <xf numFmtId="0" fontId="2" fillId="0" borderId="0" xfId="0" applyFont="1" applyBorder="1"/>
    <xf numFmtId="0" fontId="3" fillId="0" borderId="1" xfId="0" applyFont="1" applyBorder="1" applyAlignment="1">
      <alignment horizontal="center"/>
    </xf>
    <xf numFmtId="0" fontId="3" fillId="0" borderId="1" xfId="0" applyFont="1" applyBorder="1"/>
    <xf numFmtId="0" fontId="4" fillId="0" borderId="2" xfId="0" applyFont="1" applyBorder="1"/>
    <xf numFmtId="0" fontId="3" fillId="0" borderId="3" xfId="0" applyFont="1" applyBorder="1"/>
    <xf numFmtId="0" fontId="2" fillId="0" borderId="3" xfId="0" applyFont="1" applyBorder="1"/>
    <xf numFmtId="0" fontId="2" fillId="0" borderId="4" xfId="0" applyFont="1" applyBorder="1"/>
    <xf numFmtId="0" fontId="3" fillId="0" borderId="1"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4" fillId="0" borderId="5" xfId="0" applyFont="1" applyBorder="1" applyAlignment="1">
      <alignment horizontal="center"/>
    </xf>
    <xf numFmtId="0" fontId="4" fillId="0" borderId="6" xfId="0" applyFont="1" applyBorder="1"/>
    <xf numFmtId="0" fontId="2" fillId="0" borderId="7" xfId="0" applyFont="1" applyBorder="1"/>
    <xf numFmtId="0" fontId="2" fillId="0" borderId="8" xfId="0" applyFont="1" applyBorder="1"/>
    <xf numFmtId="0" fontId="3" fillId="0" borderId="9" xfId="0" applyFont="1" applyBorder="1" applyAlignment="1">
      <alignment horizontal="center"/>
    </xf>
    <xf numFmtId="0" fontId="3" fillId="0" borderId="4" xfId="0" applyFont="1" applyBorder="1"/>
    <xf numFmtId="0" fontId="2" fillId="0" borderId="0" xfId="0" applyFont="1" applyBorder="1" applyAlignment="1">
      <alignment horizontal="centerContinuous"/>
    </xf>
    <xf numFmtId="0" fontId="2" fillId="0" borderId="7" xfId="0" applyFont="1" applyBorder="1" applyAlignment="1">
      <alignment horizontal="centerContinuous"/>
    </xf>
    <xf numFmtId="0" fontId="2" fillId="0" borderId="10" xfId="0" applyFont="1" applyBorder="1"/>
    <xf numFmtId="0" fontId="3" fillId="0" borderId="11" xfId="0" applyFont="1" applyBorder="1" applyAlignment="1">
      <alignment horizontal="right"/>
    </xf>
    <xf numFmtId="0" fontId="3" fillId="0" borderId="7" xfId="0" applyFont="1" applyBorder="1" applyAlignment="1">
      <alignment horizontal="centerContinuous"/>
    </xf>
    <xf numFmtId="0" fontId="4" fillId="0" borderId="12"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2" xfId="0" applyFont="1" applyBorder="1" applyAlignment="1">
      <alignment horizontal="right"/>
    </xf>
    <xf numFmtId="0" fontId="2" fillId="0" borderId="14" xfId="0" applyFont="1" applyBorder="1"/>
    <xf numFmtId="0" fontId="4" fillId="0" borderId="15" xfId="0" applyFont="1" applyBorder="1"/>
    <xf numFmtId="0" fontId="2" fillId="0" borderId="14" xfId="0" applyFont="1" applyBorder="1" applyAlignment="1">
      <alignment horizontal="centerContinuous"/>
    </xf>
    <xf numFmtId="0" fontId="2" fillId="0" borderId="16" xfId="0" applyFont="1" applyBorder="1" applyAlignment="1">
      <alignment horizontal="centerContinuous"/>
    </xf>
    <xf numFmtId="0" fontId="3" fillId="0" borderId="9" xfId="0" applyFont="1" applyBorder="1" applyAlignment="1">
      <alignment horizontal="centerContinuous"/>
    </xf>
    <xf numFmtId="0" fontId="5" fillId="0" borderId="0" xfId="0" applyFont="1"/>
    <xf numFmtId="0" fontId="3" fillId="0" borderId="11" xfId="0" applyFont="1" applyBorder="1"/>
    <xf numFmtId="0" fontId="6" fillId="0" borderId="0" xfId="0" applyFont="1" applyAlignment="1">
      <alignment horizontal="centerContinuous"/>
    </xf>
    <xf numFmtId="0" fontId="2" fillId="0" borderId="17" xfId="0" applyFont="1" applyBorder="1" applyAlignment="1">
      <alignment horizontal="right"/>
    </xf>
    <xf numFmtId="0" fontId="3" fillId="0" borderId="18" xfId="0" applyFont="1" applyBorder="1" applyAlignment="1">
      <alignment horizontal="right"/>
    </xf>
    <xf numFmtId="0" fontId="3" fillId="0" borderId="19" xfId="0" applyFont="1" applyBorder="1" applyAlignment="1">
      <alignment horizontal="right"/>
    </xf>
    <xf numFmtId="0" fontId="3" fillId="0" borderId="20" xfId="0" applyFont="1" applyBorder="1" applyAlignment="1">
      <alignment horizontal="right"/>
    </xf>
    <xf numFmtId="0" fontId="2" fillId="0" borderId="21" xfId="0" applyFont="1" applyBorder="1"/>
    <xf numFmtId="0" fontId="3" fillId="0" borderId="22" xfId="0" applyFont="1" applyBorder="1" applyAlignment="1">
      <alignment horizontal="center"/>
    </xf>
    <xf numFmtId="0" fontId="3" fillId="0" borderId="10" xfId="0" applyFont="1" applyBorder="1" applyAlignment="1">
      <alignment horizontal="center"/>
    </xf>
    <xf numFmtId="0" fontId="2" fillId="0" borderId="13" xfId="0" applyFont="1" applyBorder="1"/>
    <xf numFmtId="0" fontId="4" fillId="0" borderId="0" xfId="0" applyFont="1" applyBorder="1"/>
    <xf numFmtId="0" fontId="7" fillId="0" borderId="0" xfId="0" applyFont="1" applyBorder="1" applyAlignment="1">
      <alignment horizontal="left"/>
    </xf>
    <xf numFmtId="0" fontId="3" fillId="0" borderId="0" xfId="0" applyFont="1" applyBorder="1" applyAlignment="1">
      <alignment horizontal="left"/>
    </xf>
    <xf numFmtId="0" fontId="5" fillId="0" borderId="0" xfId="0" applyFont="1" applyBorder="1"/>
    <xf numFmtId="0" fontId="5" fillId="0" borderId="21" xfId="0" applyFont="1" applyBorder="1"/>
    <xf numFmtId="0" fontId="5" fillId="0" borderId="23" xfId="0" applyFont="1" applyBorder="1"/>
    <xf numFmtId="0" fontId="5" fillId="0" borderId="24" xfId="0" applyFont="1" applyBorder="1"/>
    <xf numFmtId="0" fontId="3" fillId="0" borderId="0" xfId="0" applyFont="1" applyAlignment="1">
      <alignment horizontal="right"/>
    </xf>
    <xf numFmtId="0" fontId="2" fillId="0" borderId="25" xfId="0" applyFont="1" applyBorder="1" applyAlignment="1">
      <alignment horizontal="center"/>
    </xf>
    <xf numFmtId="0" fontId="2" fillId="0" borderId="1" xfId="0" applyFont="1" applyBorder="1" applyAlignment="1">
      <alignment horizontal="center"/>
    </xf>
    <xf numFmtId="0" fontId="2" fillId="0" borderId="9" xfId="0" applyFont="1" applyBorder="1" applyAlignment="1">
      <alignment horizontal="center"/>
    </xf>
    <xf numFmtId="0" fontId="2" fillId="0" borderId="0" xfId="0" applyFont="1" applyBorder="1" applyAlignment="1">
      <alignment horizontal="center"/>
    </xf>
    <xf numFmtId="0" fontId="2" fillId="0" borderId="11"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2" fillId="0" borderId="30" xfId="0" applyFont="1" applyBorder="1" applyAlignment="1">
      <alignment horizontal="center"/>
    </xf>
    <xf numFmtId="0" fontId="2" fillId="0" borderId="21" xfId="0" applyFont="1" applyBorder="1" applyAlignment="1">
      <alignment horizontal="center"/>
    </xf>
    <xf numFmtId="0" fontId="2" fillId="0" borderId="24" xfId="0" applyFont="1" applyBorder="1" applyAlignment="1">
      <alignment horizontal="center"/>
    </xf>
    <xf numFmtId="0" fontId="2" fillId="0" borderId="29" xfId="0" applyFont="1" applyBorder="1" applyAlignment="1">
      <alignment horizontal="centerContinuous"/>
    </xf>
    <xf numFmtId="0" fontId="2" fillId="0" borderId="31" xfId="0" applyFont="1" applyBorder="1" applyAlignment="1">
      <alignment horizontal="right"/>
    </xf>
    <xf numFmtId="0" fontId="3" fillId="0" borderId="26" xfId="0" applyFont="1" applyBorder="1" applyAlignment="1">
      <alignment horizontal="right"/>
    </xf>
    <xf numFmtId="0" fontId="3" fillId="0" borderId="30" xfId="0" applyFont="1" applyBorder="1" applyAlignment="1">
      <alignment horizontal="right"/>
    </xf>
    <xf numFmtId="0" fontId="3" fillId="0" borderId="28" xfId="0" applyFont="1" applyBorder="1" applyAlignment="1">
      <alignment horizontal="right"/>
    </xf>
    <xf numFmtId="164" fontId="2" fillId="0" borderId="1" xfId="0" applyNumberFormat="1" applyFont="1" applyBorder="1" applyAlignment="1">
      <alignment horizontal="center"/>
    </xf>
    <xf numFmtId="165" fontId="2" fillId="0" borderId="1" xfId="0" applyNumberFormat="1" applyFont="1" applyBorder="1" applyAlignment="1">
      <alignment horizontal="center"/>
    </xf>
    <xf numFmtId="2" fontId="2" fillId="0" borderId="1" xfId="0" applyNumberFormat="1" applyFont="1" applyBorder="1" applyAlignment="1">
      <alignment horizontal="center"/>
    </xf>
    <xf numFmtId="166" fontId="2" fillId="0" borderId="1" xfId="0" applyNumberFormat="1" applyFont="1" applyBorder="1" applyAlignment="1">
      <alignment horizontal="center"/>
    </xf>
    <xf numFmtId="164" fontId="2" fillId="0" borderId="9" xfId="0" applyNumberFormat="1" applyFont="1" applyBorder="1" applyAlignment="1">
      <alignment horizontal="center"/>
    </xf>
    <xf numFmtId="165" fontId="2" fillId="0" borderId="9" xfId="0" applyNumberFormat="1" applyFont="1" applyBorder="1" applyAlignment="1">
      <alignment horizontal="center"/>
    </xf>
    <xf numFmtId="2" fontId="2" fillId="0" borderId="9" xfId="0" applyNumberFormat="1" applyFont="1" applyBorder="1" applyAlignment="1">
      <alignment horizontal="center"/>
    </xf>
    <xf numFmtId="166" fontId="2" fillId="0" borderId="9" xfId="0" applyNumberFormat="1" applyFont="1" applyBorder="1" applyAlignment="1">
      <alignment horizontal="center"/>
    </xf>
    <xf numFmtId="2" fontId="2" fillId="0" borderId="16" xfId="0" applyNumberFormat="1" applyFont="1" applyBorder="1" applyAlignment="1">
      <alignment horizontal="center"/>
    </xf>
    <xf numFmtId="2" fontId="2" fillId="0" borderId="32" xfId="0" applyNumberFormat="1" applyFont="1" applyBorder="1" applyAlignment="1">
      <alignment horizontal="center"/>
    </xf>
    <xf numFmtId="165" fontId="2" fillId="0" borderId="25" xfId="0" applyNumberFormat="1" applyFont="1" applyBorder="1" applyAlignment="1">
      <alignment horizontal="center"/>
    </xf>
    <xf numFmtId="166" fontId="2" fillId="0" borderId="25" xfId="0" applyNumberFormat="1" applyFont="1" applyBorder="1" applyAlignment="1">
      <alignment horizontal="center"/>
    </xf>
    <xf numFmtId="165" fontId="2" fillId="0" borderId="11" xfId="0" applyNumberFormat="1" applyFont="1" applyBorder="1" applyAlignment="1">
      <alignment horizontal="center"/>
    </xf>
    <xf numFmtId="2" fontId="2" fillId="0" borderId="11" xfId="0" applyNumberFormat="1" applyFont="1" applyBorder="1" applyAlignment="1">
      <alignment horizontal="center"/>
    </xf>
    <xf numFmtId="165" fontId="2" fillId="0" borderId="33" xfId="0" applyNumberFormat="1" applyFont="1" applyBorder="1" applyAlignment="1">
      <alignment horizontal="center"/>
    </xf>
    <xf numFmtId="2" fontId="2" fillId="0" borderId="33" xfId="0" applyNumberFormat="1" applyFont="1" applyBorder="1" applyAlignment="1">
      <alignment horizontal="center"/>
    </xf>
    <xf numFmtId="166" fontId="2" fillId="0" borderId="33" xfId="0" applyNumberFormat="1" applyFont="1" applyBorder="1" applyAlignment="1">
      <alignment horizontal="center"/>
    </xf>
    <xf numFmtId="166" fontId="2" fillId="0" borderId="34" xfId="0" applyNumberFormat="1" applyFont="1" applyBorder="1" applyAlignment="1">
      <alignment horizontal="center"/>
    </xf>
    <xf numFmtId="166" fontId="2" fillId="0" borderId="10" xfId="0" applyNumberFormat="1" applyFont="1" applyBorder="1" applyAlignment="1">
      <alignment horizontal="center"/>
    </xf>
    <xf numFmtId="166" fontId="2" fillId="0" borderId="30" xfId="0" applyNumberFormat="1" applyFont="1" applyBorder="1" applyAlignment="1">
      <alignment horizontal="center"/>
    </xf>
    <xf numFmtId="166" fontId="2" fillId="0" borderId="35" xfId="0" applyNumberFormat="1" applyFont="1" applyBorder="1" applyAlignment="1">
      <alignment horizontal="center"/>
    </xf>
    <xf numFmtId="166" fontId="2" fillId="0" borderId="36" xfId="0" applyNumberFormat="1" applyFont="1" applyBorder="1" applyAlignment="1">
      <alignment horizontal="center"/>
    </xf>
    <xf numFmtId="166" fontId="2" fillId="0" borderId="37" xfId="0" applyNumberFormat="1" applyFont="1" applyBorder="1" applyAlignment="1">
      <alignment horizontal="center"/>
    </xf>
    <xf numFmtId="165" fontId="2" fillId="0" borderId="26" xfId="0" applyNumberFormat="1" applyFont="1" applyBorder="1" applyAlignment="1">
      <alignment horizontal="center"/>
    </xf>
    <xf numFmtId="166" fontId="2" fillId="0" borderId="38" xfId="0" applyNumberFormat="1" applyFont="1" applyBorder="1" applyAlignment="1">
      <alignment horizontal="center"/>
    </xf>
    <xf numFmtId="166" fontId="2" fillId="0" borderId="39" xfId="0" applyNumberFormat="1" applyFont="1" applyBorder="1" applyAlignment="1">
      <alignment horizontal="center"/>
    </xf>
    <xf numFmtId="166" fontId="2" fillId="0" borderId="26" xfId="0" applyNumberFormat="1" applyFont="1" applyBorder="1" applyAlignment="1">
      <alignment horizontal="center"/>
    </xf>
    <xf numFmtId="1" fontId="2" fillId="0" borderId="28" xfId="0" applyNumberFormat="1" applyFont="1" applyBorder="1" applyAlignment="1">
      <alignment horizontal="center"/>
    </xf>
    <xf numFmtId="2" fontId="2" fillId="0" borderId="21" xfId="0" applyNumberFormat="1" applyFont="1" applyBorder="1" applyAlignment="1">
      <alignment horizontal="center"/>
    </xf>
    <xf numFmtId="0" fontId="3" fillId="0" borderId="0" xfId="0" applyFont="1"/>
    <xf numFmtId="2" fontId="2" fillId="0" borderId="27" xfId="0" applyNumberFormat="1" applyFont="1" applyBorder="1" applyAlignment="1">
      <alignment horizontal="center"/>
    </xf>
    <xf numFmtId="2" fontId="9" fillId="0" borderId="40" xfId="0" applyNumberFormat="1" applyFont="1" applyBorder="1" applyAlignment="1">
      <alignment horizontal="centerContinuous"/>
    </xf>
    <xf numFmtId="0" fontId="9" fillId="0" borderId="40" xfId="0" applyFont="1" applyBorder="1" applyAlignment="1">
      <alignment horizontal="center"/>
    </xf>
    <xf numFmtId="0" fontId="9" fillId="0" borderId="29" xfId="0" applyFont="1" applyBorder="1" applyAlignment="1">
      <alignment horizontal="center"/>
    </xf>
    <xf numFmtId="0" fontId="9" fillId="0" borderId="23" xfId="0" applyFont="1" applyBorder="1" applyAlignment="1">
      <alignment horizontal="center"/>
    </xf>
    <xf numFmtId="0" fontId="3" fillId="0" borderId="3" xfId="0" applyFont="1" applyBorder="1" applyAlignment="1">
      <alignment horizontal="center"/>
    </xf>
    <xf numFmtId="0" fontId="3" fillId="0" borderId="41" xfId="0" applyFont="1" applyBorder="1" applyAlignment="1">
      <alignment horizontal="center"/>
    </xf>
    <xf numFmtId="166" fontId="2" fillId="0" borderId="42" xfId="0" applyNumberFormat="1" applyFont="1" applyBorder="1" applyAlignment="1">
      <alignment horizontal="center"/>
    </xf>
    <xf numFmtId="0" fontId="3" fillId="0" borderId="43" xfId="0" applyFont="1" applyBorder="1" applyAlignment="1">
      <alignment horizontal="center"/>
    </xf>
    <xf numFmtId="0" fontId="3" fillId="0" borderId="44" xfId="0" applyFont="1" applyBorder="1" applyAlignment="1">
      <alignment horizontal="center"/>
    </xf>
    <xf numFmtId="0" fontId="3" fillId="0" borderId="17" xfId="0" applyFont="1" applyBorder="1" applyAlignment="1">
      <alignment horizontal="centerContinuous"/>
    </xf>
    <xf numFmtId="0" fontId="4" fillId="0" borderId="12" xfId="0" applyFont="1" applyBorder="1" applyAlignment="1">
      <alignment horizontal="left"/>
    </xf>
    <xf numFmtId="0" fontId="3" fillId="0" borderId="45" xfId="0" applyFont="1" applyBorder="1"/>
    <xf numFmtId="0" fontId="2" fillId="0" borderId="16" xfId="0" applyFont="1" applyBorder="1" applyAlignment="1">
      <alignment horizontal="center"/>
    </xf>
    <xf numFmtId="0" fontId="3" fillId="0" borderId="0" xfId="0" applyFont="1" applyBorder="1" applyAlignment="1">
      <alignment horizontal="center"/>
    </xf>
    <xf numFmtId="165" fontId="2" fillId="0" borderId="0" xfId="0" applyNumberFormat="1" applyFont="1" applyBorder="1" applyAlignment="1">
      <alignment horizontal="center"/>
    </xf>
    <xf numFmtId="2" fontId="2" fillId="0" borderId="25" xfId="0" applyNumberFormat="1" applyFont="1" applyBorder="1" applyAlignment="1">
      <alignment horizontal="center"/>
    </xf>
    <xf numFmtId="0" fontId="2" fillId="0" borderId="29" xfId="0" applyFont="1" applyBorder="1" applyAlignment="1">
      <alignment horizontal="left"/>
    </xf>
    <xf numFmtId="0" fontId="2" fillId="0" borderId="21" xfId="0" applyFont="1" applyBorder="1" applyAlignment="1">
      <alignment horizontal="left"/>
    </xf>
    <xf numFmtId="0" fontId="2" fillId="0" borderId="9" xfId="0" applyFont="1" applyBorder="1" applyAlignment="1">
      <alignment horizontal="left"/>
    </xf>
    <xf numFmtId="0" fontId="2" fillId="0" borderId="30" xfId="0" applyFont="1" applyBorder="1" applyAlignment="1">
      <alignment horizontal="left"/>
    </xf>
    <xf numFmtId="0" fontId="2" fillId="0" borderId="28" xfId="0" applyFont="1" applyBorder="1" applyAlignment="1">
      <alignment horizontal="left"/>
    </xf>
    <xf numFmtId="0" fontId="5" fillId="0" borderId="12" xfId="0" applyFont="1" applyBorder="1"/>
    <xf numFmtId="0" fontId="5" fillId="0" borderId="13" xfId="0" applyFont="1" applyBorder="1"/>
    <xf numFmtId="0" fontId="5" fillId="0" borderId="14" xfId="0" applyFont="1" applyBorder="1"/>
    <xf numFmtId="0" fontId="5" fillId="0" borderId="45" xfId="0" applyFont="1" applyBorder="1"/>
    <xf numFmtId="0" fontId="5" fillId="0" borderId="46" xfId="0" applyFont="1" applyBorder="1"/>
    <xf numFmtId="0" fontId="2" fillId="0" borderId="1" xfId="0" applyFont="1" applyBorder="1" applyAlignment="1">
      <alignment horizontal="left"/>
    </xf>
    <xf numFmtId="0" fontId="3" fillId="0" borderId="0" xfId="0" applyFont="1" applyAlignment="1">
      <alignment horizontal="centerContinuous"/>
    </xf>
    <xf numFmtId="2" fontId="3" fillId="0" borderId="20" xfId="0" quotePrefix="1" applyNumberFormat="1" applyFont="1" applyBorder="1" applyAlignment="1">
      <alignment horizontal="center"/>
    </xf>
    <xf numFmtId="2" fontId="3" fillId="0" borderId="47" xfId="0" quotePrefix="1" applyNumberFormat="1" applyFont="1" applyBorder="1" applyAlignment="1">
      <alignment horizontal="center"/>
    </xf>
    <xf numFmtId="2" fontId="3" fillId="0" borderId="30" xfId="0" quotePrefix="1" applyNumberFormat="1" applyFont="1" applyBorder="1" applyAlignment="1">
      <alignment horizontal="center"/>
    </xf>
    <xf numFmtId="2" fontId="3" fillId="0" borderId="30" xfId="0" applyNumberFormat="1" applyFont="1" applyBorder="1" applyAlignment="1">
      <alignment horizontal="center"/>
    </xf>
    <xf numFmtId="165" fontId="3" fillId="0" borderId="20" xfId="0" quotePrefix="1" applyNumberFormat="1" applyFont="1" applyBorder="1" applyAlignment="1">
      <alignment horizontal="center"/>
    </xf>
    <xf numFmtId="0" fontId="10" fillId="0" borderId="0" xfId="0" applyFont="1" applyAlignment="1">
      <alignment horizontal="center"/>
    </xf>
    <xf numFmtId="0" fontId="11" fillId="0" borderId="7" xfId="0" applyFont="1" applyBorder="1" applyAlignment="1">
      <alignment horizontal="centerContinuous"/>
    </xf>
    <xf numFmtId="0" fontId="11" fillId="0" borderId="8" xfId="0" applyFont="1" applyBorder="1" applyAlignment="1">
      <alignment horizontal="centerContinuous"/>
    </xf>
    <xf numFmtId="0" fontId="12" fillId="0" borderId="47" xfId="0" applyFont="1" applyBorder="1"/>
    <xf numFmtId="2" fontId="2" fillId="0" borderId="48" xfId="0" applyNumberFormat="1" applyFont="1" applyBorder="1" applyAlignment="1">
      <alignment horizontal="center"/>
    </xf>
    <xf numFmtId="2" fontId="2" fillId="0" borderId="24" xfId="0" applyNumberFormat="1" applyFont="1" applyBorder="1" applyAlignment="1">
      <alignment horizontal="center"/>
    </xf>
    <xf numFmtId="0" fontId="2" fillId="0" borderId="7" xfId="0" applyFont="1" applyBorder="1" applyAlignment="1">
      <alignment horizontal="right"/>
    </xf>
    <xf numFmtId="167" fontId="2" fillId="0" borderId="1" xfId="0" applyNumberFormat="1" applyFont="1" applyBorder="1" applyAlignment="1">
      <alignment horizontal="center"/>
    </xf>
    <xf numFmtId="0" fontId="3" fillId="0" borderId="49" xfId="0" applyFont="1" applyBorder="1" applyAlignment="1">
      <alignment horizontal="right"/>
    </xf>
    <xf numFmtId="166" fontId="14" fillId="0" borderId="1" xfId="0" applyNumberFormat="1" applyFont="1" applyBorder="1" applyAlignment="1">
      <alignment horizontal="center"/>
    </xf>
    <xf numFmtId="166" fontId="2" fillId="0" borderId="7" xfId="0" applyNumberFormat="1" applyFont="1" applyBorder="1" applyAlignment="1">
      <alignment horizontal="center"/>
    </xf>
    <xf numFmtId="166" fontId="2" fillId="0" borderId="8" xfId="0" applyNumberFormat="1" applyFont="1" applyBorder="1" applyAlignment="1">
      <alignment horizontal="center"/>
    </xf>
    <xf numFmtId="1" fontId="2" fillId="0" borderId="25" xfId="0" applyNumberFormat="1" applyFont="1" applyBorder="1" applyAlignment="1">
      <alignment horizontal="center"/>
    </xf>
    <xf numFmtId="0" fontId="2" fillId="0" borderId="50" xfId="0" applyFont="1" applyBorder="1"/>
    <xf numFmtId="0" fontId="1" fillId="0" borderId="45" xfId="0" applyFont="1" applyBorder="1"/>
    <xf numFmtId="0" fontId="1" fillId="0" borderId="3" xfId="0" applyFont="1" applyBorder="1"/>
    <xf numFmtId="0" fontId="1" fillId="0" borderId="13" xfId="0" applyFont="1" applyBorder="1"/>
    <xf numFmtId="49" fontId="2" fillId="0" borderId="7" xfId="0" applyNumberFormat="1" applyFont="1" applyBorder="1" applyAlignment="1">
      <alignment horizontal="center"/>
    </xf>
    <xf numFmtId="14" fontId="3" fillId="0" borderId="0" xfId="0" applyNumberFormat="1" applyFont="1" applyAlignment="1">
      <alignment horizontal="center"/>
    </xf>
    <xf numFmtId="19" fontId="3" fillId="0" borderId="0" xfId="0" applyNumberFormat="1" applyFont="1"/>
    <xf numFmtId="0" fontId="17" fillId="0" borderId="0" xfId="1" applyFont="1" applyFill="1"/>
    <xf numFmtId="0" fontId="18" fillId="0" borderId="0" xfId="1" applyFont="1" applyFill="1"/>
    <xf numFmtId="0" fontId="20" fillId="2" borderId="0" xfId="1" applyFont="1" applyFill="1" applyAlignment="1">
      <alignment horizontal="right"/>
    </xf>
    <xf numFmtId="0" fontId="21" fillId="2" borderId="0" xfId="1" applyFont="1" applyFill="1"/>
    <xf numFmtId="0" fontId="22" fillId="2" borderId="0" xfId="1" applyFont="1" applyFill="1"/>
    <xf numFmtId="0" fontId="19" fillId="2" borderId="0" xfId="1" applyFont="1" applyFill="1" applyAlignment="1">
      <alignment horizontal="center"/>
    </xf>
    <xf numFmtId="0" fontId="23" fillId="0" borderId="51" xfId="1" applyFont="1" applyBorder="1" applyAlignment="1">
      <alignment horizontal="left" vertical="center"/>
    </xf>
    <xf numFmtId="0" fontId="23" fillId="0" borderId="52" xfId="1" applyFont="1" applyBorder="1" applyAlignment="1">
      <alignment vertical="center"/>
    </xf>
    <xf numFmtId="0" fontId="15" fillId="0" borderId="52" xfId="1" applyBorder="1"/>
    <xf numFmtId="0" fontId="23" fillId="0" borderId="53" xfId="1" applyFont="1" applyBorder="1" applyAlignment="1">
      <alignment horizontal="right" vertical="center"/>
    </xf>
    <xf numFmtId="0" fontId="24" fillId="0" borderId="0" xfId="1" applyFont="1" applyFill="1"/>
    <xf numFmtId="0" fontId="25" fillId="0" borderId="51" xfId="1" applyFont="1" applyFill="1" applyBorder="1"/>
    <xf numFmtId="0" fontId="24" fillId="0" borderId="53" xfId="1" applyFont="1" applyFill="1" applyBorder="1"/>
    <xf numFmtId="0" fontId="25" fillId="0" borderId="53" xfId="1" applyFont="1" applyFill="1" applyBorder="1"/>
    <xf numFmtId="0" fontId="26" fillId="0" borderId="0" xfId="1" applyFont="1" applyFill="1"/>
    <xf numFmtId="0" fontId="27" fillId="2" borderId="13" xfId="1" applyFont="1" applyFill="1" applyBorder="1" applyAlignment="1">
      <alignment horizontal="center"/>
    </xf>
    <xf numFmtId="0" fontId="27" fillId="2" borderId="54" xfId="1" applyFont="1" applyFill="1" applyBorder="1" applyAlignment="1">
      <alignment horizontal="center"/>
    </xf>
    <xf numFmtId="0" fontId="27" fillId="2" borderId="0" xfId="1" quotePrefix="1" applyFont="1" applyFill="1" applyBorder="1" applyAlignment="1">
      <alignment horizontal="left"/>
    </xf>
    <xf numFmtId="0" fontId="22" fillId="2" borderId="0" xfId="1" applyFont="1" applyFill="1" applyBorder="1"/>
    <xf numFmtId="0" fontId="28" fillId="2" borderId="55" xfId="1" applyFont="1" applyFill="1" applyBorder="1" applyAlignment="1">
      <alignment horizontal="right"/>
    </xf>
    <xf numFmtId="0" fontId="27" fillId="2" borderId="56" xfId="1" applyFont="1" applyFill="1" applyBorder="1" applyAlignment="1">
      <alignment horizontal="center"/>
    </xf>
    <xf numFmtId="0" fontId="27" fillId="2" borderId="21" xfId="1" applyFont="1" applyFill="1" applyBorder="1" applyAlignment="1">
      <alignment horizontal="center"/>
    </xf>
    <xf numFmtId="0" fontId="25" fillId="0" borderId="45" xfId="1" applyFont="1" applyFill="1" applyBorder="1"/>
    <xf numFmtId="0" fontId="24" fillId="0" borderId="21" xfId="1" applyFont="1" applyFill="1" applyBorder="1"/>
    <xf numFmtId="0" fontId="25" fillId="0" borderId="21" xfId="1" applyFont="1" applyFill="1" applyBorder="1"/>
    <xf numFmtId="0" fontId="29" fillId="2" borderId="66" xfId="1" applyFont="1" applyFill="1" applyBorder="1"/>
    <xf numFmtId="0" fontId="29" fillId="2" borderId="67" xfId="1" applyFont="1" applyFill="1" applyBorder="1"/>
    <xf numFmtId="0" fontId="32" fillId="2" borderId="67" xfId="1" applyFont="1" applyFill="1" applyBorder="1"/>
    <xf numFmtId="0" fontId="32" fillId="2" borderId="68" xfId="1" applyFont="1" applyFill="1" applyBorder="1"/>
    <xf numFmtId="166" fontId="31" fillId="2" borderId="63" xfId="1" applyNumberFormat="1" applyFont="1" applyFill="1" applyBorder="1" applyAlignment="1">
      <alignment horizontal="center"/>
    </xf>
    <xf numFmtId="0" fontId="31" fillId="2" borderId="69" xfId="1" applyFont="1" applyFill="1" applyBorder="1" applyAlignment="1">
      <alignment horizontal="center"/>
    </xf>
    <xf numFmtId="0" fontId="29" fillId="2" borderId="70" xfId="1" applyFont="1" applyFill="1" applyBorder="1"/>
    <xf numFmtId="0" fontId="29" fillId="2" borderId="71" xfId="1" applyFont="1" applyFill="1" applyBorder="1"/>
    <xf numFmtId="0" fontId="32" fillId="2" borderId="71" xfId="1" applyFont="1" applyFill="1" applyBorder="1"/>
    <xf numFmtId="0" fontId="32" fillId="2" borderId="72" xfId="1" applyFont="1" applyFill="1" applyBorder="1"/>
    <xf numFmtId="1" fontId="31" fillId="2" borderId="63" xfId="1" applyNumberFormat="1" applyFont="1" applyFill="1" applyBorder="1" applyAlignment="1">
      <alignment horizontal="center"/>
    </xf>
    <xf numFmtId="0" fontId="31" fillId="2" borderId="73" xfId="1" applyFont="1" applyFill="1" applyBorder="1" applyAlignment="1">
      <alignment horizontal="center"/>
    </xf>
    <xf numFmtId="0" fontId="33" fillId="2" borderId="67" xfId="1" applyFont="1" applyFill="1" applyBorder="1"/>
    <xf numFmtId="0" fontId="34" fillId="2" borderId="68" xfId="1" applyFont="1" applyFill="1" applyBorder="1" applyAlignment="1">
      <alignment horizontal="left"/>
    </xf>
    <xf numFmtId="0" fontId="31" fillId="2" borderId="63" xfId="1" applyFont="1" applyFill="1" applyBorder="1" applyAlignment="1">
      <alignment horizontal="center"/>
    </xf>
    <xf numFmtId="0" fontId="25" fillId="0" borderId="46" xfId="1" applyFont="1" applyFill="1" applyBorder="1"/>
    <xf numFmtId="0" fontId="25" fillId="0" borderId="24" xfId="1" applyFont="1" applyFill="1" applyBorder="1"/>
    <xf numFmtId="0" fontId="29" fillId="2" borderId="75" xfId="1" applyFont="1" applyFill="1" applyBorder="1"/>
    <xf numFmtId="0" fontId="29" fillId="2" borderId="76" xfId="1" applyFont="1" applyFill="1" applyBorder="1"/>
    <xf numFmtId="0" fontId="33" fillId="2" borderId="76" xfId="1" applyFont="1" applyFill="1" applyBorder="1"/>
    <xf numFmtId="0" fontId="31" fillId="2" borderId="77" xfId="1" applyFont="1" applyFill="1" applyBorder="1" applyAlignment="1">
      <alignment horizontal="center"/>
    </xf>
    <xf numFmtId="0" fontId="31" fillId="2" borderId="78" xfId="1" applyFont="1" applyFill="1" applyBorder="1" applyAlignment="1">
      <alignment horizontal="center"/>
    </xf>
    <xf numFmtId="0" fontId="24" fillId="0" borderId="24" xfId="1" applyFont="1" applyFill="1" applyBorder="1"/>
    <xf numFmtId="0" fontId="29" fillId="2" borderId="62" xfId="1" quotePrefix="1" applyFont="1" applyFill="1" applyBorder="1" applyAlignment="1">
      <alignment horizontal="left"/>
    </xf>
    <xf numFmtId="0" fontId="26" fillId="0" borderId="68" xfId="1" applyFont="1" applyFill="1" applyBorder="1"/>
    <xf numFmtId="0" fontId="29" fillId="2" borderId="82" xfId="1" quotePrefix="1" applyFont="1" applyFill="1" applyBorder="1" applyAlignment="1">
      <alignment horizontal="left"/>
    </xf>
    <xf numFmtId="0" fontId="29" fillId="2" borderId="58" xfId="1" applyFont="1" applyFill="1" applyBorder="1"/>
    <xf numFmtId="0" fontId="32" fillId="2" borderId="58" xfId="1" applyFont="1" applyFill="1" applyBorder="1"/>
    <xf numFmtId="0" fontId="36" fillId="2" borderId="58" xfId="1" applyFont="1" applyFill="1" applyBorder="1" applyAlignment="1">
      <alignment horizontal="right"/>
    </xf>
    <xf numFmtId="49" fontId="31" fillId="2" borderId="58" xfId="1" applyNumberFormat="1" applyFont="1" applyFill="1" applyBorder="1" applyAlignment="1">
      <alignment horizontal="center"/>
    </xf>
    <xf numFmtId="0" fontId="31" fillId="2" borderId="83" xfId="1" applyFont="1" applyFill="1" applyBorder="1" applyAlignment="1">
      <alignment horizontal="center"/>
    </xf>
    <xf numFmtId="0" fontId="29" fillId="2" borderId="63" xfId="1" applyFont="1" applyFill="1" applyBorder="1"/>
    <xf numFmtId="0" fontId="32" fillId="2" borderId="63" xfId="1" applyFont="1" applyFill="1" applyBorder="1"/>
    <xf numFmtId="0" fontId="29" fillId="2" borderId="84" xfId="1" quotePrefix="1" applyFont="1" applyFill="1" applyBorder="1" applyAlignment="1">
      <alignment horizontal="left"/>
    </xf>
    <xf numFmtId="0" fontId="29" fillId="2" borderId="77" xfId="1" applyFont="1" applyFill="1" applyBorder="1"/>
    <xf numFmtId="0" fontId="32" fillId="2" borderId="77" xfId="1" applyFont="1" applyFill="1" applyBorder="1"/>
    <xf numFmtId="0" fontId="29" fillId="2" borderId="62" xfId="1" applyFont="1" applyFill="1" applyBorder="1" applyAlignment="1">
      <alignment horizontal="left"/>
    </xf>
    <xf numFmtId="0" fontId="24" fillId="2" borderId="85" xfId="1" applyFont="1" applyFill="1" applyBorder="1"/>
    <xf numFmtId="0" fontId="24" fillId="2" borderId="68" xfId="1" applyFont="1" applyFill="1" applyBorder="1"/>
    <xf numFmtId="0" fontId="29" fillId="2" borderId="62" xfId="1" applyFont="1" applyFill="1" applyBorder="1"/>
    <xf numFmtId="0" fontId="24" fillId="2" borderId="67" xfId="1" applyFont="1" applyFill="1" applyBorder="1"/>
    <xf numFmtId="0" fontId="29" fillId="2" borderId="85" xfId="1" applyFont="1" applyFill="1" applyBorder="1"/>
    <xf numFmtId="0" fontId="36" fillId="2" borderId="68" xfId="1" applyFont="1" applyFill="1" applyBorder="1" applyAlignment="1">
      <alignment horizontal="right"/>
    </xf>
    <xf numFmtId="0" fontId="29" fillId="2" borderId="57" xfId="1" quotePrefix="1" applyFont="1" applyFill="1" applyBorder="1" applyAlignment="1">
      <alignment horizontal="left"/>
    </xf>
    <xf numFmtId="0" fontId="26" fillId="0" borderId="92" xfId="1" applyFont="1" applyFill="1" applyBorder="1"/>
    <xf numFmtId="0" fontId="29" fillId="2" borderId="85" xfId="1" quotePrefix="1" applyFont="1" applyFill="1" applyBorder="1" applyAlignment="1">
      <alignment horizontal="left"/>
    </xf>
    <xf numFmtId="0" fontId="24" fillId="2" borderId="63" xfId="1" applyFont="1" applyFill="1" applyBorder="1"/>
    <xf numFmtId="0" fontId="29" fillId="2" borderId="93" xfId="1" applyFont="1" applyFill="1" applyBorder="1" applyAlignment="1">
      <alignment horizontal="left"/>
    </xf>
    <xf numFmtId="0" fontId="29" fillId="2" borderId="67" xfId="1" quotePrefix="1" applyFont="1" applyFill="1" applyBorder="1" applyAlignment="1">
      <alignment horizontal="center"/>
    </xf>
    <xf numFmtId="0" fontId="24" fillId="2" borderId="68" xfId="1" quotePrefix="1" applyFont="1" applyFill="1" applyBorder="1" applyAlignment="1">
      <alignment horizontal="center"/>
    </xf>
    <xf numFmtId="0" fontId="29" fillId="2" borderId="94" xfId="1" applyFont="1" applyFill="1" applyBorder="1"/>
    <xf numFmtId="0" fontId="26" fillId="0" borderId="95" xfId="1" applyFont="1" applyFill="1" applyBorder="1"/>
    <xf numFmtId="0" fontId="31" fillId="0" borderId="95" xfId="1" applyNumberFormat="1" applyFont="1" applyFill="1" applyBorder="1" applyAlignment="1">
      <alignment horizontal="center"/>
    </xf>
    <xf numFmtId="0" fontId="31" fillId="0" borderId="96" xfId="1" applyFont="1" applyFill="1" applyBorder="1" applyAlignment="1">
      <alignment horizontal="center"/>
    </xf>
    <xf numFmtId="0" fontId="29" fillId="2" borderId="97" xfId="1" applyFont="1" applyFill="1" applyBorder="1" applyAlignment="1">
      <alignment horizontal="center"/>
    </xf>
    <xf numFmtId="0" fontId="29" fillId="2" borderId="76" xfId="1" quotePrefix="1" applyFont="1" applyFill="1" applyBorder="1" applyAlignment="1">
      <alignment horizontal="center"/>
    </xf>
    <xf numFmtId="0" fontId="24" fillId="2" borderId="98" xfId="1" quotePrefix="1" applyFont="1" applyFill="1" applyBorder="1" applyAlignment="1">
      <alignment horizontal="center"/>
    </xf>
    <xf numFmtId="0" fontId="31" fillId="0" borderId="68" xfId="1" applyNumberFormat="1" applyFont="1" applyFill="1" applyBorder="1" applyAlignment="1">
      <alignment horizontal="center"/>
    </xf>
    <xf numFmtId="0" fontId="31" fillId="0" borderId="73" xfId="1" applyFont="1" applyFill="1" applyBorder="1" applyAlignment="1">
      <alignment horizontal="center"/>
    </xf>
    <xf numFmtId="0" fontId="31" fillId="0" borderId="46" xfId="1" applyFont="1" applyFill="1" applyBorder="1"/>
    <xf numFmtId="0" fontId="37" fillId="0" borderId="24" xfId="1" applyFont="1" applyFill="1" applyBorder="1"/>
    <xf numFmtId="0" fontId="20" fillId="0" borderId="101" xfId="1" applyFont="1" applyFill="1" applyBorder="1" applyAlignment="1">
      <alignment horizontal="left"/>
    </xf>
    <xf numFmtId="0" fontId="20" fillId="0" borderId="61" xfId="1" applyFont="1" applyFill="1" applyBorder="1" applyAlignment="1">
      <alignment horizontal="left"/>
    </xf>
    <xf numFmtId="0" fontId="39" fillId="2" borderId="102" xfId="1" applyFont="1" applyFill="1" applyBorder="1" applyAlignment="1">
      <alignment horizontal="center"/>
    </xf>
    <xf numFmtId="166" fontId="31" fillId="0" borderId="68" xfId="1" applyNumberFormat="1" applyFont="1" applyFill="1" applyBorder="1" applyAlignment="1">
      <alignment horizontal="center"/>
    </xf>
    <xf numFmtId="0" fontId="29" fillId="2" borderId="103" xfId="1" applyFont="1" applyFill="1" applyBorder="1" applyAlignment="1">
      <alignment horizontal="left"/>
    </xf>
    <xf numFmtId="0" fontId="24" fillId="2" borderId="104" xfId="1" applyFont="1" applyFill="1" applyBorder="1"/>
    <xf numFmtId="0" fontId="24" fillId="2" borderId="105" xfId="1" applyFont="1" applyFill="1" applyBorder="1"/>
    <xf numFmtId="0" fontId="31" fillId="2" borderId="106" xfId="1" applyFont="1" applyFill="1" applyBorder="1" applyAlignment="1">
      <alignment horizontal="center"/>
    </xf>
    <xf numFmtId="0" fontId="26" fillId="0" borderId="77" xfId="1" applyFont="1" applyFill="1" applyBorder="1"/>
    <xf numFmtId="0" fontId="26" fillId="0" borderId="78" xfId="1" applyFont="1" applyFill="1" applyBorder="1"/>
    <xf numFmtId="0" fontId="26" fillId="0" borderId="86" xfId="1" applyFont="1" applyFill="1" applyBorder="1"/>
    <xf numFmtId="0" fontId="29" fillId="2" borderId="95" xfId="1" applyFont="1" applyFill="1" applyBorder="1"/>
    <xf numFmtId="0" fontId="36" fillId="2" borderId="63" xfId="1" applyFont="1" applyFill="1" applyBorder="1" applyAlignment="1">
      <alignment horizontal="right" shrinkToFit="1"/>
    </xf>
    <xf numFmtId="1" fontId="31" fillId="2" borderId="69" xfId="1" quotePrefix="1" applyNumberFormat="1" applyFont="1" applyFill="1" applyBorder="1" applyAlignment="1">
      <alignment horizontal="center"/>
    </xf>
    <xf numFmtId="2" fontId="26" fillId="0" borderId="0" xfId="1" applyNumberFormat="1" applyFont="1" applyFill="1"/>
    <xf numFmtId="0" fontId="29" fillId="2" borderId="82" xfId="1" applyFont="1" applyFill="1" applyBorder="1"/>
    <xf numFmtId="0" fontId="29" fillId="2" borderId="55" xfId="1" applyFont="1" applyFill="1" applyBorder="1"/>
    <xf numFmtId="0" fontId="36" fillId="2" borderId="63" xfId="1" applyFont="1" applyFill="1" applyBorder="1" applyAlignment="1">
      <alignment horizontal="right"/>
    </xf>
    <xf numFmtId="2" fontId="31" fillId="2" borderId="69" xfId="1" quotePrefix="1" applyNumberFormat="1" applyFont="1" applyFill="1" applyBorder="1" applyAlignment="1">
      <alignment horizontal="center"/>
    </xf>
    <xf numFmtId="0" fontId="31" fillId="2" borderId="69" xfId="1" quotePrefix="1" applyFont="1" applyFill="1" applyBorder="1" applyAlignment="1">
      <alignment horizontal="center"/>
    </xf>
    <xf numFmtId="2" fontId="31" fillId="2" borderId="63" xfId="1" applyNumberFormat="1" applyFont="1" applyFill="1" applyBorder="1" applyAlignment="1">
      <alignment horizontal="center"/>
    </xf>
    <xf numFmtId="0" fontId="36" fillId="2" borderId="55" xfId="1" applyFont="1" applyFill="1" applyBorder="1" applyAlignment="1">
      <alignment horizontal="right"/>
    </xf>
    <xf numFmtId="0" fontId="36" fillId="2" borderId="63" xfId="1" applyFont="1" applyFill="1" applyBorder="1"/>
    <xf numFmtId="0" fontId="40" fillId="0" borderId="0" xfId="1" applyFont="1" applyFill="1"/>
    <xf numFmtId="0" fontId="29" fillId="2" borderId="109" xfId="1" applyFont="1" applyFill="1" applyBorder="1"/>
    <xf numFmtId="0" fontId="29" fillId="2" borderId="110" xfId="1" applyFont="1" applyFill="1" applyBorder="1"/>
    <xf numFmtId="0" fontId="29" fillId="2" borderId="111" xfId="1" applyFont="1" applyFill="1" applyBorder="1"/>
    <xf numFmtId="0" fontId="36" fillId="2" borderId="111" xfId="1" applyFont="1" applyFill="1" applyBorder="1"/>
    <xf numFmtId="166" fontId="31" fillId="2" borderId="111" xfId="1" applyNumberFormat="1" applyFont="1" applyFill="1" applyBorder="1" applyAlignment="1">
      <alignment horizontal="center"/>
    </xf>
    <xf numFmtId="0" fontId="31" fillId="2" borderId="112" xfId="1" quotePrefix="1" applyFont="1" applyFill="1" applyBorder="1" applyAlignment="1">
      <alignment horizontal="center"/>
    </xf>
    <xf numFmtId="0" fontId="29" fillId="2" borderId="72" xfId="1" applyFont="1" applyFill="1" applyBorder="1"/>
    <xf numFmtId="0" fontId="29" fillId="2" borderId="102" xfId="1" applyFont="1" applyFill="1" applyBorder="1" applyAlignment="1">
      <alignment horizontal="left"/>
    </xf>
    <xf numFmtId="0" fontId="29" fillId="2" borderId="72" xfId="1" applyFont="1" applyFill="1" applyBorder="1" applyAlignment="1">
      <alignment horizontal="left"/>
    </xf>
    <xf numFmtId="1" fontId="31" fillId="2" borderId="58" xfId="1" applyNumberFormat="1" applyFont="1" applyFill="1" applyBorder="1" applyAlignment="1">
      <alignment horizontal="center"/>
    </xf>
    <xf numFmtId="0" fontId="31" fillId="2" borderId="113" xfId="1" applyFont="1" applyFill="1" applyBorder="1" applyAlignment="1">
      <alignment horizontal="center"/>
    </xf>
    <xf numFmtId="0" fontId="41" fillId="0" borderId="0" xfId="1" applyFont="1" applyFill="1" applyAlignment="1">
      <alignment horizontal="right"/>
    </xf>
    <xf numFmtId="2" fontId="26" fillId="0" borderId="0" xfId="2" applyNumberFormat="1" applyFont="1" applyFill="1"/>
    <xf numFmtId="0" fontId="29" fillId="2" borderId="0" xfId="1" applyFont="1" applyFill="1" applyBorder="1"/>
    <xf numFmtId="0" fontId="29" fillId="2" borderId="85" xfId="1" applyFont="1" applyFill="1" applyBorder="1" applyAlignment="1">
      <alignment horizontal="left"/>
    </xf>
    <xf numFmtId="0" fontId="29" fillId="2" borderId="68" xfId="1" applyFont="1" applyFill="1" applyBorder="1" applyAlignment="1">
      <alignment horizontal="left"/>
    </xf>
    <xf numFmtId="0" fontId="26" fillId="0" borderId="0" xfId="1" applyFont="1" applyFill="1" applyAlignment="1">
      <alignment horizontal="right"/>
    </xf>
    <xf numFmtId="0" fontId="29" fillId="2" borderId="40" xfId="1" applyFont="1" applyFill="1" applyBorder="1"/>
    <xf numFmtId="0" fontId="29" fillId="2" borderId="106" xfId="1" applyFont="1" applyFill="1" applyBorder="1" applyAlignment="1">
      <alignment horizontal="left"/>
    </xf>
    <xf numFmtId="0" fontId="29" fillId="2" borderId="98" xfId="1" applyFont="1" applyFill="1" applyBorder="1" applyAlignment="1">
      <alignment horizontal="left"/>
    </xf>
    <xf numFmtId="1" fontId="31" fillId="2" borderId="77" xfId="1" applyNumberFormat="1" applyFont="1" applyFill="1" applyBorder="1" applyAlignment="1">
      <alignment horizontal="center"/>
    </xf>
    <xf numFmtId="0" fontId="31" fillId="2" borderId="114" xfId="1" applyFont="1" applyFill="1" applyBorder="1" applyAlignment="1">
      <alignment horizontal="center"/>
    </xf>
    <xf numFmtId="0" fontId="20" fillId="2" borderId="79" xfId="1" applyFont="1" applyFill="1" applyBorder="1" applyAlignment="1">
      <alignment horizontal="left"/>
    </xf>
    <xf numFmtId="0" fontId="20" fillId="2" borderId="80" xfId="1" applyFont="1" applyFill="1" applyBorder="1" applyAlignment="1">
      <alignment horizontal="left"/>
    </xf>
    <xf numFmtId="0" fontId="20" fillId="2" borderId="81" xfId="1" applyFont="1" applyFill="1" applyBorder="1" applyAlignment="1">
      <alignment horizontal="left"/>
    </xf>
    <xf numFmtId="0" fontId="22" fillId="2" borderId="82" xfId="1" applyFont="1" applyFill="1" applyBorder="1"/>
    <xf numFmtId="0" fontId="26" fillId="2" borderId="71" xfId="1" applyFont="1" applyFill="1" applyBorder="1" applyAlignment="1">
      <alignment horizontal="left"/>
    </xf>
    <xf numFmtId="0" fontId="26" fillId="2" borderId="83" xfId="1" applyFont="1" applyFill="1" applyBorder="1" applyAlignment="1">
      <alignment horizontal="left"/>
    </xf>
    <xf numFmtId="0" fontId="22" fillId="2" borderId="67" xfId="1" applyFont="1" applyFill="1" applyBorder="1" applyAlignment="1">
      <alignment horizontal="left"/>
    </xf>
    <xf numFmtId="0" fontId="22" fillId="2" borderId="73" xfId="1" applyFont="1" applyFill="1" applyBorder="1" applyAlignment="1">
      <alignment horizontal="left"/>
    </xf>
    <xf numFmtId="0" fontId="42" fillId="0" borderId="0" xfId="1" applyFont="1" applyFill="1"/>
    <xf numFmtId="0" fontId="29" fillId="0" borderId="115" xfId="1" applyFont="1" applyFill="1" applyBorder="1"/>
    <xf numFmtId="0" fontId="29" fillId="2" borderId="118" xfId="1" applyFont="1" applyFill="1" applyBorder="1"/>
    <xf numFmtId="0" fontId="43" fillId="2" borderId="119" xfId="1" applyFont="1" applyFill="1" applyBorder="1" applyAlignment="1">
      <alignment horizontal="center" shrinkToFit="1"/>
    </xf>
    <xf numFmtId="0" fontId="22" fillId="2" borderId="45" xfId="1" applyFont="1" applyFill="1" applyBorder="1"/>
    <xf numFmtId="0" fontId="29" fillId="2" borderId="120" xfId="1" applyFont="1" applyFill="1" applyBorder="1"/>
    <xf numFmtId="0" fontId="29" fillId="2" borderId="23" xfId="1" applyFont="1" applyFill="1" applyBorder="1"/>
    <xf numFmtId="14" fontId="24" fillId="2" borderId="123" xfId="1" applyNumberFormat="1" applyFont="1" applyFill="1" applyBorder="1" applyAlignment="1">
      <alignment horizontal="center"/>
    </xf>
    <xf numFmtId="0" fontId="22" fillId="0" borderId="23" xfId="1" applyFont="1" applyFill="1" applyBorder="1"/>
    <xf numFmtId="0" fontId="22" fillId="2" borderId="124" xfId="1" applyFont="1" applyFill="1" applyBorder="1" applyAlignment="1">
      <alignment horizontal="left"/>
    </xf>
    <xf numFmtId="0" fontId="22" fillId="2" borderId="125" xfId="1" applyFont="1" applyFill="1" applyBorder="1" applyAlignment="1">
      <alignment horizontal="left"/>
    </xf>
    <xf numFmtId="0" fontId="22" fillId="0" borderId="0" xfId="1" applyFont="1" applyFill="1"/>
    <xf numFmtId="0" fontId="22" fillId="0" borderId="0" xfId="1" applyFont="1" applyFill="1" applyBorder="1"/>
    <xf numFmtId="0" fontId="31" fillId="2" borderId="63" xfId="1" quotePrefix="1" applyFont="1" applyFill="1" applyBorder="1" applyAlignment="1">
      <alignment horizontal="center"/>
    </xf>
    <xf numFmtId="0" fontId="26" fillId="2" borderId="71" xfId="1" applyFont="1" applyFill="1" applyBorder="1" applyAlignment="1">
      <alignment horizontal="left"/>
    </xf>
    <xf numFmtId="166" fontId="2" fillId="0" borderId="0" xfId="0" applyNumberFormat="1" applyFont="1" applyAlignment="1">
      <alignment horizontal="center"/>
    </xf>
    <xf numFmtId="2" fontId="7" fillId="0" borderId="36" xfId="0" applyNumberFormat="1" applyFont="1" applyFill="1" applyBorder="1" applyAlignment="1">
      <alignment horizontal="center"/>
    </xf>
    <xf numFmtId="166" fontId="2" fillId="0" borderId="36" xfId="0" applyNumberFormat="1" applyFont="1" applyFill="1" applyBorder="1" applyAlignment="1">
      <alignment horizontal="center"/>
    </xf>
    <xf numFmtId="166" fontId="2" fillId="0" borderId="129" xfId="0" applyNumberFormat="1" applyFont="1" applyFill="1" applyBorder="1" applyAlignment="1">
      <alignment horizontal="center"/>
    </xf>
    <xf numFmtId="2" fontId="8" fillId="0" borderId="40" xfId="0" applyNumberFormat="1" applyFont="1" applyFill="1" applyBorder="1" applyAlignment="1">
      <alignment horizontal="left"/>
    </xf>
    <xf numFmtId="166" fontId="14" fillId="0" borderId="40" xfId="0" applyNumberFormat="1" applyFont="1" applyFill="1" applyBorder="1" applyAlignment="1">
      <alignment horizontal="left"/>
    </xf>
    <xf numFmtId="2" fontId="7" fillId="0" borderId="0" xfId="0" applyNumberFormat="1" applyFont="1" applyFill="1" applyBorder="1" applyAlignment="1">
      <alignment horizontal="right"/>
    </xf>
    <xf numFmtId="2" fontId="7" fillId="0" borderId="23" xfId="0" applyNumberFormat="1" applyFont="1" applyFill="1" applyBorder="1" applyAlignment="1">
      <alignment horizontal="right"/>
    </xf>
    <xf numFmtId="166" fontId="2" fillId="0" borderId="0" xfId="0" applyNumberFormat="1" applyFont="1" applyFill="1" applyBorder="1" applyAlignment="1">
      <alignment horizontal="centerContinuous"/>
    </xf>
    <xf numFmtId="166" fontId="2" fillId="0" borderId="0" xfId="0" applyNumberFormat="1" applyFont="1" applyBorder="1" applyAlignment="1">
      <alignment horizontal="centerContinuous"/>
    </xf>
    <xf numFmtId="166" fontId="2" fillId="0" borderId="23" xfId="0" applyNumberFormat="1" applyFont="1" applyFill="1" applyBorder="1" applyAlignment="1">
      <alignment horizontal="centerContinuous"/>
    </xf>
    <xf numFmtId="0" fontId="46" fillId="0" borderId="0" xfId="3"/>
    <xf numFmtId="0" fontId="51" fillId="0" borderId="0" xfId="3" applyFont="1"/>
    <xf numFmtId="0" fontId="6" fillId="0" borderId="0" xfId="3" applyFont="1" applyAlignment="1">
      <alignment horizontal="right"/>
    </xf>
    <xf numFmtId="0" fontId="16" fillId="0" borderId="0" xfId="3" applyFont="1"/>
    <xf numFmtId="0" fontId="54" fillId="0" borderId="26" xfId="3" applyFont="1" applyBorder="1" applyAlignment="1">
      <alignment horizontal="center"/>
    </xf>
    <xf numFmtId="0" fontId="54" fillId="0" borderId="28" xfId="3" applyFont="1" applyBorder="1" applyAlignment="1">
      <alignment horizontal="center"/>
    </xf>
    <xf numFmtId="0" fontId="51" fillId="0" borderId="1" xfId="3" applyFont="1" applyBorder="1" applyAlignment="1">
      <alignment horizontal="center"/>
    </xf>
    <xf numFmtId="0" fontId="54" fillId="0" borderId="1" xfId="3" applyFont="1" applyBorder="1" applyAlignment="1">
      <alignment horizontal="right"/>
    </xf>
    <xf numFmtId="0" fontId="54" fillId="0" borderId="1" xfId="3" applyFont="1" applyBorder="1" applyAlignment="1">
      <alignment horizontal="center"/>
    </xf>
    <xf numFmtId="0" fontId="51" fillId="0" borderId="126" xfId="3" applyFont="1" applyBorder="1" applyAlignment="1">
      <alignment horizontal="center"/>
    </xf>
    <xf numFmtId="0" fontId="51" fillId="0" borderId="127" xfId="3" quotePrefix="1" applyFont="1" applyBorder="1" applyAlignment="1">
      <alignment horizontal="center"/>
    </xf>
    <xf numFmtId="0" fontId="51" fillId="0" borderId="127" xfId="3" applyFont="1" applyBorder="1" applyAlignment="1">
      <alignment horizontal="center"/>
    </xf>
    <xf numFmtId="0" fontId="54" fillId="0" borderId="0" xfId="3" applyFont="1" applyAlignment="1">
      <alignment horizontal="right"/>
    </xf>
    <xf numFmtId="169" fontId="58" fillId="0" borderId="6" xfId="4" applyFont="1" applyBorder="1" applyAlignment="1" applyProtection="1">
      <alignment horizontal="centerContinuous"/>
    </xf>
    <xf numFmtId="169" fontId="58" fillId="0" borderId="7" xfId="4" applyFont="1" applyBorder="1" applyAlignment="1">
      <alignment horizontal="centerContinuous"/>
    </xf>
    <xf numFmtId="169" fontId="59" fillId="0" borderId="12" xfId="4" applyFont="1" applyBorder="1" applyAlignment="1" applyProtection="1">
      <alignment horizontal="left"/>
    </xf>
    <xf numFmtId="169" fontId="60" fillId="0" borderId="54" xfId="4" applyFont="1" applyBorder="1"/>
    <xf numFmtId="169" fontId="59" fillId="0" borderId="13" xfId="4" applyFont="1" applyBorder="1" applyAlignment="1">
      <alignment horizontal="centerContinuous"/>
    </xf>
    <xf numFmtId="169" fontId="60" fillId="0" borderId="14" xfId="4" applyFont="1" applyBorder="1" applyAlignment="1">
      <alignment horizontal="centerContinuous"/>
    </xf>
    <xf numFmtId="169" fontId="61" fillId="0" borderId="0" xfId="4" applyFont="1"/>
    <xf numFmtId="169" fontId="57" fillId="0" borderId="0" xfId="4"/>
    <xf numFmtId="169" fontId="58" fillId="0" borderId="45" xfId="4" applyFont="1" applyBorder="1" applyAlignment="1" applyProtection="1">
      <alignment horizontal="centerContinuous"/>
    </xf>
    <xf numFmtId="169" fontId="58" fillId="0" borderId="0" xfId="4" applyFont="1" applyBorder="1" applyAlignment="1">
      <alignment horizontal="centerContinuous"/>
    </xf>
    <xf numFmtId="169" fontId="59" fillId="0" borderId="108" xfId="4" applyFont="1" applyBorder="1" applyAlignment="1" applyProtection="1">
      <alignment horizontal="left"/>
    </xf>
    <xf numFmtId="169" fontId="60" fillId="0" borderId="39" xfId="4" applyFont="1" applyBorder="1"/>
    <xf numFmtId="169" fontId="59" fillId="0" borderId="40" xfId="4" applyFont="1" applyBorder="1" applyAlignment="1" applyProtection="1">
      <alignment horizontal="centerContinuous"/>
    </xf>
    <xf numFmtId="169" fontId="60" fillId="0" borderId="29" xfId="4" applyFont="1" applyBorder="1" applyAlignment="1">
      <alignment horizontal="centerContinuous"/>
    </xf>
    <xf numFmtId="169" fontId="60" fillId="0" borderId="45" xfId="4" applyFont="1" applyBorder="1" applyAlignment="1">
      <alignment horizontal="centerContinuous"/>
    </xf>
    <xf numFmtId="169" fontId="60" fillId="0" borderId="0" xfId="4" applyFont="1" applyBorder="1" applyAlignment="1">
      <alignment horizontal="centerContinuous"/>
    </xf>
    <xf numFmtId="169" fontId="59" fillId="0" borderId="40" xfId="4" quotePrefix="1" applyFont="1" applyBorder="1" applyAlignment="1">
      <alignment horizontal="centerContinuous"/>
    </xf>
    <xf numFmtId="169" fontId="62" fillId="0" borderId="45" xfId="4" applyFont="1" applyBorder="1" applyAlignment="1" applyProtection="1">
      <alignment horizontal="centerContinuous"/>
    </xf>
    <xf numFmtId="169" fontId="59" fillId="0" borderId="40" xfId="4" quotePrefix="1" applyFont="1" applyBorder="1" applyAlignment="1" applyProtection="1">
      <alignment horizontal="centerContinuous"/>
    </xf>
    <xf numFmtId="169" fontId="61" fillId="0" borderId="45" xfId="4" applyFont="1" applyBorder="1" applyAlignment="1">
      <alignment horizontal="centerContinuous"/>
    </xf>
    <xf numFmtId="169" fontId="59" fillId="0" borderId="40" xfId="4" applyFont="1" applyBorder="1" applyAlignment="1">
      <alignment horizontal="centerContinuous"/>
    </xf>
    <xf numFmtId="169" fontId="61" fillId="0" borderId="46" xfId="4" applyFont="1" applyBorder="1" applyAlignment="1" applyProtection="1">
      <alignment horizontal="centerContinuous"/>
    </xf>
    <xf numFmtId="169" fontId="60" fillId="0" borderId="23" xfId="4" applyFont="1" applyBorder="1" applyAlignment="1">
      <alignment horizontal="centerContinuous"/>
    </xf>
    <xf numFmtId="169" fontId="59" fillId="0" borderId="46" xfId="4" applyFont="1" applyBorder="1" applyAlignment="1" applyProtection="1">
      <alignment horizontal="left"/>
    </xf>
    <xf numFmtId="169" fontId="60" fillId="0" borderId="48" xfId="4" applyFont="1" applyBorder="1"/>
    <xf numFmtId="169" fontId="63" fillId="0" borderId="23" xfId="4" applyFont="1" applyBorder="1" applyAlignment="1">
      <alignment horizontal="centerContinuous"/>
    </xf>
    <xf numFmtId="169" fontId="60" fillId="0" borderId="24" xfId="4" applyFont="1" applyBorder="1" applyAlignment="1">
      <alignment horizontal="centerContinuous"/>
    </xf>
    <xf numFmtId="169" fontId="61" fillId="0" borderId="0" xfId="4" applyFont="1" applyBorder="1" applyAlignment="1" applyProtection="1">
      <alignment horizontal="centerContinuous"/>
    </xf>
    <xf numFmtId="169" fontId="59" fillId="0" borderId="0" xfId="4" applyFont="1" applyBorder="1" applyAlignment="1" applyProtection="1">
      <alignment horizontal="left"/>
    </xf>
    <xf numFmtId="169" fontId="60" fillId="0" borderId="0" xfId="4" applyFont="1" applyBorder="1"/>
    <xf numFmtId="169" fontId="59" fillId="0" borderId="0" xfId="4" applyFont="1" applyBorder="1" applyAlignment="1">
      <alignment horizontal="centerContinuous"/>
    </xf>
    <xf numFmtId="169" fontId="64" fillId="0" borderId="0" xfId="4" applyFont="1"/>
    <xf numFmtId="169" fontId="64" fillId="0" borderId="0" xfId="4" applyFont="1" applyAlignment="1" applyProtection="1">
      <alignment horizontal="right"/>
    </xf>
    <xf numFmtId="169" fontId="64" fillId="0" borderId="0" xfId="4" applyFont="1" applyAlignment="1" applyProtection="1">
      <alignment horizontal="left"/>
      <protection locked="0"/>
    </xf>
    <xf numFmtId="169" fontId="64" fillId="0" borderId="0" xfId="4" applyFont="1" applyBorder="1" applyAlignment="1">
      <alignment horizontal="centerContinuous"/>
    </xf>
    <xf numFmtId="169" fontId="64" fillId="0" borderId="0" xfId="4" applyFont="1" applyBorder="1" applyAlignment="1" applyProtection="1">
      <alignment horizontal="left"/>
    </xf>
    <xf numFmtId="169" fontId="64" fillId="0" borderId="0" xfId="4" applyFont="1" applyBorder="1"/>
    <xf numFmtId="169" fontId="64" fillId="0" borderId="0" xfId="4" quotePrefix="1" applyFont="1" applyAlignment="1" applyProtection="1">
      <alignment horizontal="left"/>
      <protection locked="0"/>
    </xf>
    <xf numFmtId="169" fontId="60" fillId="0" borderId="0" xfId="4" applyFont="1"/>
    <xf numFmtId="169" fontId="65" fillId="0" borderId="130" xfId="4" applyFont="1" applyBorder="1" applyAlignment="1" applyProtection="1">
      <alignment horizontal="centerContinuous"/>
    </xf>
    <xf numFmtId="169" fontId="61" fillId="0" borderId="131" xfId="4" applyFont="1" applyBorder="1" applyAlignment="1">
      <alignment horizontal="centerContinuous"/>
    </xf>
    <xf numFmtId="169" fontId="61" fillId="0" borderId="132" xfId="4" applyFont="1" applyBorder="1" applyAlignment="1">
      <alignment horizontal="centerContinuous"/>
    </xf>
    <xf numFmtId="169" fontId="64" fillId="0" borderId="45" xfId="4" applyFont="1" applyBorder="1"/>
    <xf numFmtId="169" fontId="64" fillId="0" borderId="0" xfId="4" applyFont="1" applyBorder="1" applyAlignment="1" applyProtection="1">
      <alignment horizontal="right"/>
    </xf>
    <xf numFmtId="169" fontId="64" fillId="0" borderId="0" xfId="4" applyFont="1" applyBorder="1" applyAlignment="1" applyProtection="1">
      <alignment horizontal="center"/>
      <protection locked="0"/>
    </xf>
    <xf numFmtId="169" fontId="64" fillId="0" borderId="21" xfId="4" applyFont="1" applyBorder="1" applyAlignment="1" applyProtection="1">
      <alignment horizontal="center"/>
      <protection locked="0"/>
    </xf>
    <xf numFmtId="169" fontId="59" fillId="0" borderId="0" xfId="4" applyFont="1" applyBorder="1" applyAlignment="1" applyProtection="1">
      <alignment horizontal="right"/>
    </xf>
    <xf numFmtId="169" fontId="64" fillId="0" borderId="0" xfId="4" quotePrefix="1" applyFont="1" applyBorder="1" applyAlignment="1" applyProtection="1">
      <alignment horizontal="right"/>
    </xf>
    <xf numFmtId="169" fontId="64" fillId="0" borderId="0" xfId="4" quotePrefix="1" applyFont="1" applyBorder="1" applyAlignment="1" applyProtection="1">
      <alignment horizontal="center"/>
      <protection locked="0"/>
    </xf>
    <xf numFmtId="169" fontId="64" fillId="0" borderId="0" xfId="4" applyFont="1" applyBorder="1" applyAlignment="1" applyProtection="1">
      <alignment horizontal="left"/>
      <protection locked="0"/>
    </xf>
    <xf numFmtId="169" fontId="64" fillId="0" borderId="0" xfId="4" applyFont="1" applyBorder="1" applyAlignment="1">
      <alignment horizontal="center"/>
    </xf>
    <xf numFmtId="169" fontId="64" fillId="0" borderId="21" xfId="4" applyFont="1" applyBorder="1"/>
    <xf numFmtId="169" fontId="64" fillId="0" borderId="46" xfId="4" applyFont="1" applyBorder="1"/>
    <xf numFmtId="169" fontId="64" fillId="0" borderId="23" xfId="4" applyFont="1" applyBorder="1" applyAlignment="1" applyProtection="1">
      <alignment horizontal="right"/>
    </xf>
    <xf numFmtId="166" fontId="64" fillId="0" borderId="23" xfId="4" quotePrefix="1" applyNumberFormat="1" applyFont="1" applyBorder="1" applyAlignment="1" applyProtection="1">
      <alignment horizontal="center"/>
      <protection locked="0"/>
    </xf>
    <xf numFmtId="169" fontId="64" fillId="0" borderId="23" xfId="4" applyFont="1" applyBorder="1"/>
    <xf numFmtId="169" fontId="64" fillId="0" borderId="23" xfId="4" applyFont="1" applyBorder="1" applyAlignment="1">
      <alignment horizontal="right"/>
    </xf>
    <xf numFmtId="166" fontId="64" fillId="0" borderId="23" xfId="4" applyNumberFormat="1" applyFont="1" applyBorder="1" applyProtection="1"/>
    <xf numFmtId="169" fontId="64" fillId="0" borderId="24" xfId="4" applyFont="1" applyBorder="1"/>
    <xf numFmtId="169" fontId="66" fillId="0" borderId="45" xfId="4" quotePrefix="1" applyFont="1" applyBorder="1" applyAlignment="1">
      <alignment horizontal="left"/>
    </xf>
    <xf numFmtId="169" fontId="60" fillId="0" borderId="0" xfId="4" quotePrefix="1" applyFont="1" applyBorder="1" applyAlignment="1" applyProtection="1">
      <alignment horizontal="right"/>
    </xf>
    <xf numFmtId="169" fontId="60" fillId="0" borderId="107" xfId="4" applyFont="1" applyBorder="1"/>
    <xf numFmtId="169" fontId="66" fillId="0" borderId="0" xfId="4" applyFont="1" applyBorder="1" applyAlignment="1" applyProtection="1">
      <alignment horizontal="left"/>
    </xf>
    <xf numFmtId="169" fontId="60" fillId="0" borderId="0" xfId="4" applyFont="1" applyBorder="1" applyAlignment="1" applyProtection="1">
      <alignment horizontal="right"/>
    </xf>
    <xf numFmtId="169" fontId="60" fillId="0" borderId="107" xfId="4" applyFont="1" applyBorder="1" applyAlignment="1" applyProtection="1">
      <alignment horizontal="right"/>
    </xf>
    <xf numFmtId="169" fontId="66" fillId="0" borderId="0" xfId="4" quotePrefix="1" applyFont="1" applyBorder="1" applyAlignment="1" applyProtection="1">
      <alignment horizontal="left"/>
    </xf>
    <xf numFmtId="169" fontId="60" fillId="0" borderId="0" xfId="4" applyFont="1" applyBorder="1" applyAlignment="1">
      <alignment horizontal="right"/>
    </xf>
    <xf numFmtId="169" fontId="60" fillId="0" borderId="21" xfId="4" applyFont="1" applyBorder="1"/>
    <xf numFmtId="169" fontId="57" fillId="0" borderId="45" xfId="4" applyBorder="1"/>
    <xf numFmtId="169" fontId="64" fillId="0" borderId="0" xfId="4" applyFont="1" applyBorder="1" applyAlignment="1">
      <alignment horizontal="right"/>
    </xf>
    <xf numFmtId="169" fontId="64" fillId="0" borderId="107" xfId="4" applyFont="1" applyBorder="1" applyAlignment="1" applyProtection="1">
      <alignment horizontal="center"/>
      <protection locked="0"/>
    </xf>
    <xf numFmtId="1" fontId="64" fillId="0" borderId="107" xfId="4" applyNumberFormat="1" applyFont="1" applyBorder="1" applyAlignment="1">
      <alignment horizontal="center"/>
    </xf>
    <xf numFmtId="169" fontId="64" fillId="0" borderId="0" xfId="4" applyFont="1" applyBorder="1" applyAlignment="1">
      <alignment horizontal="left"/>
    </xf>
    <xf numFmtId="169" fontId="64" fillId="0" borderId="107" xfId="4" applyFont="1" applyBorder="1"/>
    <xf numFmtId="169" fontId="64" fillId="0" borderId="48" xfId="4" applyFont="1" applyBorder="1"/>
    <xf numFmtId="169" fontId="64" fillId="0" borderId="48" xfId="4" applyFont="1" applyBorder="1" applyAlignment="1">
      <alignment horizontal="left"/>
    </xf>
    <xf numFmtId="169" fontId="61" fillId="0" borderId="0" xfId="4" applyFont="1" applyBorder="1" applyAlignment="1">
      <alignment horizontal="centerContinuous"/>
    </xf>
    <xf numFmtId="169" fontId="61" fillId="0" borderId="0" xfId="4" applyFont="1" applyBorder="1"/>
    <xf numFmtId="169" fontId="65" fillId="0" borderId="133" xfId="4" applyFont="1" applyBorder="1" applyAlignment="1" applyProtection="1">
      <alignment horizontal="centerContinuous"/>
    </xf>
    <xf numFmtId="169" fontId="61" fillId="0" borderId="134" xfId="4" applyFont="1" applyBorder="1" applyAlignment="1">
      <alignment horizontal="centerContinuous"/>
    </xf>
    <xf numFmtId="169" fontId="57" fillId="0" borderId="135" xfId="4" applyBorder="1"/>
    <xf numFmtId="169" fontId="61" fillId="0" borderId="136" xfId="4" applyFont="1" applyBorder="1" applyAlignment="1">
      <alignment horizontal="centerContinuous"/>
    </xf>
    <xf numFmtId="169" fontId="66" fillId="0" borderId="45" xfId="4" applyFont="1" applyBorder="1" applyAlignment="1">
      <alignment horizontal="left"/>
    </xf>
    <xf numFmtId="169" fontId="57" fillId="0" borderId="107" xfId="4" applyBorder="1"/>
    <xf numFmtId="166" fontId="64" fillId="0" borderId="0" xfId="4" applyNumberFormat="1" applyFont="1" applyBorder="1" applyAlignment="1" applyProtection="1">
      <alignment horizontal="center"/>
      <protection locked="0"/>
    </xf>
    <xf numFmtId="169" fontId="64" fillId="0" borderId="45" xfId="4" applyFont="1" applyBorder="1" applyAlignment="1">
      <alignment horizontal="left"/>
    </xf>
    <xf numFmtId="169" fontId="57" fillId="0" borderId="48" xfId="4" applyBorder="1"/>
    <xf numFmtId="169" fontId="61" fillId="0" borderId="0" xfId="4" applyFont="1" applyBorder="1" applyAlignment="1">
      <alignment horizontal="left"/>
    </xf>
    <xf numFmtId="169" fontId="61" fillId="0" borderId="0" xfId="4" applyFont="1" applyAlignment="1">
      <alignment horizontal="left"/>
    </xf>
    <xf numFmtId="169" fontId="61" fillId="0" borderId="133" xfId="4" applyFont="1" applyBorder="1"/>
    <xf numFmtId="169" fontId="60" fillId="0" borderId="134" xfId="4" applyFont="1" applyBorder="1" applyAlignment="1">
      <alignment horizontal="left"/>
    </xf>
    <xf numFmtId="169" fontId="60" fillId="0" borderId="136" xfId="4" applyFont="1" applyBorder="1" applyAlignment="1">
      <alignment horizontal="left"/>
    </xf>
    <xf numFmtId="169" fontId="64" fillId="0" borderId="45" xfId="4" quotePrefix="1" applyFont="1" applyBorder="1" applyAlignment="1">
      <alignment horizontal="left"/>
    </xf>
    <xf numFmtId="169" fontId="64" fillId="0" borderId="21" xfId="4" applyFont="1" applyBorder="1" applyAlignment="1">
      <alignment horizontal="left"/>
    </xf>
    <xf numFmtId="169" fontId="64" fillId="0" borderId="137" xfId="4" applyFont="1" applyBorder="1" applyAlignment="1">
      <alignment horizontal="left"/>
    </xf>
    <xf numFmtId="169" fontId="64" fillId="0" borderId="138" xfId="4" applyFont="1" applyBorder="1" applyAlignment="1">
      <alignment horizontal="left"/>
    </xf>
    <xf numFmtId="169" fontId="64" fillId="0" borderId="139" xfId="4" applyFont="1" applyBorder="1" applyAlignment="1">
      <alignment horizontal="left"/>
    </xf>
    <xf numFmtId="169" fontId="64" fillId="0" borderId="140" xfId="4" applyFont="1" applyBorder="1" applyAlignment="1">
      <alignment horizontal="left"/>
    </xf>
    <xf numFmtId="169" fontId="64" fillId="0" borderId="141" xfId="4" applyFont="1" applyBorder="1" applyAlignment="1">
      <alignment horizontal="left"/>
    </xf>
    <xf numFmtId="169" fontId="64" fillId="0" borderId="142" xfId="4" applyFont="1" applyBorder="1" applyAlignment="1">
      <alignment horizontal="left"/>
    </xf>
    <xf numFmtId="169" fontId="64" fillId="0" borderId="45" xfId="4" quotePrefix="1" applyFont="1" applyBorder="1" applyAlignment="1" applyProtection="1">
      <alignment horizontal="left"/>
    </xf>
    <xf numFmtId="169" fontId="64" fillId="0" borderId="0" xfId="4" quotePrefix="1" applyFont="1" applyBorder="1" applyAlignment="1" applyProtection="1">
      <alignment horizontal="left"/>
    </xf>
    <xf numFmtId="169" fontId="64" fillId="0" borderId="143" xfId="4" applyFont="1" applyBorder="1" applyAlignment="1">
      <alignment horizontal="left"/>
    </xf>
    <xf numFmtId="169" fontId="64" fillId="0" borderId="144" xfId="4" applyFont="1" applyBorder="1" applyAlignment="1">
      <alignment horizontal="left"/>
    </xf>
    <xf numFmtId="169" fontId="64" fillId="0" borderId="145" xfId="4" applyFont="1" applyBorder="1" applyAlignment="1">
      <alignment horizontal="left"/>
    </xf>
    <xf numFmtId="169" fontId="60" fillId="0" borderId="0" xfId="4" applyFont="1" applyAlignment="1">
      <alignment horizontal="left"/>
    </xf>
    <xf numFmtId="169" fontId="67" fillId="0" borderId="0" xfId="4" applyFont="1" applyAlignment="1" applyProtection="1">
      <alignment horizontal="right"/>
    </xf>
    <xf numFmtId="169" fontId="57" fillId="0" borderId="0" xfId="4" applyAlignment="1">
      <alignment horizontal="right"/>
    </xf>
    <xf numFmtId="0" fontId="47" fillId="0" borderId="60" xfId="5" applyFont="1" applyBorder="1"/>
    <xf numFmtId="0" fontId="47" fillId="0" borderId="61" xfId="5" applyFont="1" applyBorder="1"/>
    <xf numFmtId="0" fontId="47" fillId="0" borderId="38" xfId="5" applyFont="1" applyBorder="1"/>
    <xf numFmtId="0" fontId="1" fillId="0" borderId="0" xfId="5"/>
    <xf numFmtId="0" fontId="48" fillId="0" borderId="82" xfId="5" applyFont="1" applyBorder="1" applyAlignment="1">
      <alignment horizontal="centerContinuous"/>
    </xf>
    <xf numFmtId="0" fontId="47" fillId="0" borderId="0" xfId="5" applyFont="1" applyBorder="1" applyAlignment="1">
      <alignment horizontal="centerContinuous"/>
    </xf>
    <xf numFmtId="0" fontId="47" fillId="0" borderId="107" xfId="5" applyFont="1" applyBorder="1" applyAlignment="1">
      <alignment horizontal="centerContinuous"/>
    </xf>
    <xf numFmtId="0" fontId="49" fillId="0" borderId="82" xfId="5" applyFont="1" applyBorder="1" applyAlignment="1">
      <alignment horizontal="centerContinuous"/>
    </xf>
    <xf numFmtId="0" fontId="47" fillId="0" borderId="82" xfId="5" applyFont="1" applyBorder="1"/>
    <xf numFmtId="0" fontId="47" fillId="0" borderId="0" xfId="5" applyFont="1" applyBorder="1"/>
    <xf numFmtId="0" fontId="47" fillId="0" borderId="107" xfId="5" applyFont="1" applyBorder="1"/>
    <xf numFmtId="0" fontId="50" fillId="0" borderId="1" xfId="5" applyFont="1" applyBorder="1" applyAlignment="1">
      <alignment horizontal="right"/>
    </xf>
    <xf numFmtId="0" fontId="47" fillId="0" borderId="1" xfId="5" applyFont="1" applyBorder="1" applyAlignment="1">
      <alignment horizontal="center"/>
    </xf>
    <xf numFmtId="14" fontId="47" fillId="0" borderId="1" xfId="5" applyNumberFormat="1" applyFont="1" applyBorder="1" applyAlignment="1">
      <alignment horizontal="center"/>
    </xf>
    <xf numFmtId="0" fontId="50" fillId="0" borderId="0" xfId="5" applyFont="1" applyBorder="1" applyAlignment="1">
      <alignment horizontal="right"/>
    </xf>
    <xf numFmtId="0" fontId="47" fillId="0" borderId="0" xfId="5" applyFont="1" applyBorder="1" applyAlignment="1">
      <alignment horizontal="center"/>
    </xf>
    <xf numFmtId="9" fontId="47" fillId="0" borderId="0" xfId="5" applyNumberFormat="1" applyFont="1" applyBorder="1" applyAlignment="1">
      <alignment horizontal="center"/>
    </xf>
    <xf numFmtId="0" fontId="50" fillId="0" borderId="82" xfId="5" applyFont="1" applyBorder="1" applyAlignment="1">
      <alignment horizontal="right"/>
    </xf>
    <xf numFmtId="0" fontId="47" fillId="0" borderId="40" xfId="5" applyFont="1" applyBorder="1"/>
    <xf numFmtId="0" fontId="47" fillId="0" borderId="39" xfId="5" applyFont="1" applyBorder="1" applyAlignment="1">
      <alignment horizontal="center"/>
    </xf>
    <xf numFmtId="0" fontId="47" fillId="0" borderId="84" xfId="5" applyFont="1" applyBorder="1"/>
    <xf numFmtId="0" fontId="50" fillId="0" borderId="17" xfId="5" applyFont="1" applyBorder="1" applyAlignment="1">
      <alignment horizontal="right"/>
    </xf>
    <xf numFmtId="0" fontId="47" fillId="0" borderId="127" xfId="5" applyFont="1" applyBorder="1"/>
    <xf numFmtId="166" fontId="2" fillId="0" borderId="0" xfId="5" applyNumberFormat="1" applyFont="1" applyAlignment="1">
      <alignment horizontal="center"/>
    </xf>
    <xf numFmtId="166" fontId="3" fillId="0" borderId="0" xfId="5" quotePrefix="1" applyNumberFormat="1" applyFont="1" applyBorder="1" applyAlignment="1">
      <alignment horizontal="center"/>
    </xf>
    <xf numFmtId="166" fontId="2" fillId="0" borderId="0" xfId="5" applyNumberFormat="1" applyFont="1" applyBorder="1" applyAlignment="1">
      <alignment horizontal="center"/>
    </xf>
    <xf numFmtId="166" fontId="3" fillId="0" borderId="0" xfId="5" applyNumberFormat="1" applyFont="1" applyBorder="1" applyAlignment="1">
      <alignment horizontal="center"/>
    </xf>
    <xf numFmtId="0" fontId="56" fillId="0" borderId="0" xfId="5" applyFont="1"/>
    <xf numFmtId="0" fontId="1" fillId="0" borderId="0" xfId="5" applyBorder="1"/>
    <xf numFmtId="0" fontId="52" fillId="0" borderId="0" xfId="5" applyFont="1" applyFill="1" applyBorder="1"/>
    <xf numFmtId="0" fontId="1" fillId="0" borderId="0" xfId="5" applyFont="1" applyFill="1" applyBorder="1"/>
    <xf numFmtId="0" fontId="2" fillId="0" borderId="1" xfId="5" applyFont="1" applyBorder="1" applyAlignment="1">
      <alignment horizontal="center"/>
    </xf>
    <xf numFmtId="1" fontId="2" fillId="2" borderId="1" xfId="5" applyNumberFormat="1" applyFont="1" applyFill="1" applyBorder="1" applyAlignment="1">
      <alignment horizontal="center"/>
    </xf>
    <xf numFmtId="2" fontId="2" fillId="2" borderId="1" xfId="5" applyNumberFormat="1" applyFont="1" applyFill="1" applyBorder="1" applyAlignment="1">
      <alignment horizontal="center"/>
    </xf>
    <xf numFmtId="0" fontId="2" fillId="2" borderId="1" xfId="5" applyFont="1" applyFill="1" applyBorder="1" applyAlignment="1">
      <alignment horizontal="center"/>
    </xf>
    <xf numFmtId="0" fontId="69" fillId="0" borderId="0" xfId="5" applyFont="1"/>
    <xf numFmtId="0" fontId="2" fillId="0" borderId="44" xfId="5" applyFont="1" applyBorder="1" applyAlignment="1">
      <alignment horizontal="center"/>
    </xf>
    <xf numFmtId="0" fontId="2" fillId="0" borderId="53" xfId="5" applyFont="1" applyBorder="1" applyAlignment="1">
      <alignment horizontal="center"/>
    </xf>
    <xf numFmtId="166" fontId="3" fillId="0" borderId="147" xfId="5" quotePrefix="1" applyNumberFormat="1" applyFont="1" applyBorder="1" applyAlignment="1">
      <alignment horizontal="center"/>
    </xf>
    <xf numFmtId="166" fontId="2" fillId="0" borderId="39" xfId="5" applyNumberFormat="1" applyFont="1" applyBorder="1" applyAlignment="1">
      <alignment horizontal="center"/>
    </xf>
    <xf numFmtId="166" fontId="2" fillId="0" borderId="28" xfId="5" applyNumberFormat="1" applyFont="1" applyBorder="1" applyAlignment="1">
      <alignment horizontal="center"/>
    </xf>
    <xf numFmtId="166" fontId="2" fillId="0" borderId="148" xfId="5" applyNumberFormat="1" applyFont="1" applyBorder="1" applyAlignment="1">
      <alignment horizontal="center"/>
    </xf>
    <xf numFmtId="166" fontId="3" fillId="0" borderId="149" xfId="5" quotePrefix="1" applyNumberFormat="1" applyFont="1" applyBorder="1" applyAlignment="1">
      <alignment horizontal="center"/>
    </xf>
    <xf numFmtId="166" fontId="2" fillId="0" borderId="127" xfId="5" applyNumberFormat="1" applyFont="1" applyBorder="1" applyAlignment="1">
      <alignment horizontal="center"/>
    </xf>
    <xf numFmtId="166" fontId="2" fillId="0" borderId="1" xfId="5" applyNumberFormat="1" applyFont="1" applyBorder="1" applyAlignment="1">
      <alignment horizontal="center"/>
    </xf>
    <xf numFmtId="166" fontId="2" fillId="0" borderId="9" xfId="5" applyNumberFormat="1" applyFont="1" applyBorder="1" applyAlignment="1">
      <alignment horizontal="center"/>
    </xf>
    <xf numFmtId="166" fontId="3" fillId="0" borderId="25" xfId="5" quotePrefix="1" applyNumberFormat="1" applyFont="1" applyBorder="1" applyAlignment="1">
      <alignment horizontal="center"/>
    </xf>
    <xf numFmtId="166" fontId="2" fillId="0" borderId="128" xfId="5" applyNumberFormat="1" applyFont="1" applyBorder="1" applyAlignment="1">
      <alignment horizontal="center"/>
    </xf>
    <xf numFmtId="166" fontId="2" fillId="0" borderId="11" xfId="5" applyNumberFormat="1" applyFont="1" applyBorder="1" applyAlignment="1">
      <alignment horizontal="center"/>
    </xf>
    <xf numFmtId="166" fontId="2" fillId="0" borderId="33" xfId="5" applyNumberFormat="1" applyFont="1" applyBorder="1" applyAlignment="1">
      <alignment horizontal="center"/>
    </xf>
    <xf numFmtId="0" fontId="47" fillId="0" borderId="60" xfId="6" applyFont="1" applyBorder="1"/>
    <xf numFmtId="0" fontId="47" fillId="0" borderId="61" xfId="6" applyFont="1" applyBorder="1"/>
    <xf numFmtId="0" fontId="47" fillId="0" borderId="38" xfId="6" applyFont="1" applyBorder="1"/>
    <xf numFmtId="0" fontId="1" fillId="0" borderId="0" xfId="6"/>
    <xf numFmtId="0" fontId="48" fillId="0" borderId="82" xfId="6" applyFont="1" applyBorder="1" applyAlignment="1">
      <alignment horizontal="centerContinuous"/>
    </xf>
    <xf numFmtId="0" fontId="47" fillId="0" borderId="0" xfId="6" applyFont="1" applyBorder="1" applyAlignment="1">
      <alignment horizontal="centerContinuous"/>
    </xf>
    <xf numFmtId="0" fontId="47" fillId="0" borderId="107" xfId="6" applyFont="1" applyBorder="1" applyAlignment="1">
      <alignment horizontal="centerContinuous"/>
    </xf>
    <xf numFmtId="0" fontId="49" fillId="0" borderId="82" xfId="6" applyFont="1" applyBorder="1" applyAlignment="1">
      <alignment horizontal="centerContinuous"/>
    </xf>
    <xf numFmtId="0" fontId="47" fillId="0" borderId="82" xfId="6" applyFont="1" applyBorder="1"/>
    <xf numFmtId="0" fontId="47" fillId="0" borderId="0" xfId="6" applyFont="1" applyBorder="1"/>
    <xf numFmtId="0" fontId="47" fillId="0" borderId="107" xfId="6" applyFont="1" applyBorder="1"/>
    <xf numFmtId="0" fontId="50" fillId="0" borderId="1" xfId="6" applyFont="1" applyBorder="1" applyAlignment="1">
      <alignment horizontal="right"/>
    </xf>
    <xf numFmtId="0" fontId="47" fillId="0" borderId="1" xfId="6" applyFont="1" applyBorder="1" applyAlignment="1">
      <alignment horizontal="center"/>
    </xf>
    <xf numFmtId="14" fontId="47" fillId="0" borderId="1" xfId="6" applyNumberFormat="1" applyFont="1" applyBorder="1" applyAlignment="1">
      <alignment horizontal="center"/>
    </xf>
    <xf numFmtId="0" fontId="50" fillId="0" borderId="0" xfId="6" applyFont="1" applyBorder="1" applyAlignment="1">
      <alignment horizontal="right"/>
    </xf>
    <xf numFmtId="0" fontId="47" fillId="0" borderId="0" xfId="6" applyFont="1" applyBorder="1" applyAlignment="1">
      <alignment horizontal="center"/>
    </xf>
    <xf numFmtId="9" fontId="47" fillId="0" borderId="0" xfId="6" applyNumberFormat="1" applyFont="1" applyBorder="1" applyAlignment="1">
      <alignment horizontal="center"/>
    </xf>
    <xf numFmtId="0" fontId="69" fillId="0" borderId="0" xfId="6" applyFont="1"/>
    <xf numFmtId="0" fontId="2" fillId="0" borderId="44" xfId="6" applyFont="1" applyBorder="1" applyAlignment="1">
      <alignment horizontal="center"/>
    </xf>
    <xf numFmtId="0" fontId="2" fillId="0" borderId="53" xfId="6" applyFont="1" applyBorder="1" applyAlignment="1">
      <alignment horizontal="center"/>
    </xf>
    <xf numFmtId="166" fontId="3" fillId="0" borderId="147" xfId="6" quotePrefix="1" applyNumberFormat="1" applyFont="1" applyBorder="1" applyAlignment="1">
      <alignment horizontal="center"/>
    </xf>
    <xf numFmtId="166" fontId="2" fillId="0" borderId="39" xfId="6" applyNumberFormat="1" applyFont="1" applyBorder="1" applyAlignment="1">
      <alignment horizontal="center"/>
    </xf>
    <xf numFmtId="166" fontId="2" fillId="0" borderId="28" xfId="6" applyNumberFormat="1" applyFont="1" applyBorder="1" applyAlignment="1">
      <alignment horizontal="center"/>
    </xf>
    <xf numFmtId="166" fontId="2" fillId="0" borderId="148" xfId="6" applyNumberFormat="1" applyFont="1" applyBorder="1" applyAlignment="1">
      <alignment horizontal="center"/>
    </xf>
    <xf numFmtId="166" fontId="3" fillId="0" borderId="149" xfId="6" quotePrefix="1" applyNumberFormat="1" applyFont="1" applyBorder="1" applyAlignment="1">
      <alignment horizontal="center"/>
    </xf>
    <xf numFmtId="166" fontId="2" fillId="0" borderId="127" xfId="6" applyNumberFormat="1" applyFont="1" applyBorder="1" applyAlignment="1">
      <alignment horizontal="center"/>
    </xf>
    <xf numFmtId="166" fontId="2" fillId="0" borderId="1" xfId="6" applyNumberFormat="1" applyFont="1" applyBorder="1" applyAlignment="1">
      <alignment horizontal="center"/>
    </xf>
    <xf numFmtId="166" fontId="2" fillId="0" borderId="9" xfId="6" applyNumberFormat="1" applyFont="1" applyBorder="1" applyAlignment="1">
      <alignment horizontal="center"/>
    </xf>
    <xf numFmtId="166" fontId="3" fillId="0" borderId="25" xfId="6" quotePrefix="1" applyNumberFormat="1" applyFont="1" applyBorder="1" applyAlignment="1">
      <alignment horizontal="center"/>
    </xf>
    <xf numFmtId="166" fontId="2" fillId="0" borderId="128" xfId="6" applyNumberFormat="1" applyFont="1" applyBorder="1" applyAlignment="1">
      <alignment horizontal="center"/>
    </xf>
    <xf numFmtId="166" fontId="2" fillId="0" borderId="11" xfId="6" applyNumberFormat="1" applyFont="1" applyBorder="1" applyAlignment="1">
      <alignment horizontal="center"/>
    </xf>
    <xf numFmtId="166" fontId="2" fillId="0" borderId="33" xfId="6" applyNumberFormat="1" applyFont="1" applyBorder="1" applyAlignment="1">
      <alignment horizontal="center"/>
    </xf>
    <xf numFmtId="166" fontId="3" fillId="0" borderId="0" xfId="6" quotePrefix="1" applyNumberFormat="1" applyFont="1" applyBorder="1" applyAlignment="1">
      <alignment horizontal="center"/>
    </xf>
    <xf numFmtId="166" fontId="2" fillId="0" borderId="0" xfId="6" applyNumberFormat="1" applyFont="1" applyBorder="1" applyAlignment="1">
      <alignment horizontal="center"/>
    </xf>
    <xf numFmtId="166" fontId="3" fillId="0" borderId="0" xfId="6" applyNumberFormat="1" applyFont="1" applyBorder="1" applyAlignment="1">
      <alignment horizontal="center"/>
    </xf>
    <xf numFmtId="0" fontId="19" fillId="2" borderId="0" xfId="1" applyFont="1" applyFill="1" applyAlignment="1">
      <alignment horizontal="center"/>
    </xf>
    <xf numFmtId="0" fontId="29" fillId="2" borderId="68" xfId="1" applyFont="1" applyFill="1" applyBorder="1" applyAlignment="1">
      <alignment horizontal="left"/>
    </xf>
    <xf numFmtId="0" fontId="20" fillId="0" borderId="101" xfId="1" applyFont="1" applyFill="1" applyBorder="1" applyAlignment="1">
      <alignment horizontal="left"/>
    </xf>
    <xf numFmtId="0" fontId="20" fillId="0" borderId="61" xfId="1" applyFont="1" applyFill="1" applyBorder="1" applyAlignment="1">
      <alignment horizontal="left"/>
    </xf>
    <xf numFmtId="0" fontId="31" fillId="3" borderId="78" xfId="1" applyFont="1" applyFill="1" applyBorder="1" applyAlignment="1">
      <alignment horizontal="center"/>
    </xf>
    <xf numFmtId="0" fontId="20" fillId="0" borderId="101" xfId="1" applyFont="1" applyFill="1" applyBorder="1" applyAlignment="1">
      <alignment horizontal="left"/>
    </xf>
    <xf numFmtId="0" fontId="20" fillId="0" borderId="61" xfId="1" applyFont="1" applyFill="1" applyBorder="1" applyAlignment="1">
      <alignment horizontal="left"/>
    </xf>
    <xf numFmtId="0" fontId="20" fillId="2" borderId="60" xfId="1" applyFont="1" applyFill="1" applyBorder="1" applyAlignment="1">
      <alignment horizontal="left"/>
    </xf>
    <xf numFmtId="0" fontId="20" fillId="2" borderId="61" xfId="1" applyFont="1" applyFill="1" applyBorder="1" applyAlignment="1">
      <alignment horizontal="left"/>
    </xf>
    <xf numFmtId="0" fontId="20" fillId="2" borderId="27" xfId="1" applyFont="1" applyFill="1" applyBorder="1" applyAlignment="1">
      <alignment horizontal="left"/>
    </xf>
    <xf numFmtId="14" fontId="24" fillId="2" borderId="121" xfId="1" applyNumberFormat="1" applyFont="1" applyFill="1" applyBorder="1" applyAlignment="1">
      <alignment horizontal="center"/>
    </xf>
    <xf numFmtId="14" fontId="24" fillId="2" borderId="122" xfId="1" applyNumberFormat="1" applyFont="1" applyFill="1" applyBorder="1" applyAlignment="1">
      <alignment horizontal="center"/>
    </xf>
    <xf numFmtId="0" fontId="26" fillId="0" borderId="45" xfId="2" applyFont="1" applyFill="1" applyBorder="1" applyAlignment="1">
      <alignment horizontal="center"/>
    </xf>
    <xf numFmtId="0" fontId="26" fillId="0" borderId="0" xfId="2" applyFont="1" applyFill="1" applyBorder="1" applyAlignment="1">
      <alignment horizontal="center"/>
    </xf>
    <xf numFmtId="0" fontId="26" fillId="0" borderId="107" xfId="2" applyFont="1" applyFill="1" applyBorder="1" applyAlignment="1">
      <alignment horizontal="center"/>
    </xf>
    <xf numFmtId="0" fontId="26" fillId="0" borderId="46" xfId="2" applyFont="1" applyFill="1" applyBorder="1" applyAlignment="1">
      <alignment horizontal="center"/>
    </xf>
    <xf numFmtId="0" fontId="26" fillId="0" borderId="23" xfId="2" applyFont="1" applyFill="1" applyBorder="1" applyAlignment="1">
      <alignment horizontal="center"/>
    </xf>
    <xf numFmtId="0" fontId="26" fillId="0" borderId="48" xfId="2" applyFont="1" applyFill="1" applyBorder="1" applyAlignment="1">
      <alignment horizontal="center"/>
    </xf>
    <xf numFmtId="0" fontId="26" fillId="0" borderId="45" xfId="1" applyFont="1" applyFill="1" applyBorder="1" applyAlignment="1">
      <alignment horizontal="center"/>
    </xf>
    <xf numFmtId="0" fontId="26" fillId="0" borderId="0" xfId="1" applyFont="1" applyFill="1" applyBorder="1" applyAlignment="1">
      <alignment horizontal="center"/>
    </xf>
    <xf numFmtId="0" fontId="26" fillId="0" borderId="107" xfId="1" applyFont="1" applyFill="1" applyBorder="1" applyAlignment="1">
      <alignment horizontal="center"/>
    </xf>
    <xf numFmtId="0" fontId="26" fillId="0" borderId="108" xfId="1" applyFont="1" applyFill="1" applyBorder="1" applyAlignment="1">
      <alignment horizontal="center"/>
    </xf>
    <xf numFmtId="0" fontId="26" fillId="0" borderId="40" xfId="1" applyFont="1" applyFill="1" applyBorder="1" applyAlignment="1">
      <alignment horizontal="center"/>
    </xf>
    <xf numFmtId="0" fontId="26" fillId="0" borderId="39" xfId="1" applyFont="1" applyFill="1" applyBorder="1" applyAlignment="1">
      <alignment horizontal="center"/>
    </xf>
    <xf numFmtId="0" fontId="20" fillId="0" borderId="38" xfId="1" applyFont="1" applyFill="1" applyBorder="1" applyAlignment="1">
      <alignment horizontal="left"/>
    </xf>
    <xf numFmtId="0" fontId="43" fillId="2" borderId="116" xfId="1" applyFont="1" applyFill="1" applyBorder="1" applyAlignment="1">
      <alignment horizontal="center"/>
    </xf>
    <xf numFmtId="0" fontId="43" fillId="2" borderId="117" xfId="1" applyFont="1" applyFill="1" applyBorder="1" applyAlignment="1">
      <alignment horizontal="center"/>
    </xf>
    <xf numFmtId="0" fontId="29" fillId="2" borderId="74" xfId="1" quotePrefix="1" applyFont="1" applyFill="1" applyBorder="1" applyAlignment="1">
      <alignment horizontal="left"/>
    </xf>
    <xf numFmtId="0" fontId="29" fillId="2" borderId="67" xfId="1" quotePrefix="1" applyFont="1" applyFill="1" applyBorder="1" applyAlignment="1">
      <alignment horizontal="left"/>
    </xf>
    <xf numFmtId="0" fontId="29" fillId="2" borderId="68" xfId="1" quotePrefix="1" applyFont="1" applyFill="1" applyBorder="1" applyAlignment="1">
      <alignment horizontal="left"/>
    </xf>
    <xf numFmtId="2" fontId="31" fillId="2" borderId="64" xfId="1" applyNumberFormat="1" applyFont="1" applyFill="1" applyBorder="1" applyAlignment="1">
      <alignment horizontal="center"/>
    </xf>
    <xf numFmtId="2" fontId="31" fillId="2" borderId="65" xfId="1" applyNumberFormat="1" applyFont="1" applyFill="1" applyBorder="1" applyAlignment="1">
      <alignment horizontal="center"/>
    </xf>
    <xf numFmtId="0" fontId="31" fillId="2" borderId="64" xfId="1" applyFont="1" applyFill="1" applyBorder="1" applyAlignment="1">
      <alignment horizontal="center"/>
    </xf>
    <xf numFmtId="0" fontId="31" fillId="2" borderId="65" xfId="1" applyFont="1" applyFill="1" applyBorder="1" applyAlignment="1">
      <alignment horizontal="center"/>
    </xf>
    <xf numFmtId="0" fontId="20" fillId="0" borderId="79" xfId="1" applyFont="1" applyFill="1" applyBorder="1" applyAlignment="1">
      <alignment horizontal="left"/>
    </xf>
    <xf numFmtId="0" fontId="20" fillId="0" borderId="80" xfId="1" applyFont="1" applyFill="1" applyBorder="1" applyAlignment="1">
      <alignment horizontal="left"/>
    </xf>
    <xf numFmtId="0" fontId="20" fillId="0" borderId="81" xfId="1" applyFont="1" applyFill="1" applyBorder="1" applyAlignment="1">
      <alignment horizontal="left"/>
    </xf>
    <xf numFmtId="166" fontId="31" fillId="2" borderId="64" xfId="1" applyNumberFormat="1" applyFont="1" applyFill="1" applyBorder="1" applyAlignment="1">
      <alignment horizontal="center"/>
    </xf>
    <xf numFmtId="166" fontId="31" fillId="2" borderId="65" xfId="1" applyNumberFormat="1" applyFont="1" applyFill="1" applyBorder="1" applyAlignment="1">
      <alignment horizontal="center"/>
    </xf>
    <xf numFmtId="0" fontId="29" fillId="2" borderId="86" xfId="1" applyFont="1" applyFill="1" applyBorder="1" applyAlignment="1">
      <alignment horizontal="center"/>
    </xf>
    <xf numFmtId="0" fontId="29" fillId="2" borderId="87" xfId="1" applyFont="1" applyFill="1" applyBorder="1" applyAlignment="1">
      <alignment horizontal="center"/>
    </xf>
    <xf numFmtId="0" fontId="29" fillId="2" borderId="82" xfId="1" applyFont="1" applyFill="1" applyBorder="1" applyAlignment="1">
      <alignment horizontal="center"/>
    </xf>
    <xf numFmtId="0" fontId="29" fillId="2" borderId="0" xfId="1" applyFont="1" applyFill="1" applyBorder="1" applyAlignment="1">
      <alignment horizontal="center"/>
    </xf>
    <xf numFmtId="0" fontId="29" fillId="2" borderId="84" xfId="1" applyFont="1" applyFill="1" applyBorder="1" applyAlignment="1">
      <alignment horizontal="center"/>
    </xf>
    <xf numFmtId="0" fontId="29" fillId="2" borderId="40" xfId="1" applyFont="1" applyFill="1" applyBorder="1" applyAlignment="1">
      <alignment horizontal="center"/>
    </xf>
    <xf numFmtId="0" fontId="29" fillId="2" borderId="88" xfId="1" applyFont="1" applyFill="1" applyBorder="1" applyAlignment="1">
      <alignment horizontal="left"/>
    </xf>
    <xf numFmtId="0" fontId="29" fillId="2" borderId="89" xfId="1" applyFont="1" applyFill="1" applyBorder="1" applyAlignment="1">
      <alignment horizontal="left"/>
    </xf>
    <xf numFmtId="0" fontId="29" fillId="2" borderId="90" xfId="1" applyFont="1" applyFill="1" applyBorder="1" applyAlignment="1">
      <alignment horizontal="left"/>
    </xf>
    <xf numFmtId="0" fontId="31" fillId="2" borderId="91" xfId="1" applyFont="1" applyFill="1" applyBorder="1" applyAlignment="1">
      <alignment horizontal="center"/>
    </xf>
    <xf numFmtId="0" fontId="31" fillId="0" borderId="91" xfId="1" applyFont="1" applyFill="1" applyBorder="1" applyAlignment="1">
      <alignment horizontal="center"/>
    </xf>
    <xf numFmtId="0" fontId="31" fillId="0" borderId="65" xfId="1" applyFont="1" applyFill="1" applyBorder="1" applyAlignment="1">
      <alignment horizontal="center"/>
    </xf>
    <xf numFmtId="0" fontId="29" fillId="2" borderId="74" xfId="1" applyFont="1" applyFill="1" applyBorder="1" applyAlignment="1">
      <alignment horizontal="left"/>
    </xf>
    <xf numFmtId="0" fontId="29" fillId="2" borderId="67" xfId="1" applyFont="1" applyFill="1" applyBorder="1" applyAlignment="1">
      <alignment horizontal="left"/>
    </xf>
    <xf numFmtId="0" fontId="29" fillId="2" borderId="68" xfId="1" applyFont="1" applyFill="1" applyBorder="1" applyAlignment="1">
      <alignment horizontal="left"/>
    </xf>
    <xf numFmtId="0" fontId="31" fillId="0" borderId="64" xfId="1" applyFont="1" applyFill="1" applyBorder="1" applyAlignment="1">
      <alignment horizontal="center"/>
    </xf>
    <xf numFmtId="168" fontId="31" fillId="2" borderId="64" xfId="1" applyNumberFormat="1" applyFont="1" applyFill="1" applyBorder="1" applyAlignment="1">
      <alignment horizontal="center"/>
    </xf>
    <xf numFmtId="168" fontId="31" fillId="2" borderId="65" xfId="1" applyNumberFormat="1" applyFont="1" applyFill="1" applyBorder="1" applyAlignment="1">
      <alignment horizontal="center"/>
    </xf>
    <xf numFmtId="1" fontId="31" fillId="2" borderId="64" xfId="1" applyNumberFormat="1" applyFont="1" applyFill="1" applyBorder="1" applyAlignment="1">
      <alignment horizontal="center"/>
    </xf>
    <xf numFmtId="1" fontId="31" fillId="2" borderId="65" xfId="1" applyNumberFormat="1" applyFont="1" applyFill="1" applyBorder="1" applyAlignment="1">
      <alignment horizontal="center"/>
    </xf>
    <xf numFmtId="1" fontId="31" fillId="2" borderId="99" xfId="1" applyNumberFormat="1" applyFont="1" applyFill="1" applyBorder="1" applyAlignment="1">
      <alignment horizontal="center"/>
    </xf>
    <xf numFmtId="1" fontId="31" fillId="2" borderId="100" xfId="1" applyNumberFormat="1" applyFont="1" applyFill="1" applyBorder="1" applyAlignment="1">
      <alignment horizontal="center"/>
    </xf>
    <xf numFmtId="0" fontId="26" fillId="0" borderId="106" xfId="1" applyFont="1" applyFill="1" applyBorder="1" applyAlignment="1">
      <alignment horizontal="left"/>
    </xf>
    <xf numFmtId="0" fontId="26" fillId="0" borderId="76" xfId="1" applyFont="1" applyFill="1" applyBorder="1" applyAlignment="1">
      <alignment horizontal="left"/>
    </xf>
    <xf numFmtId="0" fontId="29" fillId="0" borderId="74" xfId="1" applyFont="1" applyFill="1" applyBorder="1" applyAlignment="1">
      <alignment horizontal="left"/>
    </xf>
    <xf numFmtId="0" fontId="29" fillId="0" borderId="67" xfId="1" applyFont="1" applyFill="1" applyBorder="1" applyAlignment="1">
      <alignment horizontal="left"/>
    </xf>
    <xf numFmtId="0" fontId="29" fillId="0" borderId="68" xfId="1" applyFont="1" applyFill="1" applyBorder="1" applyAlignment="1">
      <alignment horizontal="left"/>
    </xf>
    <xf numFmtId="166" fontId="31" fillId="0" borderId="64" xfId="1" applyNumberFormat="1" applyFont="1" applyFill="1" applyBorder="1" applyAlignment="1">
      <alignment horizontal="center"/>
    </xf>
    <xf numFmtId="166" fontId="31" fillId="0" borderId="65" xfId="1" applyNumberFormat="1" applyFont="1" applyFill="1" applyBorder="1" applyAlignment="1">
      <alignment horizontal="center"/>
    </xf>
    <xf numFmtId="0" fontId="29" fillId="0" borderId="62" xfId="1" applyFont="1" applyFill="1" applyBorder="1" applyAlignment="1">
      <alignment horizontal="left"/>
    </xf>
    <xf numFmtId="0" fontId="29" fillId="0" borderId="63" xfId="1" applyFont="1" applyFill="1" applyBorder="1" applyAlignment="1">
      <alignment horizontal="left"/>
    </xf>
    <xf numFmtId="2" fontId="31" fillId="0" borderId="64" xfId="1" applyNumberFormat="1" applyFont="1" applyFill="1" applyBorder="1" applyAlignment="1">
      <alignment horizontal="center"/>
    </xf>
    <xf numFmtId="2" fontId="31" fillId="0" borderId="65" xfId="1" applyNumberFormat="1" applyFont="1" applyFill="1" applyBorder="1" applyAlignment="1">
      <alignment horizontal="center"/>
    </xf>
    <xf numFmtId="0" fontId="16" fillId="0" borderId="0" xfId="1" applyFont="1" applyAlignment="1">
      <alignment horizontal="center"/>
    </xf>
    <xf numFmtId="0" fontId="19" fillId="2" borderId="0" xfId="1" applyFont="1" applyFill="1" applyAlignment="1">
      <alignment horizontal="center"/>
    </xf>
    <xf numFmtId="0" fontId="21" fillId="2" borderId="23" xfId="1" applyFont="1" applyFill="1" applyBorder="1" applyAlignment="1">
      <alignment horizontal="center"/>
    </xf>
    <xf numFmtId="0" fontId="27" fillId="2" borderId="12" xfId="1" applyFont="1" applyFill="1" applyBorder="1" applyAlignment="1">
      <alignment horizontal="left"/>
    </xf>
    <xf numFmtId="0" fontId="27" fillId="2" borderId="13" xfId="1" applyFont="1" applyFill="1" applyBorder="1" applyAlignment="1">
      <alignment horizontal="left"/>
    </xf>
    <xf numFmtId="0" fontId="29" fillId="0" borderId="57" xfId="1" applyFont="1" applyFill="1" applyBorder="1" applyAlignment="1">
      <alignment horizontal="left"/>
    </xf>
    <xf numFmtId="0" fontId="29" fillId="0" borderId="58" xfId="1" applyFont="1" applyFill="1" applyBorder="1" applyAlignment="1">
      <alignment horizontal="left"/>
    </xf>
    <xf numFmtId="0" fontId="30" fillId="2" borderId="59" xfId="1" applyFont="1" applyFill="1" applyBorder="1" applyAlignment="1">
      <alignment horizontal="center"/>
    </xf>
    <xf numFmtId="0" fontId="30" fillId="2" borderId="55" xfId="1" applyFont="1" applyFill="1" applyBorder="1" applyAlignment="1">
      <alignment horizontal="center"/>
    </xf>
    <xf numFmtId="0" fontId="26" fillId="0" borderId="46" xfId="1" applyFont="1" applyFill="1" applyBorder="1" applyAlignment="1">
      <alignment horizontal="center"/>
    </xf>
    <xf numFmtId="0" fontId="26" fillId="0" borderId="23" xfId="1" applyFont="1" applyFill="1" applyBorder="1" applyAlignment="1">
      <alignment horizontal="center"/>
    </xf>
    <xf numFmtId="0" fontId="26" fillId="0" borderId="48" xfId="1" applyFont="1" applyFill="1" applyBorder="1" applyAlignment="1">
      <alignment horizontal="center"/>
    </xf>
    <xf numFmtId="0" fontId="51" fillId="0" borderId="17" xfId="3" applyFont="1" applyBorder="1" applyAlignment="1">
      <alignment horizontal="right"/>
    </xf>
    <xf numFmtId="0" fontId="51" fillId="0" borderId="126" xfId="3" applyFont="1" applyBorder="1" applyAlignment="1">
      <alignment horizontal="right"/>
    </xf>
    <xf numFmtId="0" fontId="23" fillId="0" borderId="0" xfId="3" applyFont="1" applyAlignment="1">
      <alignment horizontal="center"/>
    </xf>
    <xf numFmtId="0" fontId="54" fillId="0" borderId="0" xfId="3" applyFont="1" applyAlignment="1">
      <alignment horizontal="right"/>
    </xf>
    <xf numFmtId="0" fontId="51" fillId="0" borderId="1" xfId="3" applyFont="1" applyBorder="1" applyAlignment="1">
      <alignment horizontal="center"/>
    </xf>
    <xf numFmtId="0" fontId="23" fillId="0" borderId="17" xfId="3" applyFont="1" applyBorder="1" applyAlignment="1">
      <alignment horizontal="center"/>
    </xf>
    <xf numFmtId="0" fontId="23" fillId="0" borderId="126" xfId="3" applyFont="1" applyBorder="1" applyAlignment="1">
      <alignment horizontal="center"/>
    </xf>
    <xf numFmtId="0" fontId="23" fillId="0" borderId="127" xfId="3" applyFont="1" applyBorder="1" applyAlignment="1">
      <alignment horizontal="center"/>
    </xf>
    <xf numFmtId="0" fontId="54" fillId="0" borderId="1" xfId="3" applyFont="1" applyBorder="1" applyAlignment="1">
      <alignment horizontal="center"/>
    </xf>
    <xf numFmtId="0" fontId="6" fillId="0" borderId="0" xfId="3" applyFont="1" applyAlignment="1">
      <alignment horizontal="center"/>
    </xf>
    <xf numFmtId="0" fontId="53" fillId="0" borderId="17" xfId="3" applyFont="1" applyBorder="1" applyAlignment="1">
      <alignment horizontal="center"/>
    </xf>
    <xf numFmtId="169" fontId="64" fillId="0" borderId="0" xfId="4" applyFont="1" applyBorder="1" applyAlignment="1">
      <alignment horizontal="center"/>
    </xf>
    <xf numFmtId="169" fontId="64" fillId="0" borderId="21" xfId="4" applyFont="1" applyBorder="1" applyAlignment="1">
      <alignment horizontal="center"/>
    </xf>
    <xf numFmtId="169" fontId="68" fillId="0" borderId="146" xfId="4" applyFont="1" applyBorder="1" applyAlignment="1" applyProtection="1">
      <alignment horizontal="center"/>
      <protection locked="0"/>
    </xf>
    <xf numFmtId="14" fontId="15" fillId="0" borderId="146" xfId="4" quotePrefix="1" applyNumberFormat="1" applyFont="1" applyBorder="1" applyAlignment="1" applyProtection="1">
      <alignment horizontal="center"/>
      <protection locked="0"/>
    </xf>
    <xf numFmtId="0" fontId="47" fillId="0" borderId="17" xfId="5" applyFont="1" applyBorder="1" applyAlignment="1">
      <alignment horizontal="center"/>
    </xf>
    <xf numFmtId="0" fontId="47" fillId="0" borderId="126" xfId="5" applyFont="1" applyBorder="1" applyAlignment="1">
      <alignment horizontal="center"/>
    </xf>
    <xf numFmtId="0" fontId="47" fillId="0" borderId="127" xfId="5" applyFont="1" applyBorder="1" applyAlignment="1">
      <alignment horizontal="center"/>
    </xf>
    <xf numFmtId="0" fontId="49" fillId="0" borderId="82" xfId="5" applyFont="1" applyBorder="1" applyAlignment="1">
      <alignment horizontal="center"/>
    </xf>
    <xf numFmtId="0" fontId="49" fillId="0" borderId="0" xfId="5" applyFont="1" applyBorder="1" applyAlignment="1">
      <alignment horizontal="center"/>
    </xf>
    <xf numFmtId="0" fontId="49" fillId="0" borderId="107" xfId="5" applyFont="1" applyBorder="1" applyAlignment="1">
      <alignment horizontal="center"/>
    </xf>
    <xf numFmtId="0" fontId="55" fillId="0" borderId="82" xfId="5" applyFont="1" applyBorder="1" applyAlignment="1">
      <alignment horizontal="center"/>
    </xf>
    <xf numFmtId="0" fontId="55" fillId="0" borderId="0" xfId="5" applyFont="1" applyBorder="1" applyAlignment="1">
      <alignment horizontal="center"/>
    </xf>
    <xf numFmtId="0" fontId="55" fillId="0" borderId="107" xfId="5" applyFont="1" applyBorder="1" applyAlignment="1">
      <alignment horizontal="center"/>
    </xf>
    <xf numFmtId="0" fontId="55" fillId="0" borderId="82" xfId="6" applyFont="1" applyBorder="1" applyAlignment="1">
      <alignment horizontal="center"/>
    </xf>
    <xf numFmtId="0" fontId="55" fillId="0" borderId="0" xfId="6" applyFont="1" applyBorder="1" applyAlignment="1">
      <alignment horizontal="center"/>
    </xf>
    <xf numFmtId="0" fontId="55" fillId="0" borderId="107" xfId="6" applyFont="1" applyBorder="1" applyAlignment="1">
      <alignment horizontal="center"/>
    </xf>
    <xf numFmtId="0" fontId="47" fillId="0" borderId="17" xfId="6" applyFont="1" applyBorder="1" applyAlignment="1">
      <alignment horizontal="center"/>
    </xf>
    <xf numFmtId="0" fontId="47" fillId="0" borderId="126" xfId="6" applyFont="1" applyBorder="1" applyAlignment="1">
      <alignment horizontal="center"/>
    </xf>
    <xf numFmtId="0" fontId="47" fillId="0" borderId="127" xfId="6" applyFont="1" applyBorder="1" applyAlignment="1">
      <alignment horizontal="center"/>
    </xf>
  </cellXfs>
  <cellStyles count="7">
    <cellStyle name="Normal" xfId="0" builtinId="0"/>
    <cellStyle name="Normal 2" xfId="1"/>
    <cellStyle name="Normal 2 2" xfId="5"/>
    <cellStyle name="Normal 3" xfId="3"/>
    <cellStyle name="Normal 3 2" xfId="4"/>
    <cellStyle name="Normal 3 3" xfId="6"/>
    <cellStyle name="Normal_OPTEST"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815076622161511"/>
          <c:y val="2.1008446462313021E-2"/>
        </c:manualLayout>
      </c:layout>
      <c:overlay val="0"/>
      <c:spPr>
        <a:noFill/>
        <a:ln w="25400">
          <a:noFill/>
        </a:ln>
      </c:spPr>
    </c:title>
    <c:autoTitleDeleted val="0"/>
    <c:plotArea>
      <c:layout>
        <c:manualLayout>
          <c:layoutTarget val="inner"/>
          <c:xMode val="edge"/>
          <c:yMode val="edge"/>
          <c:x val="0.17052047185534436"/>
          <c:y val="0.11344561089649031"/>
          <c:w val="0.67919170993230382"/>
          <c:h val="0.68067366537894192"/>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(DesignSheet!$B$59:$B$68,DesignSheet!$E$59:$E$62)</c:f>
              <c:numCache>
                <c:formatCode>0.0</c:formatCode>
                <c:ptCount val="14"/>
                <c:pt idx="0">
                  <c:v>0</c:v>
                </c:pt>
                <c:pt idx="1">
                  <c:v>160.97573421079929</c:v>
                </c:pt>
                <c:pt idx="2">
                  <c:v>220</c:v>
                </c:pt>
                <c:pt idx="3">
                  <c:v>142.94271318130103</c:v>
                </c:pt>
                <c:pt idx="4">
                  <c:v>123.661691845137</c:v>
                </c:pt>
                <c:pt idx="5">
                  <c:v>117.57879800665629</c:v>
                </c:pt>
                <c:pt idx="6">
                  <c:v>115.21807463530948</c:v>
                </c:pt>
                <c:pt idx="7">
                  <c:v>115.15325107090621</c:v>
                </c:pt>
                <c:pt idx="8">
                  <c:v>115.09738952576019</c:v>
                </c:pt>
                <c:pt idx="9">
                  <c:v>115.06380563732853</c:v>
                </c:pt>
                <c:pt idx="10">
                  <c:v>115.03632501922198</c:v>
                </c:pt>
                <c:pt idx="11">
                  <c:v>115.02035766803704</c:v>
                </c:pt>
                <c:pt idx="12">
                  <c:v>115.00512871681954</c:v>
                </c:pt>
                <c:pt idx="13">
                  <c:v>115</c:v>
                </c:pt>
              </c:numCache>
            </c:numRef>
          </c:yVal>
          <c:smooth val="1"/>
          <c:extLst>
            <c:ext xmlns:c16="http://schemas.microsoft.com/office/drawing/2014/chart" uri="{C3380CC4-5D6E-409C-BE32-E72D297353CC}">
              <c16:uniqueId val="{00000000-3DF1-4F00-B08A-79B0775B2363}"/>
            </c:ext>
          </c:extLst>
        </c:ser>
        <c:dLbls>
          <c:showLegendKey val="0"/>
          <c:showVal val="0"/>
          <c:showCatName val="0"/>
          <c:showSerName val="0"/>
          <c:showPercent val="0"/>
          <c:showBubbleSize val="0"/>
        </c:dLbls>
        <c:axId val="43866752"/>
        <c:axId val="43868928"/>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(DesignSheet!$C$59:$C$68,DesignSheet!$F$59:$F$62)</c:f>
              <c:numCache>
                <c:formatCode>0.0</c:formatCode>
                <c:ptCount val="14"/>
                <c:pt idx="0">
                  <c:v>0.20877803862094879</c:v>
                </c:pt>
                <c:pt idx="1">
                  <c:v>201.68807983398438</c:v>
                </c:pt>
                <c:pt idx="2">
                  <c:v>513.1612548828125</c:v>
                </c:pt>
                <c:pt idx="3">
                  <c:v>569.70233154296875</c:v>
                </c:pt>
                <c:pt idx="4">
                  <c:v>585.5333251953125</c:v>
                </c:pt>
                <c:pt idx="5">
                  <c:v>594.2723388671875</c:v>
                </c:pt>
                <c:pt idx="6">
                  <c:v>606.6534423828125</c:v>
                </c:pt>
                <c:pt idx="7">
                  <c:v>616.406982421875</c:v>
                </c:pt>
                <c:pt idx="8">
                  <c:v>624.1990966796875</c:v>
                </c:pt>
                <c:pt idx="9">
                  <c:v>630.3992919921875</c:v>
                </c:pt>
                <c:pt idx="10">
                  <c:v>635.2938232421875</c:v>
                </c:pt>
                <c:pt idx="11">
                  <c:v>639.24609375</c:v>
                </c:pt>
                <c:pt idx="12">
                  <c:v>642.4952392578125</c:v>
                </c:pt>
                <c:pt idx="13">
                  <c:v>645.2174072265625</c:v>
                </c:pt>
              </c:numCache>
            </c:numRef>
          </c:yVal>
          <c:smooth val="1"/>
          <c:extLst>
            <c:ext xmlns:c16="http://schemas.microsoft.com/office/drawing/2014/chart" uri="{C3380CC4-5D6E-409C-BE32-E72D297353CC}">
              <c16:uniqueId val="{00000001-3DF1-4F00-B08A-79B0775B2363}"/>
            </c:ext>
          </c:extLst>
        </c:ser>
        <c:dLbls>
          <c:showLegendKey val="0"/>
          <c:showVal val="0"/>
          <c:showCatName val="0"/>
          <c:showSerName val="0"/>
          <c:showPercent val="0"/>
          <c:showBubbleSize val="0"/>
        </c:dLbls>
        <c:axId val="43870848"/>
        <c:axId val="43872640"/>
      </c:scatterChart>
      <c:valAx>
        <c:axId val="43866752"/>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641680085011864"/>
              <c:y val="0.89075813000207216"/>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43868928"/>
        <c:crossesAt val="0"/>
        <c:crossBetween val="midCat"/>
        <c:majorUnit val="0.2"/>
        <c:minorUnit val="0.2"/>
      </c:valAx>
      <c:valAx>
        <c:axId val="43868928"/>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450887445368167E-2"/>
              <c:y val="0.2899165611799197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43866752"/>
        <c:crosses val="max"/>
        <c:crossBetween val="midCat"/>
        <c:majorUnit val="50"/>
        <c:minorUnit val="50"/>
      </c:valAx>
      <c:valAx>
        <c:axId val="43870848"/>
        <c:scaling>
          <c:orientation val="maxMin"/>
        </c:scaling>
        <c:delete val="1"/>
        <c:axPos val="b"/>
        <c:numFmt formatCode="0.00" sourceLinked="1"/>
        <c:majorTickMark val="out"/>
        <c:minorTickMark val="none"/>
        <c:tickLblPos val="nextTo"/>
        <c:crossAx val="43872640"/>
        <c:crosses val="autoZero"/>
        <c:crossBetween val="midCat"/>
      </c:valAx>
      <c:valAx>
        <c:axId val="43872640"/>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774697399263628"/>
              <c:y val="0.2563030468402188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43870848"/>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80692545009"/>
          <c:y val="2.8517110266159697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smoothMarker"/>
        <c:varyColors val="0"/>
        <c:ser>
          <c:idx val="0"/>
          <c:order val="0"/>
          <c:tx>
            <c:v>Torque (FV)</c:v>
          </c:tx>
          <c:spPr>
            <a:ln w="25400">
              <a:solidFill>
                <a:srgbClr val="000000"/>
              </a:solidFill>
              <a:prstDash val="solid"/>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STCurve!$B$54:$B$67</c:f>
              <c:numCache>
                <c:formatCode>0.0</c:formatCode>
                <c:ptCount val="14"/>
                <c:pt idx="0">
                  <c:v>0</c:v>
                </c:pt>
                <c:pt idx="1">
                  <c:v>160.97573421079929</c:v>
                </c:pt>
                <c:pt idx="2">
                  <c:v>220</c:v>
                </c:pt>
                <c:pt idx="3">
                  <c:v>152.13390627512052</c:v>
                </c:pt>
                <c:pt idx="4">
                  <c:v>126.39542353886702</c:v>
                </c:pt>
                <c:pt idx="5">
                  <c:v>118.27974041498004</c:v>
                </c:pt>
                <c:pt idx="6">
                  <c:v>115.10002068767426</c:v>
                </c:pt>
                <c:pt idx="7">
                  <c:v>115</c:v>
                </c:pt>
                <c:pt idx="8">
                  <c:v>115.00969662760049</c:v>
                </c:pt>
                <c:pt idx="9">
                  <c:v>115.01294139950116</c:v>
                </c:pt>
                <c:pt idx="10">
                  <c:v>115.01731178856537</c:v>
                </c:pt>
                <c:pt idx="11">
                  <c:v>115.02585553130326</c:v>
                </c:pt>
                <c:pt idx="12">
                  <c:v>115.03478128865298</c:v>
                </c:pt>
                <c:pt idx="13">
                  <c:v>115</c:v>
                </c:pt>
              </c:numCache>
            </c:numRef>
          </c:yVal>
          <c:smooth val="1"/>
          <c:extLst>
            <c:ext xmlns:c16="http://schemas.microsoft.com/office/drawing/2014/chart" uri="{C3380CC4-5D6E-409C-BE32-E72D297353CC}">
              <c16:uniqueId val="{00000001-8415-4294-A3C0-467B43E44A51}"/>
            </c:ext>
          </c:extLst>
        </c:ser>
        <c:dLbls>
          <c:showLegendKey val="0"/>
          <c:showVal val="0"/>
          <c:showCatName val="0"/>
          <c:showSerName val="0"/>
          <c:showPercent val="0"/>
          <c:showBubbleSize val="0"/>
        </c:dLbls>
        <c:axId val="697227880"/>
        <c:axId val="1"/>
      </c:scatterChart>
      <c:scatterChart>
        <c:scatterStyle val="lineMarker"/>
        <c:varyColors val="0"/>
        <c:ser>
          <c:idx val="2"/>
          <c:order val="2"/>
          <c:tx>
            <c:v>Load (Fan / Pump)</c:v>
          </c:tx>
          <c:spPr>
            <a:ln w="25400">
              <a:solidFill>
                <a:srgbClr val="000000"/>
              </a:solidFill>
              <a:prstDash val="sysDash"/>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STCurve!$D$54:$D$67</c:f>
              <c:numCache>
                <c:formatCode>0.0</c:formatCode>
                <c:ptCount val="14"/>
                <c:pt idx="0">
                  <c:v>100</c:v>
                </c:pt>
                <c:pt idx="1">
                  <c:v>98.400001525878906</c:v>
                </c:pt>
                <c:pt idx="2">
                  <c:v>89.75</c:v>
                </c:pt>
                <c:pt idx="3">
                  <c:v>76.228569030761719</c:v>
                </c:pt>
                <c:pt idx="4">
                  <c:v>62.857139587402344</c:v>
                </c:pt>
                <c:pt idx="5">
                  <c:v>51.25714111328125</c:v>
                </c:pt>
                <c:pt idx="6">
                  <c:v>33.485713958740234</c:v>
                </c:pt>
                <c:pt idx="7">
                  <c:v>22</c:v>
                </c:pt>
                <c:pt idx="8">
                  <c:v>14</c:v>
                </c:pt>
                <c:pt idx="9">
                  <c:v>7.9999995231628418</c:v>
                </c:pt>
                <c:pt idx="10">
                  <c:v>5.9999995231628418</c:v>
                </c:pt>
                <c:pt idx="11">
                  <c:v>8.0000009536743164</c:v>
                </c:pt>
                <c:pt idx="12">
                  <c:v>14.999996185302734</c:v>
                </c:pt>
                <c:pt idx="13">
                  <c:v>30</c:v>
                </c:pt>
              </c:numCache>
            </c:numRef>
          </c:yVal>
          <c:smooth val="1"/>
          <c:extLst>
            <c:ext xmlns:c16="http://schemas.microsoft.com/office/drawing/2014/chart" uri="{C3380CC4-5D6E-409C-BE32-E72D297353CC}">
              <c16:uniqueId val="{00000000-8415-4294-A3C0-467B43E44A51}"/>
            </c:ext>
          </c:extLst>
        </c:ser>
        <c:dLbls>
          <c:showLegendKey val="0"/>
          <c:showVal val="0"/>
          <c:showCatName val="0"/>
          <c:showSerName val="0"/>
          <c:showPercent val="0"/>
          <c:showBubbleSize val="0"/>
        </c:dLbls>
        <c:axId val="697227880"/>
        <c:axId val="1"/>
      </c:scatterChart>
      <c:scatterChart>
        <c:scatterStyle val="lineMarker"/>
        <c:varyColors val="0"/>
        <c:ser>
          <c:idx val="1"/>
          <c:order val="1"/>
          <c:tx>
            <c:v>Current</c:v>
          </c:tx>
          <c:spPr>
            <a:ln w="25400">
              <a:solidFill>
                <a:srgbClr val="000000"/>
              </a:solidFill>
              <a:prstDash val="lgDash"/>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STCurve!$C$54:$C$67</c:f>
              <c:numCache>
                <c:formatCode>0.0</c:formatCode>
                <c:ptCount val="14"/>
                <c:pt idx="0">
                  <c:v>0.20877803862094879</c:v>
                </c:pt>
                <c:pt idx="1">
                  <c:v>201.68807983398438</c:v>
                </c:pt>
                <c:pt idx="2">
                  <c:v>513.1612548828125</c:v>
                </c:pt>
                <c:pt idx="3">
                  <c:v>569.70233154296875</c:v>
                </c:pt>
                <c:pt idx="4">
                  <c:v>585.5333251953125</c:v>
                </c:pt>
                <c:pt idx="5">
                  <c:v>594.2723388671875</c:v>
                </c:pt>
                <c:pt idx="6">
                  <c:v>606.6534423828125</c:v>
                </c:pt>
                <c:pt idx="7">
                  <c:v>616.406982421875</c:v>
                </c:pt>
                <c:pt idx="8">
                  <c:v>624.1990966796875</c:v>
                </c:pt>
                <c:pt idx="9">
                  <c:v>630.3992919921875</c:v>
                </c:pt>
                <c:pt idx="10">
                  <c:v>635.2938232421875</c:v>
                </c:pt>
                <c:pt idx="11">
                  <c:v>639.24609375</c:v>
                </c:pt>
                <c:pt idx="12">
                  <c:v>642.4952392578125</c:v>
                </c:pt>
                <c:pt idx="13">
                  <c:v>645.2174072265625</c:v>
                </c:pt>
              </c:numCache>
            </c:numRef>
          </c:yVal>
          <c:smooth val="1"/>
          <c:extLst>
            <c:ext xmlns:c16="http://schemas.microsoft.com/office/drawing/2014/chart" uri="{C3380CC4-5D6E-409C-BE32-E72D297353CC}">
              <c16:uniqueId val="{00000002-8415-4294-A3C0-467B43E44A51}"/>
            </c:ext>
          </c:extLst>
        </c:ser>
        <c:dLbls>
          <c:showLegendKey val="0"/>
          <c:showVal val="0"/>
          <c:showCatName val="0"/>
          <c:showSerName val="0"/>
          <c:showPercent val="0"/>
          <c:showBubbleSize val="0"/>
        </c:dLbls>
        <c:axId val="3"/>
        <c:axId val="4"/>
      </c:scatterChart>
      <c:valAx>
        <c:axId val="697227880"/>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7186075424"/>
              <c:y val="0.8460084029420276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175438596492E-2"/>
              <c:y val="0.2965781463628833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697227880"/>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75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306119629783"/>
              <c:y val="0.29277586499406205"/>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r"/>
      <c:layout>
        <c:manualLayout>
          <c:xMode val="edge"/>
          <c:yMode val="edge"/>
          <c:x val="0.17534282529752274"/>
          <c:y val="0.94018422510518729"/>
          <c:w val="0.6771356919426168"/>
          <c:h val="5.9815749641724231E-2"/>
        </c:manualLayout>
      </c:layout>
      <c:overlay val="0"/>
      <c:spPr>
        <a:solidFill>
          <a:srgbClr val="FFFFFF"/>
        </a:solidFill>
        <a:ln w="25400">
          <a:noFill/>
        </a:ln>
      </c:spPr>
      <c:txPr>
        <a:bodyPr/>
        <a:lstStyle/>
        <a:p>
          <a:pPr>
            <a:defRPr sz="8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645.21739130434787</c:v>
                </c:pt>
                <c:pt idx="1">
                  <c:v>600</c:v>
                </c:pt>
                <c:pt idx="2">
                  <c:v>500</c:v>
                </c:pt>
                <c:pt idx="3">
                  <c:v>400</c:v>
                </c:pt>
              </c:numCache>
            </c:numRef>
          </c:xVal>
          <c:yVal>
            <c:numRef>
              <c:f>Thermdam!$B$68:$B$71</c:f>
              <c:numCache>
                <c:formatCode>0.00</c:formatCode>
                <c:ptCount val="4"/>
                <c:pt idx="0">
                  <c:v>35</c:v>
                </c:pt>
                <c:pt idx="1">
                  <c:v>40.474144087376615</c:v>
                </c:pt>
                <c:pt idx="2">
                  <c:v>58.282767485822312</c:v>
                </c:pt>
                <c:pt idx="3">
                  <c:v>91.066824196597352</c:v>
                </c:pt>
              </c:numCache>
            </c:numRef>
          </c:yVal>
          <c:smooth val="1"/>
          <c:extLst>
            <c:ext xmlns:c16="http://schemas.microsoft.com/office/drawing/2014/chart" uri="{C3380CC4-5D6E-409C-BE32-E72D297353CC}">
              <c16:uniqueId val="{00000000-F877-48F9-8E34-1CFEC9AB5CEB}"/>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645.21739130434787</c:v>
                </c:pt>
                <c:pt idx="1">
                  <c:v>600</c:v>
                </c:pt>
                <c:pt idx="2">
                  <c:v>500</c:v>
                </c:pt>
                <c:pt idx="3">
                  <c:v>400</c:v>
                </c:pt>
              </c:numCache>
            </c:numRef>
          </c:xVal>
          <c:yVal>
            <c:numRef>
              <c:f>Thermdam!$C$68:$C$71</c:f>
              <c:numCache>
                <c:formatCode>0.00</c:formatCode>
                <c:ptCount val="4"/>
                <c:pt idx="0">
                  <c:v>15</c:v>
                </c:pt>
                <c:pt idx="1">
                  <c:v>17.346061751732837</c:v>
                </c:pt>
                <c:pt idx="2">
                  <c:v>24.978328922495276</c:v>
                </c:pt>
                <c:pt idx="3">
                  <c:v>39.028638941398867</c:v>
                </c:pt>
              </c:numCache>
            </c:numRef>
          </c:yVal>
          <c:smooth val="1"/>
          <c:extLst>
            <c:ext xmlns:c16="http://schemas.microsoft.com/office/drawing/2014/chart" uri="{C3380CC4-5D6E-409C-BE32-E72D297353CC}">
              <c16:uniqueId val="{00000001-F877-48F9-8E34-1CFEC9AB5CEB}"/>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300</c:v>
                </c:pt>
                <c:pt idx="1">
                  <c:v>200</c:v>
                </c:pt>
                <c:pt idx="2">
                  <c:v>220</c:v>
                </c:pt>
                <c:pt idx="3" formatCode="General">
                  <c:v>180</c:v>
                </c:pt>
                <c:pt idx="4" formatCode="General">
                  <c:v>145</c:v>
                </c:pt>
                <c:pt idx="5" formatCode="General">
                  <c:v>125</c:v>
                </c:pt>
                <c:pt idx="6" formatCode="General">
                  <c:v>125</c:v>
                </c:pt>
                <c:pt idx="7" formatCode="General">
                  <c:v>125</c:v>
                </c:pt>
              </c:numCache>
            </c:numRef>
          </c:xVal>
          <c:yVal>
            <c:numRef>
              <c:f>Thermdam!$C$72:$C$79</c:f>
              <c:numCache>
                <c:formatCode>0.00</c:formatCode>
                <c:ptCount val="8"/>
                <c:pt idx="2">
                  <c:v>129.02029402115332</c:v>
                </c:pt>
                <c:pt idx="3">
                  <c:v>192.73401946369813</c:v>
                </c:pt>
                <c:pt idx="4">
                  <c:v>297.00747826986066</c:v>
                </c:pt>
                <c:pt idx="5" formatCode="0">
                  <c:v>600</c:v>
                </c:pt>
                <c:pt idx="6" formatCode="0">
                  <c:v>1200</c:v>
                </c:pt>
                <c:pt idx="7" formatCode="General">
                  <c:v>10000</c:v>
                </c:pt>
              </c:numCache>
            </c:numRef>
          </c:yVal>
          <c:smooth val="1"/>
          <c:extLst>
            <c:ext xmlns:c16="http://schemas.microsoft.com/office/drawing/2014/chart" uri="{C3380CC4-5D6E-409C-BE32-E72D297353CC}">
              <c16:uniqueId val="{00000002-F877-48F9-8E34-1CFEC9AB5CEB}"/>
            </c:ext>
          </c:extLst>
        </c:ser>
        <c:dLbls>
          <c:showLegendKey val="0"/>
          <c:showVal val="0"/>
          <c:showCatName val="0"/>
          <c:showSerName val="0"/>
          <c:showPercent val="0"/>
          <c:showBubbleSize val="0"/>
        </c:dLbls>
        <c:axId val="836496136"/>
        <c:axId val="1"/>
      </c:scatterChart>
      <c:valAx>
        <c:axId val="836496136"/>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76323595643"/>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555824752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836496136"/>
        <c:crosses val="autoZero"/>
        <c:crossBetween val="midCat"/>
        <c:minorUnit val="10"/>
      </c:valAx>
      <c:spPr>
        <a:noFill/>
        <a:ln w="25400">
          <a:noFill/>
        </a:ln>
      </c:spPr>
    </c:plotArea>
    <c:plotVisOnly val="1"/>
    <c:dispBlanksAs val="gap"/>
    <c:showDLblsOverMax val="0"/>
  </c:chart>
  <c:spPr>
    <a:solidFill>
      <a:srgbClr val="FFFFFF"/>
    </a:solidFill>
    <a:ln w="6350">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4000V'!$B$54:$B$59</c:f>
              <c:numCache>
                <c:formatCode>0.0</c:formatCode>
                <c:ptCount val="6"/>
                <c:pt idx="1">
                  <c:v>88.413520812988281</c:v>
                </c:pt>
                <c:pt idx="2">
                  <c:v>92.758468627929688</c:v>
                </c:pt>
                <c:pt idx="3">
                  <c:v>94.115341186523438</c:v>
                </c:pt>
                <c:pt idx="4">
                  <c:v>94.660614013671875</c:v>
                </c:pt>
                <c:pt idx="5">
                  <c:v>94.851318359375</c:v>
                </c:pt>
              </c:numCache>
            </c:numRef>
          </c:yVal>
          <c:smooth val="1"/>
          <c:extLst>
            <c:ext xmlns:c16="http://schemas.microsoft.com/office/drawing/2014/chart" uri="{C3380CC4-5D6E-409C-BE32-E72D297353CC}">
              <c16:uniqueId val="{00000000-DF0B-4424-9D8D-10C6F8415AA8}"/>
            </c:ext>
          </c:extLst>
        </c:ser>
        <c:ser>
          <c:idx val="1"/>
          <c:order val="1"/>
          <c:spPr>
            <a:ln w="25400">
              <a:solidFill>
                <a:srgbClr val="000000"/>
              </a:solidFill>
              <a:prstDash val="solid"/>
            </a:ln>
          </c:spPr>
          <c:marker>
            <c:symbol val="none"/>
          </c:marker>
          <c:xVal>
            <c:numRef>
              <c:f>'Performance 4000V'!$A$55:$A$59</c:f>
              <c:numCache>
                <c:formatCode>0.0</c:formatCode>
                <c:ptCount val="5"/>
                <c:pt idx="0">
                  <c:v>25</c:v>
                </c:pt>
                <c:pt idx="1">
                  <c:v>50</c:v>
                </c:pt>
                <c:pt idx="2">
                  <c:v>75</c:v>
                </c:pt>
                <c:pt idx="3">
                  <c:v>100</c:v>
                </c:pt>
                <c:pt idx="4">
                  <c:v>125</c:v>
                </c:pt>
              </c:numCache>
            </c:numRef>
          </c:xVal>
          <c:yVal>
            <c:numRef>
              <c:f>'Performance 4000V'!$C$55:$C$59</c:f>
              <c:numCache>
                <c:formatCode>0.0</c:formatCode>
                <c:ptCount val="5"/>
                <c:pt idx="0">
                  <c:v>70.36944580078125</c:v>
                </c:pt>
                <c:pt idx="1">
                  <c:v>85.121925354003906</c:v>
                </c:pt>
                <c:pt idx="2">
                  <c:v>88.719436645507813</c:v>
                </c:pt>
                <c:pt idx="3">
                  <c:v>89.356277465820313</c:v>
                </c:pt>
                <c:pt idx="4">
                  <c:v>88.676322937011719</c:v>
                </c:pt>
              </c:numCache>
            </c:numRef>
          </c:yVal>
          <c:smooth val="1"/>
          <c:extLst>
            <c:ext xmlns:c16="http://schemas.microsoft.com/office/drawing/2014/chart" uri="{C3380CC4-5D6E-409C-BE32-E72D297353CC}">
              <c16:uniqueId val="{00000001-DF0B-4424-9D8D-10C6F8415AA8}"/>
            </c:ext>
          </c:extLst>
        </c:ser>
        <c:ser>
          <c:idx val="3"/>
          <c:order val="3"/>
          <c:spPr>
            <a:ln w="25400">
              <a:solidFill>
                <a:srgbClr val="3333CC"/>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4000V'!$E$54:$E$59</c:f>
              <c:numCache>
                <c:formatCode>0.0</c:formatCode>
                <c:ptCount val="6"/>
                <c:pt idx="0">
                  <c:v>100</c:v>
                </c:pt>
                <c:pt idx="1">
                  <c:v>84.677674035200354</c:v>
                </c:pt>
                <c:pt idx="2">
                  <c:v>71.803995487071674</c:v>
                </c:pt>
                <c:pt idx="3">
                  <c:v>58.68959596554226</c:v>
                </c:pt>
                <c:pt idx="4">
                  <c:v>44.55910020393835</c:v>
                </c:pt>
                <c:pt idx="5">
                  <c:v>30.470279311266747</c:v>
                </c:pt>
              </c:numCache>
            </c:numRef>
          </c:yVal>
          <c:smooth val="1"/>
          <c:extLst>
            <c:ext xmlns:c16="http://schemas.microsoft.com/office/drawing/2014/chart" uri="{C3380CC4-5D6E-409C-BE32-E72D297353CC}">
              <c16:uniqueId val="{00000002-DF0B-4424-9D8D-10C6F8415AA8}"/>
            </c:ext>
          </c:extLst>
        </c:ser>
        <c:ser>
          <c:idx val="4"/>
          <c:order val="4"/>
          <c:spPr>
            <a:ln w="25400">
              <a:solidFill>
                <a:srgbClr val="339933"/>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4000V'!$F$54:$F$59</c:f>
              <c:numCache>
                <c:formatCode>0.0</c:formatCode>
                <c:ptCount val="6"/>
                <c:pt idx="0">
                  <c:v>2</c:v>
                </c:pt>
                <c:pt idx="1">
                  <c:v>10.58583463557073</c:v>
                </c:pt>
                <c:pt idx="2">
                  <c:v>20.179956407016018</c:v>
                </c:pt>
                <c:pt idx="3">
                  <c:v>29.833529206344313</c:v>
                </c:pt>
                <c:pt idx="4">
                  <c:v>39.548907458845164</c:v>
                </c:pt>
                <c:pt idx="5">
                  <c:v>49.336738942846246</c:v>
                </c:pt>
              </c:numCache>
            </c:numRef>
          </c:yVal>
          <c:smooth val="1"/>
          <c:extLst>
            <c:ext xmlns:c16="http://schemas.microsoft.com/office/drawing/2014/chart" uri="{C3380CC4-5D6E-409C-BE32-E72D297353CC}">
              <c16:uniqueId val="{00000003-DF0B-4424-9D8D-10C6F8415AA8}"/>
            </c:ext>
          </c:extLst>
        </c:ser>
        <c:dLbls>
          <c:showLegendKey val="0"/>
          <c:showVal val="0"/>
          <c:showCatName val="0"/>
          <c:showSerName val="0"/>
          <c:showPercent val="0"/>
          <c:showBubbleSize val="0"/>
        </c:dLbls>
        <c:axId val="517841816"/>
        <c:axId val="1"/>
      </c:scatterChart>
      <c:scatterChart>
        <c:scatterStyle val="lineMarker"/>
        <c:varyColors val="0"/>
        <c:ser>
          <c:idx val="2"/>
          <c:order val="2"/>
          <c:spPr>
            <a:ln w="25400">
              <a:solidFill>
                <a:srgbClr val="333300"/>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4000V'!$D$54:$D$59</c:f>
              <c:numCache>
                <c:formatCode>0.0</c:formatCode>
                <c:ptCount val="6"/>
                <c:pt idx="0">
                  <c:v>24.756169503273185</c:v>
                </c:pt>
                <c:pt idx="1">
                  <c:v>39.0845947265625</c:v>
                </c:pt>
                <c:pt idx="2">
                  <c:v>61.594711303710938</c:v>
                </c:pt>
                <c:pt idx="3">
                  <c:v>87.367622375488281</c:v>
                </c:pt>
                <c:pt idx="4">
                  <c:v>114.99369812011719</c:v>
                </c:pt>
                <c:pt idx="5">
                  <c:v>144.5531005859375</c:v>
                </c:pt>
              </c:numCache>
            </c:numRef>
          </c:yVal>
          <c:smooth val="1"/>
          <c:extLst>
            <c:ext xmlns:c16="http://schemas.microsoft.com/office/drawing/2014/chart" uri="{C3380CC4-5D6E-409C-BE32-E72D297353CC}">
              <c16:uniqueId val="{00000004-DF0B-4424-9D8D-10C6F8415AA8}"/>
            </c:ext>
          </c:extLst>
        </c:ser>
        <c:dLbls>
          <c:showLegendKey val="0"/>
          <c:showVal val="0"/>
          <c:showCatName val="0"/>
          <c:showSerName val="0"/>
          <c:showPercent val="0"/>
          <c:showBubbleSize val="0"/>
        </c:dLbls>
        <c:axId val="3"/>
        <c:axId val="4"/>
      </c:scatterChart>
      <c:valAx>
        <c:axId val="517841816"/>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6581008769"/>
              <c:y val="0.9204563350035790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
        <c:crossesAt val="0"/>
        <c:crossBetween val="midCat"/>
        <c:majorUnit val="25"/>
        <c:minorUnit val="12.5"/>
      </c:valAx>
      <c:valAx>
        <c:axId val="1"/>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0773159169"/>
              <c:y val="0.25568221585938122"/>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517841816"/>
        <c:crosses val="autoZero"/>
        <c:crossBetween val="midCat"/>
        <c:majorUnit val="10"/>
        <c:minorUnit val="5"/>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2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6960467141"/>
              <c:y val="0.3200763540921021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3"/>
        <c:crosses val="max"/>
        <c:crossBetween val="midCat"/>
        <c:majorUnit val="20"/>
      </c:valAx>
      <c:spPr>
        <a:solidFill>
          <a:srgbClr val="FFFFFF"/>
        </a:solidFill>
        <a:ln w="12700">
          <a:solidFill>
            <a:srgbClr val="808080"/>
          </a:solidFill>
          <a:prstDash val="solid"/>
        </a:ln>
      </c:spPr>
    </c:plotArea>
    <c:plotVisOnly val="1"/>
    <c:dispBlanksAs val="gap"/>
    <c:showDLblsOverMax val="0"/>
  </c:chart>
  <c:spPr>
    <a:solidFill>
      <a:srgbClr val="FFFFFF"/>
    </a:solidFill>
    <a:ln w="6350">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2300V'!$B$54:$B$59</c:f>
              <c:numCache>
                <c:formatCode>0.0</c:formatCode>
                <c:ptCount val="6"/>
                <c:pt idx="1">
                  <c:v>88.352592468261719</c:v>
                </c:pt>
                <c:pt idx="2">
                  <c:v>92.676597595214844</c:v>
                </c:pt>
                <c:pt idx="3">
                  <c:v>94.024375915527344</c:v>
                </c:pt>
                <c:pt idx="4">
                  <c:v>94.562942504882813</c:v>
                </c:pt>
                <c:pt idx="5">
                  <c:v>94.748420715332031</c:v>
                </c:pt>
              </c:numCache>
            </c:numRef>
          </c:yVal>
          <c:smooth val="1"/>
          <c:extLst>
            <c:ext xmlns:c16="http://schemas.microsoft.com/office/drawing/2014/chart" uri="{C3380CC4-5D6E-409C-BE32-E72D297353CC}">
              <c16:uniqueId val="{00000000-FB00-42B8-9597-4678DE404EDA}"/>
            </c:ext>
          </c:extLst>
        </c:ser>
        <c:ser>
          <c:idx val="1"/>
          <c:order val="1"/>
          <c:spPr>
            <a:ln w="25400">
              <a:solidFill>
                <a:srgbClr val="000000"/>
              </a:solidFill>
              <a:prstDash val="solid"/>
            </a:ln>
          </c:spPr>
          <c:marker>
            <c:symbol val="none"/>
          </c:marker>
          <c:xVal>
            <c:numRef>
              <c:f>'Performance 2300V'!$A$55:$A$59</c:f>
              <c:numCache>
                <c:formatCode>0.0</c:formatCode>
                <c:ptCount val="5"/>
                <c:pt idx="0">
                  <c:v>25</c:v>
                </c:pt>
                <c:pt idx="1">
                  <c:v>50</c:v>
                </c:pt>
                <c:pt idx="2">
                  <c:v>75</c:v>
                </c:pt>
                <c:pt idx="3">
                  <c:v>100</c:v>
                </c:pt>
                <c:pt idx="4">
                  <c:v>125</c:v>
                </c:pt>
              </c:numCache>
            </c:numRef>
          </c:xVal>
          <c:yVal>
            <c:numRef>
              <c:f>'Performance 2300V'!$C$55:$C$59</c:f>
              <c:numCache>
                <c:formatCode>0.0</c:formatCode>
                <c:ptCount val="5"/>
                <c:pt idx="0">
                  <c:v>70.66241455078125</c:v>
                </c:pt>
                <c:pt idx="1">
                  <c:v>85.256385803222656</c:v>
                </c:pt>
                <c:pt idx="2">
                  <c:v>88.775611877441406</c:v>
                </c:pt>
                <c:pt idx="3">
                  <c:v>89.360420227050781</c:v>
                </c:pt>
                <c:pt idx="4">
                  <c:v>88.636039733886719</c:v>
                </c:pt>
              </c:numCache>
            </c:numRef>
          </c:yVal>
          <c:smooth val="1"/>
          <c:extLst>
            <c:ext xmlns:c16="http://schemas.microsoft.com/office/drawing/2014/chart" uri="{C3380CC4-5D6E-409C-BE32-E72D297353CC}">
              <c16:uniqueId val="{00000001-FB00-42B8-9597-4678DE404EDA}"/>
            </c:ext>
          </c:extLst>
        </c:ser>
        <c:ser>
          <c:idx val="3"/>
          <c:order val="3"/>
          <c:spPr>
            <a:ln w="25400">
              <a:solidFill>
                <a:srgbClr val="3333CC"/>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2300V'!$E$54:$E$59</c:f>
              <c:numCache>
                <c:formatCode>0.0</c:formatCode>
                <c:ptCount val="6"/>
                <c:pt idx="0">
                  <c:v>100</c:v>
                </c:pt>
                <c:pt idx="1">
                  <c:v>85.464979123873619</c:v>
                </c:pt>
                <c:pt idx="2">
                  <c:v>72.479811930239805</c:v>
                </c:pt>
                <c:pt idx="3">
                  <c:v>59.24370517890145</c:v>
                </c:pt>
                <c:pt idx="4">
                  <c:v>44.955690979226937</c:v>
                </c:pt>
                <c:pt idx="5">
                  <c:v>30.7426244519032</c:v>
                </c:pt>
              </c:numCache>
            </c:numRef>
          </c:yVal>
          <c:smooth val="1"/>
          <c:extLst>
            <c:ext xmlns:c16="http://schemas.microsoft.com/office/drawing/2014/chart" uri="{C3380CC4-5D6E-409C-BE32-E72D297353CC}">
              <c16:uniqueId val="{00000002-FB00-42B8-9597-4678DE404EDA}"/>
            </c:ext>
          </c:extLst>
        </c:ser>
        <c:ser>
          <c:idx val="4"/>
          <c:order val="4"/>
          <c:spPr>
            <a:ln w="25400">
              <a:solidFill>
                <a:srgbClr val="339933"/>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2300V'!$F$54:$F$59</c:f>
              <c:numCache>
                <c:formatCode>0.0</c:formatCode>
                <c:ptCount val="6"/>
                <c:pt idx="0">
                  <c:v>2</c:v>
                </c:pt>
                <c:pt idx="1">
                  <c:v>10.530032306666797</c:v>
                </c:pt>
                <c:pt idx="2">
                  <c:v>20.077465390190365</c:v>
                </c:pt>
                <c:pt idx="3">
                  <c:v>29.684504768885663</c:v>
                </c:pt>
                <c:pt idx="4">
                  <c:v>39.353916884310678</c:v>
                </c:pt>
                <c:pt idx="5">
                  <c:v>49.096097861962491</c:v>
                </c:pt>
              </c:numCache>
            </c:numRef>
          </c:yVal>
          <c:smooth val="1"/>
          <c:extLst>
            <c:ext xmlns:c16="http://schemas.microsoft.com/office/drawing/2014/chart" uri="{C3380CC4-5D6E-409C-BE32-E72D297353CC}">
              <c16:uniqueId val="{00000003-FB00-42B8-9597-4678DE404EDA}"/>
            </c:ext>
          </c:extLst>
        </c:ser>
        <c:dLbls>
          <c:showLegendKey val="0"/>
          <c:showVal val="0"/>
          <c:showCatName val="0"/>
          <c:showSerName val="0"/>
          <c:showPercent val="0"/>
          <c:showBubbleSize val="0"/>
        </c:dLbls>
        <c:axId val="697225256"/>
        <c:axId val="1"/>
      </c:scatterChart>
      <c:scatterChart>
        <c:scatterStyle val="lineMarker"/>
        <c:varyColors val="0"/>
        <c:ser>
          <c:idx val="2"/>
          <c:order val="2"/>
          <c:spPr>
            <a:ln w="25400">
              <a:solidFill>
                <a:srgbClr val="333300"/>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2300V'!$D$54:$D$59</c:f>
              <c:numCache>
                <c:formatCode>0.0</c:formatCode>
                <c:ptCount val="6"/>
                <c:pt idx="0">
                  <c:v>42.43378672725985</c:v>
                </c:pt>
                <c:pt idx="1">
                  <c:v>67.334556579589844</c:v>
                </c:pt>
                <c:pt idx="2">
                  <c:v>106.40908813476563</c:v>
                </c:pt>
                <c:pt idx="3">
                  <c:v>151.08901977539063</c:v>
                </c:pt>
                <c:pt idx="4">
                  <c:v>198.99378967285156</c:v>
                </c:pt>
                <c:pt idx="5">
                  <c:v>250.2841796875</c:v>
                </c:pt>
              </c:numCache>
            </c:numRef>
          </c:yVal>
          <c:smooth val="1"/>
          <c:extLst>
            <c:ext xmlns:c16="http://schemas.microsoft.com/office/drawing/2014/chart" uri="{C3380CC4-5D6E-409C-BE32-E72D297353CC}">
              <c16:uniqueId val="{00000004-FB00-42B8-9597-4678DE404EDA}"/>
            </c:ext>
          </c:extLst>
        </c:ser>
        <c:dLbls>
          <c:showLegendKey val="0"/>
          <c:showVal val="0"/>
          <c:showCatName val="0"/>
          <c:showSerName val="0"/>
          <c:showPercent val="0"/>
          <c:showBubbleSize val="0"/>
        </c:dLbls>
        <c:axId val="3"/>
        <c:axId val="4"/>
      </c:scatterChart>
      <c:valAx>
        <c:axId val="697225256"/>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6581008769"/>
              <c:y val="0.9204563350035790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
        <c:crossesAt val="0"/>
        <c:crossBetween val="midCat"/>
        <c:majorUnit val="25"/>
        <c:minorUnit val="12.5"/>
      </c:valAx>
      <c:valAx>
        <c:axId val="1"/>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0773159169"/>
              <c:y val="0.25568221585938122"/>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697225256"/>
        <c:crosses val="autoZero"/>
        <c:crossBetween val="midCat"/>
        <c:majorUnit val="10"/>
        <c:minorUnit val="5"/>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3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6960467141"/>
              <c:y val="0.3200763540921021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3"/>
        <c:crosses val="max"/>
        <c:crossBetween val="midCat"/>
        <c:majorUnit val="30"/>
      </c:valAx>
      <c:spPr>
        <a:solidFill>
          <a:srgbClr val="FFFFFF"/>
        </a:solidFill>
        <a:ln w="12700">
          <a:solidFill>
            <a:srgbClr val="808080"/>
          </a:solidFill>
          <a:prstDash val="solid"/>
        </a:ln>
      </c:spPr>
    </c:plotArea>
    <c:plotVisOnly val="1"/>
    <c:dispBlanksAs val="gap"/>
    <c:showDLblsOverMax val="0"/>
  </c:chart>
  <c:spPr>
    <a:solidFill>
      <a:srgbClr val="FFFFFF"/>
    </a:solidFill>
    <a:ln w="6350">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04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xdr:cNvSpPr>
          <a:spLocks noChangeArrowheads="1"/>
        </xdr:cNvSpPr>
      </xdr:nvSpPr>
      <xdr:spPr bwMode="auto">
        <a:xfrm>
          <a:off x="56102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xdr:cNvSpPr>
          <a:spLocks noChangeArrowheads="1"/>
        </xdr:cNvSpPr>
      </xdr:nvSpPr>
      <xdr:spPr bwMode="auto">
        <a:xfrm>
          <a:off x="54768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xdr:cNvSpPr>
          <a:spLocks noChangeArrowheads="1"/>
        </xdr:cNvSpPr>
      </xdr:nvSpPr>
      <xdr:spPr bwMode="auto">
        <a:xfrm>
          <a:off x="54864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xdr:cNvSpPr>
          <a:spLocks noChangeArrowheads="1"/>
        </xdr:cNvSpPr>
      </xdr:nvSpPr>
      <xdr:spPr bwMode="auto">
        <a:xfrm>
          <a:off x="54578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xdr:cNvSpPr>
          <a:spLocks noChangeArrowheads="1"/>
        </xdr:cNvSpPr>
      </xdr:nvSpPr>
      <xdr:spPr bwMode="auto">
        <a:xfrm>
          <a:off x="56007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238125</xdr:colOff>
      <xdr:row>35</xdr:row>
      <xdr:rowOff>114300</xdr:rowOff>
    </xdr:from>
    <xdr:to>
      <xdr:col>3</xdr:col>
      <xdr:colOff>542925</xdr:colOff>
      <xdr:row>36</xdr:row>
      <xdr:rowOff>9525</xdr:rowOff>
    </xdr:to>
    <xdr:sp macro="" textlink="">
      <xdr:nvSpPr>
        <xdr:cNvPr id="7" name="Depth2"/>
        <xdr:cNvSpPr txBox="1">
          <a:spLocks noChangeArrowheads="1"/>
        </xdr:cNvSpPr>
      </xdr:nvSpPr>
      <xdr:spPr bwMode="auto">
        <a:xfrm>
          <a:off x="1971675" y="8181975"/>
          <a:ext cx="30480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41.05</a:t>
          </a:r>
        </a:p>
      </xdr:txBody>
    </xdr:sp>
    <xdr:clientData/>
  </xdr:twoCellAnchor>
  <xdr:twoCellAnchor>
    <xdr:from>
      <xdr:col>1</xdr:col>
      <xdr:colOff>314325</xdr:colOff>
      <xdr:row>33</xdr:row>
      <xdr:rowOff>190500</xdr:rowOff>
    </xdr:from>
    <xdr:to>
      <xdr:col>2</xdr:col>
      <xdr:colOff>123825</xdr:colOff>
      <xdr:row>34</xdr:row>
      <xdr:rowOff>66675</xdr:rowOff>
    </xdr:to>
    <xdr:sp macro="" textlink="">
      <xdr:nvSpPr>
        <xdr:cNvPr id="8" name="Tip2"/>
        <xdr:cNvSpPr txBox="1">
          <a:spLocks noChangeArrowheads="1"/>
        </xdr:cNvSpPr>
      </xdr:nvSpPr>
      <xdr:spPr bwMode="auto">
        <a:xfrm>
          <a:off x="1123950" y="7800975"/>
          <a:ext cx="21907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6.00</a:t>
          </a:r>
        </a:p>
      </xdr:txBody>
    </xdr:sp>
    <xdr:clientData/>
  </xdr:twoCellAnchor>
  <xdr:twoCellAnchor>
    <xdr:from>
      <xdr:col>2</xdr:col>
      <xdr:colOff>228600</xdr:colOff>
      <xdr:row>33</xdr:row>
      <xdr:rowOff>57150</xdr:rowOff>
    </xdr:from>
    <xdr:to>
      <xdr:col>3</xdr:col>
      <xdr:colOff>38100</xdr:colOff>
      <xdr:row>33</xdr:row>
      <xdr:rowOff>152400</xdr:rowOff>
    </xdr:to>
    <xdr:sp macro="" textlink="">
      <xdr:nvSpPr>
        <xdr:cNvPr id="9" name="Opening"/>
        <xdr:cNvSpPr txBox="1">
          <a:spLocks noChangeArrowheads="1"/>
        </xdr:cNvSpPr>
      </xdr:nvSpPr>
      <xdr:spPr bwMode="auto">
        <a:xfrm>
          <a:off x="1447800" y="7667625"/>
          <a:ext cx="32385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180975</xdr:colOff>
      <xdr:row>36</xdr:row>
      <xdr:rowOff>171450</xdr:rowOff>
    </xdr:from>
    <xdr:to>
      <xdr:col>3</xdr:col>
      <xdr:colOff>38100</xdr:colOff>
      <xdr:row>37</xdr:row>
      <xdr:rowOff>38100</xdr:rowOff>
    </xdr:to>
    <xdr:sp macro="" textlink="">
      <xdr:nvSpPr>
        <xdr:cNvPr id="10" name="Width3"/>
        <xdr:cNvSpPr txBox="1">
          <a:spLocks noChangeArrowheads="1"/>
        </xdr:cNvSpPr>
      </xdr:nvSpPr>
      <xdr:spPr bwMode="auto">
        <a:xfrm>
          <a:off x="1400175" y="8467725"/>
          <a:ext cx="371475"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12.05</a:t>
          </a:r>
        </a:p>
      </xdr:txBody>
    </xdr:sp>
    <xdr:clientData/>
  </xdr:twoCellAnchor>
  <xdr:twoCellAnchor>
    <xdr:from>
      <xdr:col>2</xdr:col>
      <xdr:colOff>104775</xdr:colOff>
      <xdr:row>33</xdr:row>
      <xdr:rowOff>180975</xdr:rowOff>
    </xdr:from>
    <xdr:to>
      <xdr:col>3</xdr:col>
      <xdr:colOff>400050</xdr:colOff>
      <xdr:row>37</xdr:row>
      <xdr:rowOff>171450</xdr:rowOff>
    </xdr:to>
    <xdr:grpSp>
      <xdr:nvGrpSpPr>
        <xdr:cNvPr id="11" name="Group 155"/>
        <xdr:cNvGrpSpPr>
          <a:grpSpLocks/>
        </xdr:cNvGrpSpPr>
      </xdr:nvGrpSpPr>
      <xdr:grpSpPr bwMode="auto">
        <a:xfrm>
          <a:off x="1323975" y="7791450"/>
          <a:ext cx="809625" cy="904875"/>
          <a:chOff x="133" y="794"/>
          <a:chExt cx="85" cy="95"/>
        </a:xfrm>
      </xdr:grpSpPr>
      <xdr:sp macro="" textlink="">
        <xdr:nvSpPr>
          <xdr:cNvPr id="12" name="Line 62"/>
          <xdr:cNvSpPr>
            <a:spLocks noChangeShapeType="1"/>
          </xdr:cNvSpPr>
        </xdr:nvSpPr>
        <xdr:spPr bwMode="auto">
          <a:xfrm>
            <a:off x="134"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63"/>
          <xdr:cNvSpPr>
            <a:spLocks noChangeShapeType="1"/>
          </xdr:cNvSpPr>
        </xdr:nvSpPr>
        <xdr:spPr bwMode="auto">
          <a:xfrm flipH="1">
            <a:off x="170"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64"/>
          <xdr:cNvSpPr>
            <a:spLocks noChangeShapeType="1"/>
          </xdr:cNvSpPr>
        </xdr:nvSpPr>
        <xdr:spPr bwMode="auto">
          <a:xfrm flipH="1">
            <a:off x="133" y="876"/>
            <a:ext cx="20"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5" name="Line 65"/>
          <xdr:cNvSpPr>
            <a:spLocks noChangeShapeType="1"/>
          </xdr:cNvSpPr>
        </xdr:nvSpPr>
        <xdr:spPr bwMode="auto">
          <a:xfrm>
            <a:off x="154" y="877"/>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6" name="Line 69"/>
          <xdr:cNvSpPr>
            <a:spLocks noChangeShapeType="1"/>
          </xdr:cNvSpPr>
        </xdr:nvSpPr>
        <xdr:spPr bwMode="auto">
          <a:xfrm flipV="1">
            <a:off x="200" y="889"/>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70"/>
          <xdr:cNvSpPr>
            <a:spLocks noChangeShapeType="1"/>
          </xdr:cNvSpPr>
        </xdr:nvSpPr>
        <xdr:spPr bwMode="auto">
          <a:xfrm flipV="1">
            <a:off x="210" y="795"/>
            <a:ext cx="0" cy="3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8" name="Line 71"/>
          <xdr:cNvSpPr>
            <a:spLocks noChangeShapeType="1"/>
          </xdr:cNvSpPr>
        </xdr:nvSpPr>
        <xdr:spPr bwMode="auto">
          <a:xfrm>
            <a:off x="210" y="847"/>
            <a:ext cx="0" cy="41"/>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9" name="Line 72"/>
          <xdr:cNvSpPr>
            <a:spLocks noChangeShapeType="1"/>
          </xdr:cNvSpPr>
        </xdr:nvSpPr>
        <xdr:spPr bwMode="auto">
          <a:xfrm>
            <a:off x="200" y="794"/>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74"/>
          <xdr:cNvSpPr>
            <a:spLocks noChangeShapeType="1"/>
          </xdr:cNvSpPr>
        </xdr:nvSpPr>
        <xdr:spPr bwMode="auto">
          <a:xfrm flipV="1">
            <a:off x="133" y="871"/>
            <a:ext cx="0" cy="1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75"/>
          <xdr:cNvSpPr>
            <a:spLocks noChangeShapeType="1"/>
          </xdr:cNvSpPr>
        </xdr:nvSpPr>
        <xdr:spPr bwMode="auto">
          <a:xfrm flipV="1">
            <a:off x="190" y="868"/>
            <a:ext cx="0" cy="2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76"/>
          <xdr:cNvSpPr>
            <a:spLocks noChangeShapeType="1"/>
          </xdr:cNvSpPr>
        </xdr:nvSpPr>
        <xdr:spPr bwMode="auto">
          <a:xfrm flipV="1">
            <a:off x="133"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77"/>
          <xdr:cNvSpPr>
            <a:spLocks noChangeShapeType="1"/>
          </xdr:cNvSpPr>
        </xdr:nvSpPr>
        <xdr:spPr bwMode="auto">
          <a:xfrm flipH="1">
            <a:off x="133" y="805"/>
            <a:ext cx="0" cy="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78"/>
          <xdr:cNvSpPr>
            <a:spLocks noChangeShapeType="1"/>
          </xdr:cNvSpPr>
        </xdr:nvSpPr>
        <xdr:spPr bwMode="auto">
          <a:xfrm flipV="1">
            <a:off x="154"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79"/>
          <xdr:cNvSpPr>
            <a:spLocks noChangeShapeType="1"/>
          </xdr:cNvSpPr>
        </xdr:nvSpPr>
        <xdr:spPr bwMode="auto">
          <a:xfrm>
            <a:off x="170"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81"/>
          <xdr:cNvSpPr>
            <a:spLocks noChangeShapeType="1"/>
          </xdr:cNvSpPr>
        </xdr:nvSpPr>
        <xdr:spPr bwMode="auto">
          <a:xfrm>
            <a:off x="139"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82"/>
          <xdr:cNvSpPr>
            <a:spLocks noChangeShapeType="1"/>
          </xdr:cNvSpPr>
        </xdr:nvSpPr>
        <xdr:spPr bwMode="auto">
          <a:xfrm flipH="1" flipV="1">
            <a:off x="139"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83"/>
          <xdr:cNvSpPr>
            <a:spLocks noChangeShapeType="1"/>
          </xdr:cNvSpPr>
        </xdr:nvSpPr>
        <xdr:spPr bwMode="auto">
          <a:xfrm flipV="1">
            <a:off x="137"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84"/>
          <xdr:cNvSpPr>
            <a:spLocks noChangeShapeType="1"/>
          </xdr:cNvSpPr>
        </xdr:nvSpPr>
        <xdr:spPr bwMode="auto">
          <a:xfrm flipV="1">
            <a:off x="139"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85"/>
          <xdr:cNvSpPr>
            <a:spLocks noChangeShapeType="1"/>
          </xdr:cNvSpPr>
        </xdr:nvSpPr>
        <xdr:spPr bwMode="auto">
          <a:xfrm flipH="1" flipV="1">
            <a:off x="137"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86"/>
          <xdr:cNvSpPr>
            <a:spLocks noChangeShapeType="1"/>
          </xdr:cNvSpPr>
        </xdr:nvSpPr>
        <xdr:spPr bwMode="auto">
          <a:xfrm>
            <a:off x="190" y="805"/>
            <a:ext cx="0" cy="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87"/>
          <xdr:cNvSpPr>
            <a:spLocks noChangeShapeType="1"/>
          </xdr:cNvSpPr>
        </xdr:nvSpPr>
        <xdr:spPr bwMode="auto">
          <a:xfrm>
            <a:off x="169"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88"/>
          <xdr:cNvSpPr>
            <a:spLocks noChangeShapeType="1"/>
          </xdr:cNvSpPr>
        </xdr:nvSpPr>
        <xdr:spPr bwMode="auto">
          <a:xfrm>
            <a:off x="133" y="889"/>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89"/>
          <xdr:cNvSpPr>
            <a:spLocks noChangeShapeType="1"/>
          </xdr:cNvSpPr>
        </xdr:nvSpPr>
        <xdr:spPr bwMode="auto">
          <a:xfrm>
            <a:off x="154" y="797"/>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90"/>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91"/>
          <xdr:cNvSpPr>
            <a:spLocks noChangeShapeType="1"/>
          </xdr:cNvSpPr>
        </xdr:nvSpPr>
        <xdr:spPr bwMode="auto">
          <a:xfrm flipH="1" flipV="1">
            <a:off x="154"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92"/>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93"/>
          <xdr:cNvSpPr>
            <a:spLocks noChangeShapeType="1"/>
          </xdr:cNvSpPr>
        </xdr:nvSpPr>
        <xdr:spPr bwMode="auto">
          <a:xfrm flipV="1">
            <a:off x="167"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94"/>
          <xdr:cNvSpPr>
            <a:spLocks noChangeShapeType="1"/>
          </xdr:cNvSpPr>
        </xdr:nvSpPr>
        <xdr:spPr bwMode="auto">
          <a:xfrm>
            <a:off x="167"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180975</xdr:colOff>
      <xdr:row>29</xdr:row>
      <xdr:rowOff>76200</xdr:rowOff>
    </xdr:from>
    <xdr:to>
      <xdr:col>3</xdr:col>
      <xdr:colOff>447675</xdr:colOff>
      <xdr:row>29</xdr:row>
      <xdr:rowOff>200025</xdr:rowOff>
    </xdr:to>
    <xdr:sp macro="" textlink="">
      <xdr:nvSpPr>
        <xdr:cNvPr id="40" name="Depth"/>
        <xdr:cNvSpPr txBox="1">
          <a:spLocks noChangeArrowheads="1"/>
        </xdr:cNvSpPr>
      </xdr:nvSpPr>
      <xdr:spPr bwMode="auto">
        <a:xfrm>
          <a:off x="1914525" y="6772275"/>
          <a:ext cx="26670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65.0</a:t>
          </a:r>
        </a:p>
      </xdr:txBody>
    </xdr:sp>
    <xdr:clientData/>
  </xdr:twoCellAnchor>
  <xdr:twoCellAnchor>
    <xdr:from>
      <xdr:col>1</xdr:col>
      <xdr:colOff>114300</xdr:colOff>
      <xdr:row>30</xdr:row>
      <xdr:rowOff>219075</xdr:rowOff>
    </xdr:from>
    <xdr:to>
      <xdr:col>2</xdr:col>
      <xdr:colOff>95250</xdr:colOff>
      <xdr:row>31</xdr:row>
      <xdr:rowOff>95250</xdr:rowOff>
    </xdr:to>
    <xdr:sp macro="" textlink="">
      <xdr:nvSpPr>
        <xdr:cNvPr id="41" name="Tip"/>
        <xdr:cNvSpPr txBox="1">
          <a:spLocks noChangeArrowheads="1"/>
        </xdr:cNvSpPr>
      </xdr:nvSpPr>
      <xdr:spPr bwMode="auto">
        <a:xfrm>
          <a:off x="923925" y="7143750"/>
          <a:ext cx="390525"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3.65</a:t>
          </a:r>
        </a:p>
      </xdr:txBody>
    </xdr:sp>
    <xdr:clientData/>
  </xdr:twoCellAnchor>
  <xdr:twoCellAnchor>
    <xdr:from>
      <xdr:col>2</xdr:col>
      <xdr:colOff>238125</xdr:colOff>
      <xdr:row>26</xdr:row>
      <xdr:rowOff>190500</xdr:rowOff>
    </xdr:from>
    <xdr:to>
      <xdr:col>3</xdr:col>
      <xdr:colOff>28575</xdr:colOff>
      <xdr:row>27</xdr:row>
      <xdr:rowOff>57150</xdr:rowOff>
    </xdr:to>
    <xdr:sp macro="" textlink="">
      <xdr:nvSpPr>
        <xdr:cNvPr id="42" name="Width"/>
        <xdr:cNvSpPr txBox="1">
          <a:spLocks noChangeArrowheads="1"/>
        </xdr:cNvSpPr>
      </xdr:nvSpPr>
      <xdr:spPr bwMode="auto">
        <a:xfrm>
          <a:off x="1457325" y="6200775"/>
          <a:ext cx="30480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17.0</a:t>
          </a:r>
        </a:p>
      </xdr:txBody>
    </xdr:sp>
    <xdr:clientData/>
  </xdr:twoCellAnchor>
  <xdr:twoCellAnchor>
    <xdr:from>
      <xdr:col>2</xdr:col>
      <xdr:colOff>0</xdr:colOff>
      <xdr:row>27</xdr:row>
      <xdr:rowOff>47625</xdr:rowOff>
    </xdr:from>
    <xdr:to>
      <xdr:col>3</xdr:col>
      <xdr:colOff>428625</xdr:colOff>
      <xdr:row>31</xdr:row>
      <xdr:rowOff>209550</xdr:rowOff>
    </xdr:to>
    <xdr:grpSp>
      <xdr:nvGrpSpPr>
        <xdr:cNvPr id="43" name="Group 209"/>
        <xdr:cNvGrpSpPr>
          <a:grpSpLocks/>
        </xdr:cNvGrpSpPr>
      </xdr:nvGrpSpPr>
      <xdr:grpSpPr bwMode="auto">
        <a:xfrm>
          <a:off x="1219200" y="6286500"/>
          <a:ext cx="942975" cy="1076325"/>
          <a:chOff x="128" y="636"/>
          <a:chExt cx="99" cy="113"/>
        </a:xfrm>
      </xdr:grpSpPr>
      <xdr:sp macro="" textlink="">
        <xdr:nvSpPr>
          <xdr:cNvPr id="44" name="Line 162"/>
          <xdr:cNvSpPr>
            <a:spLocks noChangeShapeType="1"/>
          </xdr:cNvSpPr>
        </xdr:nvSpPr>
        <xdr:spPr bwMode="auto">
          <a:xfrm flipH="1">
            <a:off x="192" y="650"/>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163"/>
          <xdr:cNvSpPr>
            <a:spLocks noChangeShapeType="1"/>
          </xdr:cNvSpPr>
        </xdr:nvSpPr>
        <xdr:spPr bwMode="auto">
          <a:xfrm flipH="1">
            <a:off x="144" y="651"/>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164"/>
          <xdr:cNvSpPr>
            <a:spLocks noChangeShapeType="1"/>
          </xdr:cNvSpPr>
        </xdr:nvSpPr>
        <xdr:spPr bwMode="auto">
          <a:xfrm>
            <a:off x="193" y="650"/>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165"/>
          <xdr:cNvSpPr>
            <a:spLocks noChangeShapeType="1"/>
          </xdr:cNvSpPr>
        </xdr:nvSpPr>
        <xdr:spPr bwMode="auto">
          <a:xfrm>
            <a:off x="146"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166"/>
          <xdr:cNvSpPr>
            <a:spLocks noChangeShapeType="1"/>
          </xdr:cNvSpPr>
        </xdr:nvSpPr>
        <xdr:spPr bwMode="auto">
          <a:xfrm>
            <a:off x="140" y="723"/>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167"/>
          <xdr:cNvSpPr>
            <a:spLocks noChangeShapeType="1"/>
          </xdr:cNvSpPr>
        </xdr:nvSpPr>
        <xdr:spPr bwMode="auto">
          <a:xfrm flipH="1">
            <a:off x="200" y="728"/>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68"/>
          <xdr:cNvSpPr>
            <a:spLocks noChangeShapeType="1"/>
          </xdr:cNvSpPr>
        </xdr:nvSpPr>
        <xdr:spPr bwMode="auto">
          <a:xfrm>
            <a:off x="140"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169"/>
          <xdr:cNvSpPr>
            <a:spLocks noChangeShapeType="1"/>
          </xdr:cNvSpPr>
        </xdr:nvSpPr>
        <xdr:spPr bwMode="auto">
          <a:xfrm>
            <a:off x="192" y="72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170"/>
          <xdr:cNvSpPr>
            <a:spLocks noChangeShapeType="1"/>
          </xdr:cNvSpPr>
        </xdr:nvSpPr>
        <xdr:spPr bwMode="auto">
          <a:xfrm>
            <a:off x="147" y="730"/>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171"/>
          <xdr:cNvSpPr>
            <a:spLocks noChangeShapeType="1"/>
          </xdr:cNvSpPr>
        </xdr:nvSpPr>
        <xdr:spPr bwMode="auto">
          <a:xfrm>
            <a:off x="192" y="738"/>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172"/>
          <xdr:cNvSpPr>
            <a:spLocks noChangeShapeType="1"/>
          </xdr:cNvSpPr>
        </xdr:nvSpPr>
        <xdr:spPr bwMode="auto">
          <a:xfrm flipH="1">
            <a:off x="131" y="738"/>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173"/>
          <xdr:cNvSpPr>
            <a:spLocks noChangeShapeType="1"/>
          </xdr:cNvSpPr>
        </xdr:nvSpPr>
        <xdr:spPr bwMode="auto">
          <a:xfrm>
            <a:off x="200" y="652"/>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174"/>
          <xdr:cNvSpPr>
            <a:spLocks noChangeShapeType="1"/>
          </xdr:cNvSpPr>
        </xdr:nvSpPr>
        <xdr:spPr bwMode="auto">
          <a:xfrm flipV="1">
            <a:off x="210" y="653"/>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7" name="Line 175"/>
          <xdr:cNvSpPr>
            <a:spLocks noChangeShapeType="1"/>
          </xdr:cNvSpPr>
        </xdr:nvSpPr>
        <xdr:spPr bwMode="auto">
          <a:xfrm>
            <a:off x="210" y="707"/>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8" name="Line 176"/>
          <xdr:cNvSpPr>
            <a:spLocks noChangeShapeType="1"/>
          </xdr:cNvSpPr>
        </xdr:nvSpPr>
        <xdr:spPr bwMode="auto">
          <a:xfrm flipV="1">
            <a:off x="134" y="739"/>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59" name="Line 177"/>
          <xdr:cNvSpPr>
            <a:spLocks noChangeShapeType="1"/>
          </xdr:cNvSpPr>
        </xdr:nvSpPr>
        <xdr:spPr bwMode="auto">
          <a:xfrm>
            <a:off x="132" y="713"/>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0" name="Line 178"/>
          <xdr:cNvSpPr>
            <a:spLocks noChangeShapeType="1"/>
          </xdr:cNvSpPr>
        </xdr:nvSpPr>
        <xdr:spPr bwMode="auto">
          <a:xfrm>
            <a:off x="128" y="723"/>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179"/>
          <xdr:cNvSpPr>
            <a:spLocks noChangeShapeType="1"/>
          </xdr:cNvSpPr>
        </xdr:nvSpPr>
        <xdr:spPr bwMode="auto">
          <a:xfrm flipV="1">
            <a:off x="193" y="636"/>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180"/>
          <xdr:cNvSpPr>
            <a:spLocks noChangeShapeType="1"/>
          </xdr:cNvSpPr>
        </xdr:nvSpPr>
        <xdr:spPr bwMode="auto">
          <a:xfrm flipV="1">
            <a:off x="145" y="637"/>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181"/>
          <xdr:cNvSpPr>
            <a:spLocks noChangeShapeType="1"/>
          </xdr:cNvSpPr>
        </xdr:nvSpPr>
        <xdr:spPr bwMode="auto">
          <a:xfrm>
            <a:off x="154" y="642"/>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4" name="Line 182"/>
          <xdr:cNvSpPr>
            <a:spLocks noChangeShapeType="1"/>
          </xdr:cNvSpPr>
        </xdr:nvSpPr>
        <xdr:spPr bwMode="auto">
          <a:xfrm flipH="1">
            <a:off x="149" y="642"/>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5" name="Line 183"/>
          <xdr:cNvSpPr>
            <a:spLocks noChangeShapeType="1"/>
          </xdr:cNvSpPr>
        </xdr:nvSpPr>
        <xdr:spPr bwMode="auto">
          <a:xfrm>
            <a:off x="140" y="723"/>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184"/>
          <xdr:cNvSpPr>
            <a:spLocks noChangeShapeType="1"/>
          </xdr:cNvSpPr>
        </xdr:nvSpPr>
        <xdr:spPr bwMode="auto">
          <a:xfrm>
            <a:off x="192"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185"/>
          <xdr:cNvSpPr>
            <a:spLocks noChangeShapeType="1"/>
          </xdr:cNvSpPr>
        </xdr:nvSpPr>
        <xdr:spPr bwMode="auto">
          <a:xfrm flipV="1">
            <a:off x="200" y="721"/>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186"/>
          <xdr:cNvSpPr>
            <a:spLocks noChangeShapeType="1"/>
          </xdr:cNvSpPr>
        </xdr:nvSpPr>
        <xdr:spPr bwMode="auto">
          <a:xfrm>
            <a:off x="193" y="722"/>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xdr:col>
      <xdr:colOff>152400</xdr:colOff>
      <xdr:row>44</xdr:row>
      <xdr:rowOff>0</xdr:rowOff>
    </xdr:from>
    <xdr:to>
      <xdr:col>9</xdr:col>
      <xdr:colOff>361950</xdr:colOff>
      <xdr:row>44</xdr:row>
      <xdr:rowOff>0</xdr:rowOff>
    </xdr:to>
    <xdr:sp macro="" textlink="">
      <xdr:nvSpPr>
        <xdr:cNvPr id="91" name="Rectangle 210"/>
        <xdr:cNvSpPr>
          <a:spLocks noChangeArrowheads="1"/>
        </xdr:cNvSpPr>
      </xdr:nvSpPr>
      <xdr:spPr bwMode="auto">
        <a:xfrm>
          <a:off x="56102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92" name="Rectangle 211"/>
        <xdr:cNvSpPr>
          <a:spLocks noChangeArrowheads="1"/>
        </xdr:cNvSpPr>
      </xdr:nvSpPr>
      <xdr:spPr bwMode="auto">
        <a:xfrm>
          <a:off x="54768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93" name="Rectangle 212"/>
        <xdr:cNvSpPr>
          <a:spLocks noChangeArrowheads="1"/>
        </xdr:cNvSpPr>
      </xdr:nvSpPr>
      <xdr:spPr bwMode="auto">
        <a:xfrm>
          <a:off x="54864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94" name="Rectangle 213"/>
        <xdr:cNvSpPr>
          <a:spLocks noChangeArrowheads="1"/>
        </xdr:cNvSpPr>
      </xdr:nvSpPr>
      <xdr:spPr bwMode="auto">
        <a:xfrm>
          <a:off x="54578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95" name="Rectangle 214"/>
        <xdr:cNvSpPr>
          <a:spLocks noChangeArrowheads="1"/>
        </xdr:cNvSpPr>
      </xdr:nvSpPr>
      <xdr:spPr bwMode="auto">
        <a:xfrm>
          <a:off x="56007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editAs="oneCell">
    <xdr:from>
      <xdr:col>3</xdr:col>
      <xdr:colOff>95250</xdr:colOff>
      <xdr:row>42</xdr:row>
      <xdr:rowOff>133350</xdr:rowOff>
    </xdr:from>
    <xdr:to>
      <xdr:col>3</xdr:col>
      <xdr:colOff>419100</xdr:colOff>
      <xdr:row>43</xdr:row>
      <xdr:rowOff>28575</xdr:rowOff>
    </xdr:to>
    <xdr:sp macro="" textlink="">
      <xdr:nvSpPr>
        <xdr:cNvPr id="96" name="Radius"/>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3</xdr:col>
      <xdr:colOff>47625</xdr:colOff>
      <xdr:row>41</xdr:row>
      <xdr:rowOff>0</xdr:rowOff>
    </xdr:from>
    <xdr:to>
      <xdr:col>3</xdr:col>
      <xdr:colOff>314325</xdr:colOff>
      <xdr:row>41</xdr:row>
      <xdr:rowOff>95250</xdr:rowOff>
    </xdr:to>
    <xdr:sp macro="" textlink="">
      <xdr:nvSpPr>
        <xdr:cNvPr id="97" name="Height"/>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2</xdr:col>
      <xdr:colOff>180975</xdr:colOff>
      <xdr:row>41</xdr:row>
      <xdr:rowOff>85725</xdr:rowOff>
    </xdr:from>
    <xdr:to>
      <xdr:col>2</xdr:col>
      <xdr:colOff>438150</xdr:colOff>
      <xdr:row>41</xdr:row>
      <xdr:rowOff>200025</xdr:rowOff>
    </xdr:to>
    <xdr:sp macro="" textlink="">
      <xdr:nvSpPr>
        <xdr:cNvPr id="98" name="Clea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2</xdr:col>
      <xdr:colOff>476250</xdr:colOff>
      <xdr:row>42</xdr:row>
      <xdr:rowOff>0</xdr:rowOff>
    </xdr:from>
    <xdr:to>
      <xdr:col>3</xdr:col>
      <xdr:colOff>247650</xdr:colOff>
      <xdr:row>42</xdr:row>
      <xdr:rowOff>104775</xdr:rowOff>
    </xdr:to>
    <xdr:sp macro="" textlink="">
      <xdr:nvSpPr>
        <xdr:cNvPr id="99" name="Thickness"/>
        <xdr:cNvSpPr txBox="1">
          <a:spLocks noChangeArrowheads="1"/>
        </xdr:cNvSpPr>
      </xdr:nvSpPr>
      <xdr:spPr bwMode="auto">
        <a:xfrm>
          <a:off x="1695450" y="9667875"/>
          <a:ext cx="28575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3</xdr:col>
      <xdr:colOff>95250</xdr:colOff>
      <xdr:row>42</xdr:row>
      <xdr:rowOff>133350</xdr:rowOff>
    </xdr:from>
    <xdr:to>
      <xdr:col>3</xdr:col>
      <xdr:colOff>419100</xdr:colOff>
      <xdr:row>43</xdr:row>
      <xdr:rowOff>28575</xdr:rowOff>
    </xdr:to>
    <xdr:sp macro="" textlink="">
      <xdr:nvSpPr>
        <xdr:cNvPr id="100" name="Radius"/>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3</xdr:col>
      <xdr:colOff>47625</xdr:colOff>
      <xdr:row>41</xdr:row>
      <xdr:rowOff>0</xdr:rowOff>
    </xdr:from>
    <xdr:to>
      <xdr:col>3</xdr:col>
      <xdr:colOff>314325</xdr:colOff>
      <xdr:row>41</xdr:row>
      <xdr:rowOff>95250</xdr:rowOff>
    </xdr:to>
    <xdr:sp macro="" textlink="">
      <xdr:nvSpPr>
        <xdr:cNvPr id="101" name="Height"/>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2</xdr:col>
      <xdr:colOff>180975</xdr:colOff>
      <xdr:row>41</xdr:row>
      <xdr:rowOff>85725</xdr:rowOff>
    </xdr:from>
    <xdr:to>
      <xdr:col>2</xdr:col>
      <xdr:colOff>438150</xdr:colOff>
      <xdr:row>41</xdr:row>
      <xdr:rowOff>200025</xdr:rowOff>
    </xdr:to>
    <xdr:sp macro="" textlink="">
      <xdr:nvSpPr>
        <xdr:cNvPr id="102" name="Clea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2</xdr:col>
      <xdr:colOff>476250</xdr:colOff>
      <xdr:row>42</xdr:row>
      <xdr:rowOff>0</xdr:rowOff>
    </xdr:from>
    <xdr:to>
      <xdr:col>3</xdr:col>
      <xdr:colOff>247650</xdr:colOff>
      <xdr:row>42</xdr:row>
      <xdr:rowOff>104775</xdr:rowOff>
    </xdr:to>
    <xdr:sp macro="" textlink="">
      <xdr:nvSpPr>
        <xdr:cNvPr id="103" name="Thickness"/>
        <xdr:cNvSpPr txBox="1">
          <a:spLocks noChangeArrowheads="1"/>
        </xdr:cNvSpPr>
      </xdr:nvSpPr>
      <xdr:spPr bwMode="auto">
        <a:xfrm>
          <a:off x="1695450" y="9667875"/>
          <a:ext cx="28575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3</xdr:col>
      <xdr:colOff>47625</xdr:colOff>
      <xdr:row>41</xdr:row>
      <xdr:rowOff>0</xdr:rowOff>
    </xdr:from>
    <xdr:to>
      <xdr:col>3</xdr:col>
      <xdr:colOff>314325</xdr:colOff>
      <xdr:row>41</xdr:row>
      <xdr:rowOff>95250</xdr:rowOff>
    </xdr:to>
    <xdr:sp macro="" textlink="">
      <xdr:nvSpPr>
        <xdr:cNvPr id="104" name="Height"/>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2</xdr:col>
      <xdr:colOff>180975</xdr:colOff>
      <xdr:row>41</xdr:row>
      <xdr:rowOff>85725</xdr:rowOff>
    </xdr:from>
    <xdr:to>
      <xdr:col>2</xdr:col>
      <xdr:colOff>438150</xdr:colOff>
      <xdr:row>41</xdr:row>
      <xdr:rowOff>200025</xdr:rowOff>
    </xdr:to>
    <xdr:sp macro="" textlink="">
      <xdr:nvSpPr>
        <xdr:cNvPr id="105" name="Clea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2</xdr:col>
      <xdr:colOff>180975</xdr:colOff>
      <xdr:row>41</xdr:row>
      <xdr:rowOff>85725</xdr:rowOff>
    </xdr:from>
    <xdr:to>
      <xdr:col>2</xdr:col>
      <xdr:colOff>438150</xdr:colOff>
      <xdr:row>41</xdr:row>
      <xdr:rowOff>200025</xdr:rowOff>
    </xdr:to>
    <xdr:sp macro="" textlink="">
      <xdr:nvSpPr>
        <xdr:cNvPr id="106" name="Clea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3</xdr:col>
      <xdr:colOff>47625</xdr:colOff>
      <xdr:row>41</xdr:row>
      <xdr:rowOff>0</xdr:rowOff>
    </xdr:from>
    <xdr:to>
      <xdr:col>3</xdr:col>
      <xdr:colOff>314325</xdr:colOff>
      <xdr:row>41</xdr:row>
      <xdr:rowOff>95250</xdr:rowOff>
    </xdr:to>
    <xdr:sp macro="" textlink="">
      <xdr:nvSpPr>
        <xdr:cNvPr id="107" name="Height"/>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2</xdr:col>
      <xdr:colOff>180975</xdr:colOff>
      <xdr:row>41</xdr:row>
      <xdr:rowOff>85725</xdr:rowOff>
    </xdr:from>
    <xdr:to>
      <xdr:col>2</xdr:col>
      <xdr:colOff>438150</xdr:colOff>
      <xdr:row>41</xdr:row>
      <xdr:rowOff>200025</xdr:rowOff>
    </xdr:to>
    <xdr:sp macro="" textlink="">
      <xdr:nvSpPr>
        <xdr:cNvPr id="108" name="Clea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2</xdr:col>
      <xdr:colOff>180975</xdr:colOff>
      <xdr:row>41</xdr:row>
      <xdr:rowOff>85725</xdr:rowOff>
    </xdr:from>
    <xdr:to>
      <xdr:col>2</xdr:col>
      <xdr:colOff>438150</xdr:colOff>
      <xdr:row>41</xdr:row>
      <xdr:rowOff>200025</xdr:rowOff>
    </xdr:to>
    <xdr:sp macro="" textlink="">
      <xdr:nvSpPr>
        <xdr:cNvPr id="109" name="Clear"/>
        <xdr:cNvSpPr txBox="1">
          <a:spLocks noChangeArrowheads="1"/>
        </xdr:cNvSpPr>
      </xdr:nvSpPr>
      <xdr:spPr bwMode="auto">
        <a:xfrm>
          <a:off x="1400175" y="9525000"/>
          <a:ext cx="257175" cy="114300"/>
        </a:xfrm>
        <a:prstGeom prst="rect">
          <a:avLst/>
        </a:prstGeom>
        <a:solidFill>
          <a:srgbClr val="FFFFFF"/>
        </a:solidFill>
        <a:ln w="1">
          <a:noFill/>
          <a:miter lim="800000"/>
          <a:headEnd/>
          <a:tailEnd/>
        </a:ln>
      </xdr:spPr>
      <xdr:txBody>
        <a:bodyPr wrap="square" lIns="27432" tIns="18288" rIns="27432"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endParaRPr lang="en-US" sz="600" b="1" i="0" u="none" strike="noStrike" baseline="0">
            <a:solidFill>
              <a:srgbClr val="000000"/>
            </a:solidFill>
            <a:latin typeface="Univers (W1)"/>
          </a:endParaRPr>
        </a:p>
      </xdr:txBody>
    </xdr:sp>
    <xdr:clientData/>
  </xdr:twoCellAnchor>
  <xdr:twoCellAnchor editAs="oneCell">
    <xdr:from>
      <xdr:col>3</xdr:col>
      <xdr:colOff>381000</xdr:colOff>
      <xdr:row>42</xdr:row>
      <xdr:rowOff>133350</xdr:rowOff>
    </xdr:from>
    <xdr:to>
      <xdr:col>3</xdr:col>
      <xdr:colOff>504825</xdr:colOff>
      <xdr:row>43</xdr:row>
      <xdr:rowOff>0</xdr:rowOff>
    </xdr:to>
    <xdr:sp macro="" textlink="">
      <xdr:nvSpPr>
        <xdr:cNvPr id="110" name="Text 583"/>
        <xdr:cNvSpPr txBox="1">
          <a:spLocks noChangeArrowheads="1"/>
        </xdr:cNvSpPr>
      </xdr:nvSpPr>
      <xdr:spPr bwMode="auto">
        <a:xfrm>
          <a:off x="2114550" y="9801225"/>
          <a:ext cx="123825"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txBody>
        <a:bodyPr/>
        <a:lstStyle/>
        <a:p>
          <a:endParaRPr lang="en-US"/>
        </a:p>
      </xdr:txBody>
    </xdr:sp>
    <xdr:clientData/>
  </xdr:twoCellAnchor>
  <xdr:twoCellAnchor editAs="oneCell">
    <xdr:from>
      <xdr:col>3</xdr:col>
      <xdr:colOff>295275</xdr:colOff>
      <xdr:row>40</xdr:row>
      <xdr:rowOff>123825</xdr:rowOff>
    </xdr:from>
    <xdr:to>
      <xdr:col>3</xdr:col>
      <xdr:colOff>581025</xdr:colOff>
      <xdr:row>41</xdr:row>
      <xdr:rowOff>0</xdr:rowOff>
    </xdr:to>
    <xdr:sp macro="" textlink="">
      <xdr:nvSpPr>
        <xdr:cNvPr id="111" name="Thickness"/>
        <xdr:cNvSpPr txBox="1">
          <a:spLocks noChangeArrowheads="1"/>
        </xdr:cNvSpPr>
      </xdr:nvSpPr>
      <xdr:spPr bwMode="auto">
        <a:xfrm>
          <a:off x="2028825" y="9334500"/>
          <a:ext cx="285750" cy="104775"/>
        </a:xfrm>
        <a:prstGeom prst="rect">
          <a:avLst/>
        </a:prstGeom>
        <a:solidFill>
          <a:srgbClr val="FFFFFF"/>
        </a:solidFill>
        <a:ln w="1">
          <a:noFill/>
          <a:miter lim="800000"/>
          <a:headEnd/>
          <a:tailEnd/>
        </a:ln>
      </xdr:spPr>
      <xdr:txBody>
        <a:bodyPr wrap="square" lIns="27432" tIns="18288" rIns="27432"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endParaRPr lang="en-US" sz="600" b="1" i="0" u="none" strike="noStrike" baseline="0">
            <a:solidFill>
              <a:srgbClr val="000000"/>
            </a:solidFill>
            <a:latin typeface="Univers (W1)"/>
          </a:endParaRPr>
        </a:p>
      </xdr:txBody>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12" name="Radius"/>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13" name="Clea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476250</xdr:colOff>
      <xdr:row>42</xdr:row>
      <xdr:rowOff>0</xdr:rowOff>
    </xdr:from>
    <xdr:to>
      <xdr:col>3</xdr:col>
      <xdr:colOff>247650</xdr:colOff>
      <xdr:row>42</xdr:row>
      <xdr:rowOff>104775</xdr:rowOff>
    </xdr:to>
    <xdr:sp macro="" textlink="">
      <xdr:nvSpPr>
        <xdr:cNvPr id="114" name="Thickness"/>
        <xdr:cNvSpPr txBox="1">
          <a:spLocks noChangeArrowheads="1"/>
        </xdr:cNvSpPr>
      </xdr:nvSpPr>
      <xdr:spPr bwMode="auto">
        <a:xfrm>
          <a:off x="1695450" y="9667875"/>
          <a:ext cx="28575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15" name="Radius"/>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476250</xdr:colOff>
      <xdr:row>42</xdr:row>
      <xdr:rowOff>0</xdr:rowOff>
    </xdr:from>
    <xdr:to>
      <xdr:col>3</xdr:col>
      <xdr:colOff>247650</xdr:colOff>
      <xdr:row>42</xdr:row>
      <xdr:rowOff>104775</xdr:rowOff>
    </xdr:to>
    <xdr:sp macro="" textlink="">
      <xdr:nvSpPr>
        <xdr:cNvPr id="116" name="Thickness"/>
        <xdr:cNvSpPr txBox="1">
          <a:spLocks noChangeArrowheads="1"/>
        </xdr:cNvSpPr>
      </xdr:nvSpPr>
      <xdr:spPr bwMode="auto">
        <a:xfrm>
          <a:off x="1695450" y="9667875"/>
          <a:ext cx="28575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95250</xdr:colOff>
      <xdr:row>42</xdr:row>
      <xdr:rowOff>133350</xdr:rowOff>
    </xdr:from>
    <xdr:to>
      <xdr:col>3</xdr:col>
      <xdr:colOff>419100</xdr:colOff>
      <xdr:row>43</xdr:row>
      <xdr:rowOff>28575</xdr:rowOff>
    </xdr:to>
    <xdr:sp macro="" textlink="">
      <xdr:nvSpPr>
        <xdr:cNvPr id="117" name="Radius"/>
        <xdr:cNvSpPr txBox="1">
          <a:spLocks noChangeArrowheads="1"/>
        </xdr:cNvSpPr>
      </xdr:nvSpPr>
      <xdr:spPr bwMode="auto">
        <a:xfrm>
          <a:off x="1828800" y="9801225"/>
          <a:ext cx="323850" cy="12382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47625</xdr:colOff>
      <xdr:row>41</xdr:row>
      <xdr:rowOff>0</xdr:rowOff>
    </xdr:from>
    <xdr:to>
      <xdr:col>3</xdr:col>
      <xdr:colOff>314325</xdr:colOff>
      <xdr:row>41</xdr:row>
      <xdr:rowOff>95250</xdr:rowOff>
    </xdr:to>
    <xdr:sp macro="" textlink="">
      <xdr:nvSpPr>
        <xdr:cNvPr id="118" name="Height"/>
        <xdr:cNvSpPr txBox="1">
          <a:spLocks noChangeArrowheads="1"/>
        </xdr:cNvSpPr>
      </xdr:nvSpPr>
      <xdr:spPr bwMode="auto">
        <a:xfrm>
          <a:off x="1781175" y="9439275"/>
          <a:ext cx="266700"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19" name="Clear"/>
        <xdr:cNvSpPr txBox="1">
          <a:spLocks noChangeArrowheads="1"/>
        </xdr:cNvSpPr>
      </xdr:nvSpPr>
      <xdr:spPr bwMode="auto">
        <a:xfrm>
          <a:off x="1400175" y="9525000"/>
          <a:ext cx="257175"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200025</xdr:colOff>
      <xdr:row>41</xdr:row>
      <xdr:rowOff>171450</xdr:rowOff>
    </xdr:from>
    <xdr:to>
      <xdr:col>3</xdr:col>
      <xdr:colOff>485775</xdr:colOff>
      <xdr:row>42</xdr:row>
      <xdr:rowOff>47625</xdr:rowOff>
    </xdr:to>
    <xdr:sp macro="" textlink="">
      <xdr:nvSpPr>
        <xdr:cNvPr id="120" name="Thickness"/>
        <xdr:cNvSpPr txBox="1">
          <a:spLocks noChangeArrowheads="1"/>
        </xdr:cNvSpPr>
      </xdr:nvSpPr>
      <xdr:spPr bwMode="auto">
        <a:xfrm>
          <a:off x="1933575" y="9610725"/>
          <a:ext cx="285750" cy="1047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809625</xdr:colOff>
      <xdr:row>40</xdr:row>
      <xdr:rowOff>85725</xdr:rowOff>
    </xdr:from>
    <xdr:to>
      <xdr:col>4</xdr:col>
      <xdr:colOff>581025</xdr:colOff>
      <xdr:row>41</xdr:row>
      <xdr:rowOff>19050</xdr:rowOff>
    </xdr:to>
    <xdr:sp macro="" textlink="">
      <xdr:nvSpPr>
        <xdr:cNvPr id="121" name="Text 219"/>
        <xdr:cNvSpPr txBox="1">
          <a:spLocks noChangeArrowheads="1"/>
        </xdr:cNvSpPr>
      </xdr:nvSpPr>
      <xdr:spPr bwMode="auto">
        <a:xfrm>
          <a:off x="2543175" y="9296400"/>
          <a:ext cx="647700"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strike="noStrike">
              <a:solidFill>
                <a:srgbClr val="000000"/>
              </a:solidFill>
              <a:latin typeface="Times New Roman"/>
              <a:cs typeface="Times New Roman"/>
            </a:rPr>
            <a:t>051-FA21</a:t>
          </a:r>
        </a:p>
      </xdr:txBody>
    </xdr:sp>
    <xdr:clientData/>
  </xdr:twoCellAnchor>
  <xdr:twoCellAnchor>
    <xdr:from>
      <xdr:col>3</xdr:col>
      <xdr:colOff>552450</xdr:colOff>
      <xdr:row>42</xdr:row>
      <xdr:rowOff>114300</xdr:rowOff>
    </xdr:from>
    <xdr:to>
      <xdr:col>4</xdr:col>
      <xdr:colOff>0</xdr:colOff>
      <xdr:row>43</xdr:row>
      <xdr:rowOff>9525</xdr:rowOff>
    </xdr:to>
    <xdr:sp macro="" textlink="">
      <xdr:nvSpPr>
        <xdr:cNvPr id="122" name="Radius"/>
        <xdr:cNvSpPr txBox="1">
          <a:spLocks noChangeArrowheads="1"/>
        </xdr:cNvSpPr>
      </xdr:nvSpPr>
      <xdr:spPr bwMode="auto">
        <a:xfrm>
          <a:off x="2286000" y="9782175"/>
          <a:ext cx="32385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416</a:t>
          </a:r>
        </a:p>
        <a:p>
          <a:pPr algn="ctr" rtl="0">
            <a:defRPr sz="1000"/>
          </a:pPr>
          <a:endParaRPr lang="en-US" sz="600" b="1" i="0" strike="noStrike">
            <a:solidFill>
              <a:srgbClr val="000000"/>
            </a:solidFill>
            <a:latin typeface="Univers (W1)"/>
          </a:endParaRPr>
        </a:p>
      </xdr:txBody>
    </xdr:sp>
    <xdr:clientData/>
  </xdr:twoCellAnchor>
  <xdr:twoCellAnchor>
    <xdr:from>
      <xdr:col>3</xdr:col>
      <xdr:colOff>47625</xdr:colOff>
      <xdr:row>41</xdr:row>
      <xdr:rowOff>0</xdr:rowOff>
    </xdr:from>
    <xdr:to>
      <xdr:col>3</xdr:col>
      <xdr:colOff>314325</xdr:colOff>
      <xdr:row>41</xdr:row>
      <xdr:rowOff>95250</xdr:rowOff>
    </xdr:to>
    <xdr:sp macro="" textlink="">
      <xdr:nvSpPr>
        <xdr:cNvPr id="123" name="Height"/>
        <xdr:cNvSpPr txBox="1">
          <a:spLocks noChangeArrowheads="1"/>
        </xdr:cNvSpPr>
      </xdr:nvSpPr>
      <xdr:spPr bwMode="auto">
        <a:xfrm>
          <a:off x="1781175" y="9439275"/>
          <a:ext cx="26670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35.0</a:t>
          </a:r>
        </a:p>
      </xdr:txBody>
    </xdr:sp>
    <xdr:clientData/>
  </xdr:twoCellAnchor>
  <xdr:twoCellAnchor>
    <xdr:from>
      <xdr:col>2</xdr:col>
      <xdr:colOff>180975</xdr:colOff>
      <xdr:row>41</xdr:row>
      <xdr:rowOff>85725</xdr:rowOff>
    </xdr:from>
    <xdr:to>
      <xdr:col>2</xdr:col>
      <xdr:colOff>438150</xdr:colOff>
      <xdr:row>41</xdr:row>
      <xdr:rowOff>200025</xdr:rowOff>
    </xdr:to>
    <xdr:sp macro="" textlink="">
      <xdr:nvSpPr>
        <xdr:cNvPr id="124" name="Clear"/>
        <xdr:cNvSpPr txBox="1">
          <a:spLocks noChangeArrowheads="1"/>
        </xdr:cNvSpPr>
      </xdr:nvSpPr>
      <xdr:spPr bwMode="auto">
        <a:xfrm>
          <a:off x="1400175" y="9525000"/>
          <a:ext cx="257175"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50.5</a:t>
          </a:r>
        </a:p>
      </xdr:txBody>
    </xdr:sp>
    <xdr:clientData/>
  </xdr:twoCellAnchor>
  <xdr:twoCellAnchor>
    <xdr:from>
      <xdr:col>2</xdr:col>
      <xdr:colOff>476250</xdr:colOff>
      <xdr:row>42</xdr:row>
      <xdr:rowOff>0</xdr:rowOff>
    </xdr:from>
    <xdr:to>
      <xdr:col>3</xdr:col>
      <xdr:colOff>247650</xdr:colOff>
      <xdr:row>42</xdr:row>
      <xdr:rowOff>104775</xdr:rowOff>
    </xdr:to>
    <xdr:sp macro="" textlink="">
      <xdr:nvSpPr>
        <xdr:cNvPr id="125" name="Thickness"/>
        <xdr:cNvSpPr txBox="1">
          <a:spLocks noChangeArrowheads="1"/>
        </xdr:cNvSpPr>
      </xdr:nvSpPr>
      <xdr:spPr bwMode="auto">
        <a:xfrm>
          <a:off x="1695450" y="9667875"/>
          <a:ext cx="28575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46.0</a:t>
          </a:r>
        </a:p>
      </xdr:txBody>
    </xdr:sp>
    <xdr:clientData/>
  </xdr:twoCellAnchor>
  <xdr:twoCellAnchor>
    <xdr:from>
      <xdr:col>2</xdr:col>
      <xdr:colOff>457200</xdr:colOff>
      <xdr:row>41</xdr:row>
      <xdr:rowOff>161925</xdr:rowOff>
    </xdr:from>
    <xdr:to>
      <xdr:col>2</xdr:col>
      <xdr:colOff>457200</xdr:colOff>
      <xdr:row>42</xdr:row>
      <xdr:rowOff>66675</xdr:rowOff>
    </xdr:to>
    <xdr:sp macro="" textlink="">
      <xdr:nvSpPr>
        <xdr:cNvPr id="126" name="Line 116"/>
        <xdr:cNvSpPr>
          <a:spLocks noChangeShapeType="1"/>
        </xdr:cNvSpPr>
      </xdr:nvSpPr>
      <xdr:spPr bwMode="auto">
        <a:xfrm flipV="1">
          <a:off x="1676400" y="9601200"/>
          <a:ext cx="0" cy="133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247650</xdr:colOff>
      <xdr:row>41</xdr:row>
      <xdr:rowOff>171450</xdr:rowOff>
    </xdr:from>
    <xdr:to>
      <xdr:col>3</xdr:col>
      <xdr:colOff>247650</xdr:colOff>
      <xdr:row>42</xdr:row>
      <xdr:rowOff>76200</xdr:rowOff>
    </xdr:to>
    <xdr:sp macro="" textlink="">
      <xdr:nvSpPr>
        <xdr:cNvPr id="127" name="Line 117"/>
        <xdr:cNvSpPr>
          <a:spLocks noChangeShapeType="1"/>
        </xdr:cNvSpPr>
      </xdr:nvSpPr>
      <xdr:spPr bwMode="auto">
        <a:xfrm flipV="1">
          <a:off x="1981200" y="9610725"/>
          <a:ext cx="0" cy="133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466725</xdr:colOff>
      <xdr:row>41</xdr:row>
      <xdr:rowOff>209550</xdr:rowOff>
    </xdr:from>
    <xdr:to>
      <xdr:col>3</xdr:col>
      <xdr:colOff>238125</xdr:colOff>
      <xdr:row>41</xdr:row>
      <xdr:rowOff>209550</xdr:rowOff>
    </xdr:to>
    <xdr:sp macro="" textlink="">
      <xdr:nvSpPr>
        <xdr:cNvPr id="128" name="Line 118"/>
        <xdr:cNvSpPr>
          <a:spLocks noChangeShapeType="1"/>
        </xdr:cNvSpPr>
      </xdr:nvSpPr>
      <xdr:spPr bwMode="auto">
        <a:xfrm flipV="1">
          <a:off x="1685925" y="9648825"/>
          <a:ext cx="285750"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3</xdr:col>
      <xdr:colOff>19050</xdr:colOff>
      <xdr:row>40</xdr:row>
      <xdr:rowOff>180975</xdr:rowOff>
    </xdr:from>
    <xdr:to>
      <xdr:col>3</xdr:col>
      <xdr:colOff>19050</xdr:colOff>
      <xdr:row>41</xdr:row>
      <xdr:rowOff>142875</xdr:rowOff>
    </xdr:to>
    <xdr:sp macro="" textlink="">
      <xdr:nvSpPr>
        <xdr:cNvPr id="129" name="Line 119"/>
        <xdr:cNvSpPr>
          <a:spLocks noChangeShapeType="1"/>
        </xdr:cNvSpPr>
      </xdr:nvSpPr>
      <xdr:spPr bwMode="auto">
        <a:xfrm flipV="1">
          <a:off x="1752600" y="9391650"/>
          <a:ext cx="0" cy="19050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3</xdr:col>
      <xdr:colOff>381000</xdr:colOff>
      <xdr:row>42</xdr:row>
      <xdr:rowOff>133350</xdr:rowOff>
    </xdr:from>
    <xdr:to>
      <xdr:col>3</xdr:col>
      <xdr:colOff>504825</xdr:colOff>
      <xdr:row>43</xdr:row>
      <xdr:rowOff>0</xdr:rowOff>
    </xdr:to>
    <xdr:sp macro="" textlink="">
      <xdr:nvSpPr>
        <xdr:cNvPr id="130" name="Text 583"/>
        <xdr:cNvSpPr txBox="1">
          <a:spLocks noChangeArrowheads="1"/>
        </xdr:cNvSpPr>
      </xdr:nvSpPr>
      <xdr:spPr bwMode="auto">
        <a:xfrm>
          <a:off x="2114550" y="9801225"/>
          <a:ext cx="123825" cy="952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285750</xdr:colOff>
      <xdr:row>39</xdr:row>
      <xdr:rowOff>161925</xdr:rowOff>
    </xdr:from>
    <xdr:to>
      <xdr:col>2</xdr:col>
      <xdr:colOff>161925</xdr:colOff>
      <xdr:row>39</xdr:row>
      <xdr:rowOff>161925</xdr:rowOff>
    </xdr:to>
    <xdr:sp macro="" textlink="">
      <xdr:nvSpPr>
        <xdr:cNvPr id="131" name="Line 121"/>
        <xdr:cNvSpPr>
          <a:spLocks noChangeShapeType="1"/>
        </xdr:cNvSpPr>
      </xdr:nvSpPr>
      <xdr:spPr bwMode="auto">
        <a:xfrm flipV="1">
          <a:off x="1095375" y="9144000"/>
          <a:ext cx="2857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161925</xdr:colOff>
      <xdr:row>39</xdr:row>
      <xdr:rowOff>161925</xdr:rowOff>
    </xdr:from>
    <xdr:to>
      <xdr:col>2</xdr:col>
      <xdr:colOff>161925</xdr:colOff>
      <xdr:row>42</xdr:row>
      <xdr:rowOff>209550</xdr:rowOff>
    </xdr:to>
    <xdr:sp macro="" textlink="">
      <xdr:nvSpPr>
        <xdr:cNvPr id="132" name="Line 122"/>
        <xdr:cNvSpPr>
          <a:spLocks noChangeShapeType="1"/>
        </xdr:cNvSpPr>
      </xdr:nvSpPr>
      <xdr:spPr bwMode="auto">
        <a:xfrm>
          <a:off x="1381125" y="9144000"/>
          <a:ext cx="0" cy="7334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171450</xdr:colOff>
      <xdr:row>41</xdr:row>
      <xdr:rowOff>57150</xdr:rowOff>
    </xdr:from>
    <xdr:to>
      <xdr:col>2</xdr:col>
      <xdr:colOff>447675</xdr:colOff>
      <xdr:row>41</xdr:row>
      <xdr:rowOff>57150</xdr:rowOff>
    </xdr:to>
    <xdr:sp macro="" textlink="">
      <xdr:nvSpPr>
        <xdr:cNvPr id="133" name="Line 123"/>
        <xdr:cNvSpPr>
          <a:spLocks noChangeShapeType="1"/>
        </xdr:cNvSpPr>
      </xdr:nvSpPr>
      <xdr:spPr bwMode="auto">
        <a:xfrm flipV="1">
          <a:off x="1390650" y="9496425"/>
          <a:ext cx="2762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2</xdr:col>
      <xdr:colOff>457200</xdr:colOff>
      <xdr:row>39</xdr:row>
      <xdr:rowOff>171450</xdr:rowOff>
    </xdr:from>
    <xdr:to>
      <xdr:col>3</xdr:col>
      <xdr:colOff>247650</xdr:colOff>
      <xdr:row>41</xdr:row>
      <xdr:rowOff>142875</xdr:rowOff>
    </xdr:to>
    <xdr:sp macro="" textlink="">
      <xdr:nvSpPr>
        <xdr:cNvPr id="134" name="Rectangle 124"/>
        <xdr:cNvSpPr>
          <a:spLocks noChangeArrowheads="1"/>
        </xdr:cNvSpPr>
      </xdr:nvSpPr>
      <xdr:spPr bwMode="auto">
        <a:xfrm>
          <a:off x="1676400" y="9153525"/>
          <a:ext cx="304800" cy="428625"/>
        </a:xfrm>
        <a:prstGeom prst="rect">
          <a:avLst/>
        </a:prstGeom>
        <a:solidFill>
          <a:srgbClr val="FFFFFF"/>
        </a:solidFill>
        <a:ln w="9525">
          <a:solidFill>
            <a:srgbClr val="000000"/>
          </a:solidFill>
          <a:miter lim="800000"/>
          <a:headEnd/>
          <a:tailEnd/>
        </a:ln>
      </xdr:spPr>
    </xdr:sp>
    <xdr:clientData/>
  </xdr:twoCellAnchor>
  <xdr:twoCellAnchor>
    <xdr:from>
      <xdr:col>2</xdr:col>
      <xdr:colOff>161925</xdr:colOff>
      <xdr:row>40</xdr:row>
      <xdr:rowOff>219075</xdr:rowOff>
    </xdr:from>
    <xdr:to>
      <xdr:col>2</xdr:col>
      <xdr:colOff>457200</xdr:colOff>
      <xdr:row>40</xdr:row>
      <xdr:rowOff>219075</xdr:rowOff>
    </xdr:to>
    <xdr:sp macro="" textlink="">
      <xdr:nvSpPr>
        <xdr:cNvPr id="135" name="Line 125"/>
        <xdr:cNvSpPr>
          <a:spLocks noChangeShapeType="1"/>
        </xdr:cNvSpPr>
      </xdr:nvSpPr>
      <xdr:spPr bwMode="auto">
        <a:xfrm>
          <a:off x="1381125" y="9429750"/>
          <a:ext cx="2952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161925</xdr:colOff>
      <xdr:row>39</xdr:row>
      <xdr:rowOff>190500</xdr:rowOff>
    </xdr:from>
    <xdr:to>
      <xdr:col>2</xdr:col>
      <xdr:colOff>457200</xdr:colOff>
      <xdr:row>39</xdr:row>
      <xdr:rowOff>190500</xdr:rowOff>
    </xdr:to>
    <xdr:sp macro="" textlink="">
      <xdr:nvSpPr>
        <xdr:cNvPr id="136" name="Line 126"/>
        <xdr:cNvSpPr>
          <a:spLocks noChangeShapeType="1"/>
        </xdr:cNvSpPr>
      </xdr:nvSpPr>
      <xdr:spPr bwMode="auto">
        <a:xfrm>
          <a:off x="1381125" y="9172575"/>
          <a:ext cx="2952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295275</xdr:colOff>
      <xdr:row>41</xdr:row>
      <xdr:rowOff>142875</xdr:rowOff>
    </xdr:from>
    <xdr:to>
      <xdr:col>3</xdr:col>
      <xdr:colOff>666750</xdr:colOff>
      <xdr:row>41</xdr:row>
      <xdr:rowOff>142875</xdr:rowOff>
    </xdr:to>
    <xdr:sp macro="" textlink="">
      <xdr:nvSpPr>
        <xdr:cNvPr id="137" name="Line 127"/>
        <xdr:cNvSpPr>
          <a:spLocks noChangeShapeType="1"/>
        </xdr:cNvSpPr>
      </xdr:nvSpPr>
      <xdr:spPr bwMode="auto">
        <a:xfrm>
          <a:off x="2028825" y="9582150"/>
          <a:ext cx="3714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628650</xdr:colOff>
      <xdr:row>41</xdr:row>
      <xdr:rowOff>142875</xdr:rowOff>
    </xdr:from>
    <xdr:to>
      <xdr:col>3</xdr:col>
      <xdr:colOff>628650</xdr:colOff>
      <xdr:row>42</xdr:row>
      <xdr:rowOff>95250</xdr:rowOff>
    </xdr:to>
    <xdr:sp macro="" textlink="">
      <xdr:nvSpPr>
        <xdr:cNvPr id="138" name="Line 128"/>
        <xdr:cNvSpPr>
          <a:spLocks noChangeShapeType="1"/>
        </xdr:cNvSpPr>
      </xdr:nvSpPr>
      <xdr:spPr bwMode="auto">
        <a:xfrm flipV="1">
          <a:off x="2362200" y="9582150"/>
          <a:ext cx="0" cy="1809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285750</xdr:colOff>
      <xdr:row>39</xdr:row>
      <xdr:rowOff>171450</xdr:rowOff>
    </xdr:from>
    <xdr:to>
      <xdr:col>3</xdr:col>
      <xdr:colOff>504825</xdr:colOff>
      <xdr:row>39</xdr:row>
      <xdr:rowOff>171450</xdr:rowOff>
    </xdr:to>
    <xdr:sp macro="" textlink="">
      <xdr:nvSpPr>
        <xdr:cNvPr id="139" name="Line 129"/>
        <xdr:cNvSpPr>
          <a:spLocks noChangeShapeType="1"/>
        </xdr:cNvSpPr>
      </xdr:nvSpPr>
      <xdr:spPr bwMode="auto">
        <a:xfrm>
          <a:off x="2019300" y="9153525"/>
          <a:ext cx="2190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295275</xdr:colOff>
      <xdr:row>40</xdr:row>
      <xdr:rowOff>133350</xdr:rowOff>
    </xdr:from>
    <xdr:to>
      <xdr:col>3</xdr:col>
      <xdr:colOff>581025</xdr:colOff>
      <xdr:row>41</xdr:row>
      <xdr:rowOff>9525</xdr:rowOff>
    </xdr:to>
    <xdr:sp macro="" textlink="">
      <xdr:nvSpPr>
        <xdr:cNvPr id="140" name="Thickness"/>
        <xdr:cNvSpPr txBox="1">
          <a:spLocks noChangeArrowheads="1"/>
        </xdr:cNvSpPr>
      </xdr:nvSpPr>
      <xdr:spPr bwMode="auto">
        <a:xfrm>
          <a:off x="2028825" y="9344025"/>
          <a:ext cx="28575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43.0</a:t>
          </a:r>
        </a:p>
      </xdr:txBody>
    </xdr:sp>
    <xdr:clientData/>
  </xdr:twoCellAnchor>
  <xdr:twoCellAnchor>
    <xdr:from>
      <xdr:col>3</xdr:col>
      <xdr:colOff>428625</xdr:colOff>
      <xdr:row>39</xdr:row>
      <xdr:rowOff>171450</xdr:rowOff>
    </xdr:from>
    <xdr:to>
      <xdr:col>3</xdr:col>
      <xdr:colOff>428625</xdr:colOff>
      <xdr:row>40</xdr:row>
      <xdr:rowOff>85725</xdr:rowOff>
    </xdr:to>
    <xdr:sp macro="" textlink="">
      <xdr:nvSpPr>
        <xdr:cNvPr id="141" name="Line 131"/>
        <xdr:cNvSpPr>
          <a:spLocks noChangeShapeType="1"/>
        </xdr:cNvSpPr>
      </xdr:nvSpPr>
      <xdr:spPr bwMode="auto">
        <a:xfrm flipV="1">
          <a:off x="2162175" y="9153525"/>
          <a:ext cx="0" cy="1428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438150</xdr:colOff>
      <xdr:row>41</xdr:row>
      <xdr:rowOff>19050</xdr:rowOff>
    </xdr:from>
    <xdr:to>
      <xdr:col>3</xdr:col>
      <xdr:colOff>438150</xdr:colOff>
      <xdr:row>41</xdr:row>
      <xdr:rowOff>142875</xdr:rowOff>
    </xdr:to>
    <xdr:sp macro="" textlink="">
      <xdr:nvSpPr>
        <xdr:cNvPr id="142" name="Line 132"/>
        <xdr:cNvSpPr>
          <a:spLocks noChangeShapeType="1"/>
        </xdr:cNvSpPr>
      </xdr:nvSpPr>
      <xdr:spPr bwMode="auto">
        <a:xfrm>
          <a:off x="2171700" y="9458325"/>
          <a:ext cx="0" cy="1238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828675</xdr:colOff>
      <xdr:row>35</xdr:row>
      <xdr:rowOff>47625</xdr:rowOff>
    </xdr:from>
    <xdr:to>
      <xdr:col>4</xdr:col>
      <xdr:colOff>600075</xdr:colOff>
      <xdr:row>35</xdr:row>
      <xdr:rowOff>205067</xdr:rowOff>
    </xdr:to>
    <xdr:sp macro="" textlink="">
      <xdr:nvSpPr>
        <xdr:cNvPr id="143" name="Text 219"/>
        <xdr:cNvSpPr txBox="1">
          <a:spLocks noChangeArrowheads="1"/>
        </xdr:cNvSpPr>
      </xdr:nvSpPr>
      <xdr:spPr bwMode="auto">
        <a:xfrm>
          <a:off x="2562225" y="8115300"/>
          <a:ext cx="647700" cy="157442"/>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strike="noStrike">
              <a:solidFill>
                <a:srgbClr val="000000"/>
              </a:solidFill>
              <a:latin typeface="Times New Roman"/>
              <a:cs typeface="Times New Roman"/>
            </a:rPr>
            <a:t>411-FA21</a:t>
          </a:r>
        </a:p>
      </xdr:txBody>
    </xdr:sp>
    <xdr:clientData/>
  </xdr:twoCellAnchor>
  <xdr:twoCellAnchor>
    <xdr:from>
      <xdr:col>3</xdr:col>
      <xdr:colOff>857250</xdr:colOff>
      <xdr:row>28</xdr:row>
      <xdr:rowOff>171450</xdr:rowOff>
    </xdr:from>
    <xdr:to>
      <xdr:col>4</xdr:col>
      <xdr:colOff>628650</xdr:colOff>
      <xdr:row>29</xdr:row>
      <xdr:rowOff>100292</xdr:rowOff>
    </xdr:to>
    <xdr:sp macro="" textlink="">
      <xdr:nvSpPr>
        <xdr:cNvPr id="144" name="Text 219"/>
        <xdr:cNvSpPr txBox="1">
          <a:spLocks noChangeArrowheads="1"/>
        </xdr:cNvSpPr>
      </xdr:nvSpPr>
      <xdr:spPr bwMode="auto">
        <a:xfrm>
          <a:off x="2590800" y="6638925"/>
          <a:ext cx="647700" cy="157442"/>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strike="noStrike">
              <a:solidFill>
                <a:srgbClr val="000000"/>
              </a:solidFill>
              <a:latin typeface="Times New Roman"/>
              <a:cs typeface="Times New Roman"/>
            </a:rPr>
            <a:t>311-FA21</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358140</xdr:colOff>
      <xdr:row>43</xdr:row>
      <xdr:rowOff>0</xdr:rowOff>
    </xdr:to>
    <xdr:sp macro="" textlink="">
      <xdr:nvSpPr>
        <xdr:cNvPr id="2" name="Rectangle 1"/>
        <xdr:cNvSpPr>
          <a:spLocks noChangeArrowheads="1"/>
        </xdr:cNvSpPr>
      </xdr:nvSpPr>
      <xdr:spPr bwMode="auto">
        <a:xfrm>
          <a:off x="6873240" y="7277100"/>
          <a:ext cx="2057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15240</xdr:colOff>
      <xdr:row>43</xdr:row>
      <xdr:rowOff>0</xdr:rowOff>
    </xdr:from>
    <xdr:to>
      <xdr:col>9</xdr:col>
      <xdr:colOff>320040</xdr:colOff>
      <xdr:row>43</xdr:row>
      <xdr:rowOff>0</xdr:rowOff>
    </xdr:to>
    <xdr:sp macro="" textlink="">
      <xdr:nvSpPr>
        <xdr:cNvPr id="3" name="Rectangle 2"/>
        <xdr:cNvSpPr>
          <a:spLocks noChangeArrowheads="1"/>
        </xdr:cNvSpPr>
      </xdr:nvSpPr>
      <xdr:spPr bwMode="auto">
        <a:xfrm>
          <a:off x="6736080" y="7277100"/>
          <a:ext cx="3048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30480</xdr:colOff>
      <xdr:row>43</xdr:row>
      <xdr:rowOff>0</xdr:rowOff>
    </xdr:from>
    <xdr:to>
      <xdr:col>9</xdr:col>
      <xdr:colOff>335280</xdr:colOff>
      <xdr:row>43</xdr:row>
      <xdr:rowOff>0</xdr:rowOff>
    </xdr:to>
    <xdr:sp macro="" textlink="">
      <xdr:nvSpPr>
        <xdr:cNvPr id="4" name="Rectangle 3"/>
        <xdr:cNvSpPr>
          <a:spLocks noChangeArrowheads="1"/>
        </xdr:cNvSpPr>
      </xdr:nvSpPr>
      <xdr:spPr bwMode="auto">
        <a:xfrm>
          <a:off x="6751320" y="7277100"/>
          <a:ext cx="3048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403860</xdr:colOff>
      <xdr:row>43</xdr:row>
      <xdr:rowOff>0</xdr:rowOff>
    </xdr:to>
    <xdr:sp macro="" textlink="">
      <xdr:nvSpPr>
        <xdr:cNvPr id="5" name="Rectangle 4"/>
        <xdr:cNvSpPr>
          <a:spLocks noChangeArrowheads="1"/>
        </xdr:cNvSpPr>
      </xdr:nvSpPr>
      <xdr:spPr bwMode="auto">
        <a:xfrm>
          <a:off x="6720840" y="7277100"/>
          <a:ext cx="4038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137160</xdr:colOff>
      <xdr:row>43</xdr:row>
      <xdr:rowOff>0</xdr:rowOff>
    </xdr:from>
    <xdr:to>
      <xdr:col>9</xdr:col>
      <xdr:colOff>350520</xdr:colOff>
      <xdr:row>43</xdr:row>
      <xdr:rowOff>0</xdr:rowOff>
    </xdr:to>
    <xdr:sp macro="" textlink="">
      <xdr:nvSpPr>
        <xdr:cNvPr id="6" name="Rectangle 5"/>
        <xdr:cNvSpPr>
          <a:spLocks noChangeArrowheads="1"/>
        </xdr:cNvSpPr>
      </xdr:nvSpPr>
      <xdr:spPr bwMode="auto">
        <a:xfrm>
          <a:off x="6858000" y="727710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230505</xdr:colOff>
      <xdr:row>35</xdr:row>
      <xdr:rowOff>114300</xdr:rowOff>
    </xdr:from>
    <xdr:to>
      <xdr:col>3</xdr:col>
      <xdr:colOff>527685</xdr:colOff>
      <xdr:row>36</xdr:row>
      <xdr:rowOff>9525</xdr:rowOff>
    </xdr:to>
    <xdr:sp macro="" textlink="">
      <xdr:nvSpPr>
        <xdr:cNvPr id="7" name="Depth2"/>
        <xdr:cNvSpPr txBox="1">
          <a:spLocks noChangeArrowheads="1"/>
        </xdr:cNvSpPr>
      </xdr:nvSpPr>
      <xdr:spPr bwMode="auto">
        <a:xfrm>
          <a:off x="2470785" y="6050280"/>
          <a:ext cx="297180" cy="6286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41.05</a:t>
          </a:r>
        </a:p>
      </xdr:txBody>
    </xdr:sp>
    <xdr:clientData/>
  </xdr:twoCellAnchor>
  <xdr:twoCellAnchor>
    <xdr:from>
      <xdr:col>1</xdr:col>
      <xdr:colOff>314325</xdr:colOff>
      <xdr:row>33</xdr:row>
      <xdr:rowOff>190500</xdr:rowOff>
    </xdr:from>
    <xdr:to>
      <xdr:col>2</xdr:col>
      <xdr:colOff>123825</xdr:colOff>
      <xdr:row>34</xdr:row>
      <xdr:rowOff>66675</xdr:rowOff>
    </xdr:to>
    <xdr:sp macro="" textlink="">
      <xdr:nvSpPr>
        <xdr:cNvPr id="8" name="Tip2"/>
        <xdr:cNvSpPr txBox="1">
          <a:spLocks noChangeArrowheads="1"/>
        </xdr:cNvSpPr>
      </xdr:nvSpPr>
      <xdr:spPr bwMode="auto">
        <a:xfrm>
          <a:off x="1061085" y="5768340"/>
          <a:ext cx="556260" cy="666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6.00</a:t>
          </a:r>
        </a:p>
      </xdr:txBody>
    </xdr:sp>
    <xdr:clientData/>
  </xdr:twoCellAnchor>
  <xdr:twoCellAnchor>
    <xdr:from>
      <xdr:col>2</xdr:col>
      <xdr:colOff>220980</xdr:colOff>
      <xdr:row>33</xdr:row>
      <xdr:rowOff>57150</xdr:rowOff>
    </xdr:from>
    <xdr:to>
      <xdr:col>3</xdr:col>
      <xdr:colOff>38100</xdr:colOff>
      <xdr:row>33</xdr:row>
      <xdr:rowOff>152400</xdr:rowOff>
    </xdr:to>
    <xdr:sp macro="" textlink="">
      <xdr:nvSpPr>
        <xdr:cNvPr id="9" name="Opening"/>
        <xdr:cNvSpPr txBox="1">
          <a:spLocks noChangeArrowheads="1"/>
        </xdr:cNvSpPr>
      </xdr:nvSpPr>
      <xdr:spPr bwMode="auto">
        <a:xfrm>
          <a:off x="1714500" y="5657850"/>
          <a:ext cx="56388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173355</xdr:colOff>
      <xdr:row>36</xdr:row>
      <xdr:rowOff>171450</xdr:rowOff>
    </xdr:from>
    <xdr:to>
      <xdr:col>3</xdr:col>
      <xdr:colOff>38141</xdr:colOff>
      <xdr:row>37</xdr:row>
      <xdr:rowOff>38100</xdr:rowOff>
    </xdr:to>
    <xdr:sp macro="" textlink="">
      <xdr:nvSpPr>
        <xdr:cNvPr id="10" name="Width3"/>
        <xdr:cNvSpPr txBox="1">
          <a:spLocks noChangeArrowheads="1"/>
        </xdr:cNvSpPr>
      </xdr:nvSpPr>
      <xdr:spPr bwMode="auto">
        <a:xfrm>
          <a:off x="1666875" y="6267450"/>
          <a:ext cx="611546" cy="4191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12.05</a:t>
          </a:r>
        </a:p>
      </xdr:txBody>
    </xdr:sp>
    <xdr:clientData/>
  </xdr:twoCellAnchor>
  <xdr:twoCellAnchor>
    <xdr:from>
      <xdr:col>2</xdr:col>
      <xdr:colOff>99060</xdr:colOff>
      <xdr:row>33</xdr:row>
      <xdr:rowOff>182880</xdr:rowOff>
    </xdr:from>
    <xdr:to>
      <xdr:col>3</xdr:col>
      <xdr:colOff>388620</xdr:colOff>
      <xdr:row>37</xdr:row>
      <xdr:rowOff>175260</xdr:rowOff>
    </xdr:to>
    <xdr:grpSp>
      <xdr:nvGrpSpPr>
        <xdr:cNvPr id="11" name="Group 155"/>
        <xdr:cNvGrpSpPr>
          <a:grpSpLocks/>
        </xdr:cNvGrpSpPr>
      </xdr:nvGrpSpPr>
      <xdr:grpSpPr bwMode="auto">
        <a:xfrm>
          <a:off x="1261110" y="7793355"/>
          <a:ext cx="775335" cy="906780"/>
          <a:chOff x="133" y="794"/>
          <a:chExt cx="85" cy="95"/>
        </a:xfrm>
      </xdr:grpSpPr>
      <xdr:sp macro="" textlink="">
        <xdr:nvSpPr>
          <xdr:cNvPr id="12" name="Line 62"/>
          <xdr:cNvSpPr>
            <a:spLocks noChangeShapeType="1"/>
          </xdr:cNvSpPr>
        </xdr:nvSpPr>
        <xdr:spPr bwMode="auto">
          <a:xfrm>
            <a:off x="134"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63"/>
          <xdr:cNvSpPr>
            <a:spLocks noChangeShapeType="1"/>
          </xdr:cNvSpPr>
        </xdr:nvSpPr>
        <xdr:spPr bwMode="auto">
          <a:xfrm flipH="1">
            <a:off x="170"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64"/>
          <xdr:cNvSpPr>
            <a:spLocks noChangeShapeType="1"/>
          </xdr:cNvSpPr>
        </xdr:nvSpPr>
        <xdr:spPr bwMode="auto">
          <a:xfrm flipH="1">
            <a:off x="133" y="876"/>
            <a:ext cx="20"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5" name="Line 65"/>
          <xdr:cNvSpPr>
            <a:spLocks noChangeShapeType="1"/>
          </xdr:cNvSpPr>
        </xdr:nvSpPr>
        <xdr:spPr bwMode="auto">
          <a:xfrm>
            <a:off x="154" y="877"/>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6" name="Line 69"/>
          <xdr:cNvSpPr>
            <a:spLocks noChangeShapeType="1"/>
          </xdr:cNvSpPr>
        </xdr:nvSpPr>
        <xdr:spPr bwMode="auto">
          <a:xfrm flipV="1">
            <a:off x="200" y="889"/>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70"/>
          <xdr:cNvSpPr>
            <a:spLocks noChangeShapeType="1"/>
          </xdr:cNvSpPr>
        </xdr:nvSpPr>
        <xdr:spPr bwMode="auto">
          <a:xfrm flipV="1">
            <a:off x="210" y="795"/>
            <a:ext cx="0" cy="3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8" name="Line 71"/>
          <xdr:cNvSpPr>
            <a:spLocks noChangeShapeType="1"/>
          </xdr:cNvSpPr>
        </xdr:nvSpPr>
        <xdr:spPr bwMode="auto">
          <a:xfrm>
            <a:off x="210" y="847"/>
            <a:ext cx="0" cy="41"/>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9" name="Line 72"/>
          <xdr:cNvSpPr>
            <a:spLocks noChangeShapeType="1"/>
          </xdr:cNvSpPr>
        </xdr:nvSpPr>
        <xdr:spPr bwMode="auto">
          <a:xfrm>
            <a:off x="200" y="794"/>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74"/>
          <xdr:cNvSpPr>
            <a:spLocks noChangeShapeType="1"/>
          </xdr:cNvSpPr>
        </xdr:nvSpPr>
        <xdr:spPr bwMode="auto">
          <a:xfrm flipV="1">
            <a:off x="133" y="871"/>
            <a:ext cx="0" cy="1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75"/>
          <xdr:cNvSpPr>
            <a:spLocks noChangeShapeType="1"/>
          </xdr:cNvSpPr>
        </xdr:nvSpPr>
        <xdr:spPr bwMode="auto">
          <a:xfrm flipV="1">
            <a:off x="190" y="868"/>
            <a:ext cx="0" cy="2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76"/>
          <xdr:cNvSpPr>
            <a:spLocks noChangeShapeType="1"/>
          </xdr:cNvSpPr>
        </xdr:nvSpPr>
        <xdr:spPr bwMode="auto">
          <a:xfrm flipV="1">
            <a:off x="133"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77"/>
          <xdr:cNvSpPr>
            <a:spLocks noChangeShapeType="1"/>
          </xdr:cNvSpPr>
        </xdr:nvSpPr>
        <xdr:spPr bwMode="auto">
          <a:xfrm flipH="1">
            <a:off x="133" y="805"/>
            <a:ext cx="0" cy="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78"/>
          <xdr:cNvSpPr>
            <a:spLocks noChangeShapeType="1"/>
          </xdr:cNvSpPr>
        </xdr:nvSpPr>
        <xdr:spPr bwMode="auto">
          <a:xfrm flipV="1">
            <a:off x="154"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79"/>
          <xdr:cNvSpPr>
            <a:spLocks noChangeShapeType="1"/>
          </xdr:cNvSpPr>
        </xdr:nvSpPr>
        <xdr:spPr bwMode="auto">
          <a:xfrm>
            <a:off x="170"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81"/>
          <xdr:cNvSpPr>
            <a:spLocks noChangeShapeType="1"/>
          </xdr:cNvSpPr>
        </xdr:nvSpPr>
        <xdr:spPr bwMode="auto">
          <a:xfrm>
            <a:off x="139"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82"/>
          <xdr:cNvSpPr>
            <a:spLocks noChangeShapeType="1"/>
          </xdr:cNvSpPr>
        </xdr:nvSpPr>
        <xdr:spPr bwMode="auto">
          <a:xfrm flipH="1" flipV="1">
            <a:off x="139"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83"/>
          <xdr:cNvSpPr>
            <a:spLocks noChangeShapeType="1"/>
          </xdr:cNvSpPr>
        </xdr:nvSpPr>
        <xdr:spPr bwMode="auto">
          <a:xfrm flipV="1">
            <a:off x="137"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84"/>
          <xdr:cNvSpPr>
            <a:spLocks noChangeShapeType="1"/>
          </xdr:cNvSpPr>
        </xdr:nvSpPr>
        <xdr:spPr bwMode="auto">
          <a:xfrm flipV="1">
            <a:off x="139"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85"/>
          <xdr:cNvSpPr>
            <a:spLocks noChangeShapeType="1"/>
          </xdr:cNvSpPr>
        </xdr:nvSpPr>
        <xdr:spPr bwMode="auto">
          <a:xfrm flipH="1" flipV="1">
            <a:off x="137"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86"/>
          <xdr:cNvSpPr>
            <a:spLocks noChangeShapeType="1"/>
          </xdr:cNvSpPr>
        </xdr:nvSpPr>
        <xdr:spPr bwMode="auto">
          <a:xfrm>
            <a:off x="190" y="805"/>
            <a:ext cx="0" cy="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87"/>
          <xdr:cNvSpPr>
            <a:spLocks noChangeShapeType="1"/>
          </xdr:cNvSpPr>
        </xdr:nvSpPr>
        <xdr:spPr bwMode="auto">
          <a:xfrm>
            <a:off x="169"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88"/>
          <xdr:cNvSpPr>
            <a:spLocks noChangeShapeType="1"/>
          </xdr:cNvSpPr>
        </xdr:nvSpPr>
        <xdr:spPr bwMode="auto">
          <a:xfrm>
            <a:off x="133" y="889"/>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89"/>
          <xdr:cNvSpPr>
            <a:spLocks noChangeShapeType="1"/>
          </xdr:cNvSpPr>
        </xdr:nvSpPr>
        <xdr:spPr bwMode="auto">
          <a:xfrm>
            <a:off x="154" y="797"/>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90"/>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91"/>
          <xdr:cNvSpPr>
            <a:spLocks noChangeShapeType="1"/>
          </xdr:cNvSpPr>
        </xdr:nvSpPr>
        <xdr:spPr bwMode="auto">
          <a:xfrm flipH="1" flipV="1">
            <a:off x="154"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92"/>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93"/>
          <xdr:cNvSpPr>
            <a:spLocks noChangeShapeType="1"/>
          </xdr:cNvSpPr>
        </xdr:nvSpPr>
        <xdr:spPr bwMode="auto">
          <a:xfrm flipV="1">
            <a:off x="167"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94"/>
          <xdr:cNvSpPr>
            <a:spLocks noChangeShapeType="1"/>
          </xdr:cNvSpPr>
        </xdr:nvSpPr>
        <xdr:spPr bwMode="auto">
          <a:xfrm>
            <a:off x="167"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173355</xdr:colOff>
      <xdr:row>29</xdr:row>
      <xdr:rowOff>76200</xdr:rowOff>
    </xdr:from>
    <xdr:to>
      <xdr:col>3</xdr:col>
      <xdr:colOff>432435</xdr:colOff>
      <xdr:row>29</xdr:row>
      <xdr:rowOff>200025</xdr:rowOff>
    </xdr:to>
    <xdr:sp macro="" textlink="">
      <xdr:nvSpPr>
        <xdr:cNvPr id="40" name="Depth"/>
        <xdr:cNvSpPr txBox="1">
          <a:spLocks noChangeArrowheads="1"/>
        </xdr:cNvSpPr>
      </xdr:nvSpPr>
      <xdr:spPr bwMode="auto">
        <a:xfrm>
          <a:off x="2413635" y="5006340"/>
          <a:ext cx="259080" cy="9334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65.0</a:t>
          </a:r>
        </a:p>
      </xdr:txBody>
    </xdr:sp>
    <xdr:clientData/>
  </xdr:twoCellAnchor>
  <xdr:twoCellAnchor>
    <xdr:from>
      <xdr:col>1</xdr:col>
      <xdr:colOff>114300</xdr:colOff>
      <xdr:row>30</xdr:row>
      <xdr:rowOff>219075</xdr:rowOff>
    </xdr:from>
    <xdr:to>
      <xdr:col>2</xdr:col>
      <xdr:colOff>87705</xdr:colOff>
      <xdr:row>31</xdr:row>
      <xdr:rowOff>87766</xdr:rowOff>
    </xdr:to>
    <xdr:sp macro="" textlink="">
      <xdr:nvSpPr>
        <xdr:cNvPr id="41" name="Tip"/>
        <xdr:cNvSpPr txBox="1">
          <a:spLocks noChangeArrowheads="1"/>
        </xdr:cNvSpPr>
      </xdr:nvSpPr>
      <xdr:spPr bwMode="auto">
        <a:xfrm>
          <a:off x="861060" y="5263515"/>
          <a:ext cx="720165" cy="8967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3.65</a:t>
          </a:r>
        </a:p>
      </xdr:txBody>
    </xdr:sp>
    <xdr:clientData/>
  </xdr:twoCellAnchor>
  <xdr:twoCellAnchor>
    <xdr:from>
      <xdr:col>2</xdr:col>
      <xdr:colOff>238125</xdr:colOff>
      <xdr:row>26</xdr:row>
      <xdr:rowOff>190500</xdr:rowOff>
    </xdr:from>
    <xdr:to>
      <xdr:col>3</xdr:col>
      <xdr:colOff>28575</xdr:colOff>
      <xdr:row>27</xdr:row>
      <xdr:rowOff>57150</xdr:rowOff>
    </xdr:to>
    <xdr:sp macro="" textlink="">
      <xdr:nvSpPr>
        <xdr:cNvPr id="42" name="Width"/>
        <xdr:cNvSpPr txBox="1">
          <a:spLocks noChangeArrowheads="1"/>
        </xdr:cNvSpPr>
      </xdr:nvSpPr>
      <xdr:spPr bwMode="auto">
        <a:xfrm>
          <a:off x="1731645" y="4594860"/>
          <a:ext cx="537210" cy="571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17.0</a:t>
          </a:r>
        </a:p>
      </xdr:txBody>
    </xdr:sp>
    <xdr:clientData/>
  </xdr:twoCellAnchor>
  <xdr:twoCellAnchor>
    <xdr:from>
      <xdr:col>2</xdr:col>
      <xdr:colOff>0</xdr:colOff>
      <xdr:row>27</xdr:row>
      <xdr:rowOff>45720</xdr:rowOff>
    </xdr:from>
    <xdr:to>
      <xdr:col>3</xdr:col>
      <xdr:colOff>419100</xdr:colOff>
      <xdr:row>31</xdr:row>
      <xdr:rowOff>213360</xdr:rowOff>
    </xdr:to>
    <xdr:grpSp>
      <xdr:nvGrpSpPr>
        <xdr:cNvPr id="43" name="Group 209"/>
        <xdr:cNvGrpSpPr>
          <a:grpSpLocks/>
        </xdr:cNvGrpSpPr>
      </xdr:nvGrpSpPr>
      <xdr:grpSpPr bwMode="auto">
        <a:xfrm>
          <a:off x="1162050" y="6284595"/>
          <a:ext cx="904875" cy="1082040"/>
          <a:chOff x="128" y="636"/>
          <a:chExt cx="99" cy="113"/>
        </a:xfrm>
      </xdr:grpSpPr>
      <xdr:sp macro="" textlink="">
        <xdr:nvSpPr>
          <xdr:cNvPr id="44" name="Line 162"/>
          <xdr:cNvSpPr>
            <a:spLocks noChangeShapeType="1"/>
          </xdr:cNvSpPr>
        </xdr:nvSpPr>
        <xdr:spPr bwMode="auto">
          <a:xfrm flipH="1">
            <a:off x="192" y="650"/>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163"/>
          <xdr:cNvSpPr>
            <a:spLocks noChangeShapeType="1"/>
          </xdr:cNvSpPr>
        </xdr:nvSpPr>
        <xdr:spPr bwMode="auto">
          <a:xfrm flipH="1">
            <a:off x="144" y="651"/>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164"/>
          <xdr:cNvSpPr>
            <a:spLocks noChangeShapeType="1"/>
          </xdr:cNvSpPr>
        </xdr:nvSpPr>
        <xdr:spPr bwMode="auto">
          <a:xfrm>
            <a:off x="193" y="650"/>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165"/>
          <xdr:cNvSpPr>
            <a:spLocks noChangeShapeType="1"/>
          </xdr:cNvSpPr>
        </xdr:nvSpPr>
        <xdr:spPr bwMode="auto">
          <a:xfrm>
            <a:off x="146"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166"/>
          <xdr:cNvSpPr>
            <a:spLocks noChangeShapeType="1"/>
          </xdr:cNvSpPr>
        </xdr:nvSpPr>
        <xdr:spPr bwMode="auto">
          <a:xfrm>
            <a:off x="140" y="723"/>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167"/>
          <xdr:cNvSpPr>
            <a:spLocks noChangeShapeType="1"/>
          </xdr:cNvSpPr>
        </xdr:nvSpPr>
        <xdr:spPr bwMode="auto">
          <a:xfrm flipH="1">
            <a:off x="200" y="728"/>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68"/>
          <xdr:cNvSpPr>
            <a:spLocks noChangeShapeType="1"/>
          </xdr:cNvSpPr>
        </xdr:nvSpPr>
        <xdr:spPr bwMode="auto">
          <a:xfrm>
            <a:off x="140"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169"/>
          <xdr:cNvSpPr>
            <a:spLocks noChangeShapeType="1"/>
          </xdr:cNvSpPr>
        </xdr:nvSpPr>
        <xdr:spPr bwMode="auto">
          <a:xfrm>
            <a:off x="192" y="72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170"/>
          <xdr:cNvSpPr>
            <a:spLocks noChangeShapeType="1"/>
          </xdr:cNvSpPr>
        </xdr:nvSpPr>
        <xdr:spPr bwMode="auto">
          <a:xfrm>
            <a:off x="147" y="730"/>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171"/>
          <xdr:cNvSpPr>
            <a:spLocks noChangeShapeType="1"/>
          </xdr:cNvSpPr>
        </xdr:nvSpPr>
        <xdr:spPr bwMode="auto">
          <a:xfrm>
            <a:off x="192" y="738"/>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172"/>
          <xdr:cNvSpPr>
            <a:spLocks noChangeShapeType="1"/>
          </xdr:cNvSpPr>
        </xdr:nvSpPr>
        <xdr:spPr bwMode="auto">
          <a:xfrm flipH="1">
            <a:off x="131" y="738"/>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173"/>
          <xdr:cNvSpPr>
            <a:spLocks noChangeShapeType="1"/>
          </xdr:cNvSpPr>
        </xdr:nvSpPr>
        <xdr:spPr bwMode="auto">
          <a:xfrm>
            <a:off x="200" y="652"/>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174"/>
          <xdr:cNvSpPr>
            <a:spLocks noChangeShapeType="1"/>
          </xdr:cNvSpPr>
        </xdr:nvSpPr>
        <xdr:spPr bwMode="auto">
          <a:xfrm flipV="1">
            <a:off x="210" y="653"/>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7" name="Line 175"/>
          <xdr:cNvSpPr>
            <a:spLocks noChangeShapeType="1"/>
          </xdr:cNvSpPr>
        </xdr:nvSpPr>
        <xdr:spPr bwMode="auto">
          <a:xfrm>
            <a:off x="210" y="707"/>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8" name="Line 176"/>
          <xdr:cNvSpPr>
            <a:spLocks noChangeShapeType="1"/>
          </xdr:cNvSpPr>
        </xdr:nvSpPr>
        <xdr:spPr bwMode="auto">
          <a:xfrm flipV="1">
            <a:off x="134" y="739"/>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59" name="Line 177"/>
          <xdr:cNvSpPr>
            <a:spLocks noChangeShapeType="1"/>
          </xdr:cNvSpPr>
        </xdr:nvSpPr>
        <xdr:spPr bwMode="auto">
          <a:xfrm>
            <a:off x="132" y="713"/>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0" name="Line 178"/>
          <xdr:cNvSpPr>
            <a:spLocks noChangeShapeType="1"/>
          </xdr:cNvSpPr>
        </xdr:nvSpPr>
        <xdr:spPr bwMode="auto">
          <a:xfrm>
            <a:off x="128" y="723"/>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179"/>
          <xdr:cNvSpPr>
            <a:spLocks noChangeShapeType="1"/>
          </xdr:cNvSpPr>
        </xdr:nvSpPr>
        <xdr:spPr bwMode="auto">
          <a:xfrm flipV="1">
            <a:off x="193" y="636"/>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180"/>
          <xdr:cNvSpPr>
            <a:spLocks noChangeShapeType="1"/>
          </xdr:cNvSpPr>
        </xdr:nvSpPr>
        <xdr:spPr bwMode="auto">
          <a:xfrm flipV="1">
            <a:off x="145" y="637"/>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181"/>
          <xdr:cNvSpPr>
            <a:spLocks noChangeShapeType="1"/>
          </xdr:cNvSpPr>
        </xdr:nvSpPr>
        <xdr:spPr bwMode="auto">
          <a:xfrm>
            <a:off x="154" y="642"/>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4" name="Line 182"/>
          <xdr:cNvSpPr>
            <a:spLocks noChangeShapeType="1"/>
          </xdr:cNvSpPr>
        </xdr:nvSpPr>
        <xdr:spPr bwMode="auto">
          <a:xfrm flipH="1">
            <a:off x="149" y="642"/>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5" name="Line 183"/>
          <xdr:cNvSpPr>
            <a:spLocks noChangeShapeType="1"/>
          </xdr:cNvSpPr>
        </xdr:nvSpPr>
        <xdr:spPr bwMode="auto">
          <a:xfrm>
            <a:off x="140" y="723"/>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184"/>
          <xdr:cNvSpPr>
            <a:spLocks noChangeShapeType="1"/>
          </xdr:cNvSpPr>
        </xdr:nvSpPr>
        <xdr:spPr bwMode="auto">
          <a:xfrm>
            <a:off x="192"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185"/>
          <xdr:cNvSpPr>
            <a:spLocks noChangeShapeType="1"/>
          </xdr:cNvSpPr>
        </xdr:nvSpPr>
        <xdr:spPr bwMode="auto">
          <a:xfrm flipV="1">
            <a:off x="200" y="721"/>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186"/>
          <xdr:cNvSpPr>
            <a:spLocks noChangeShapeType="1"/>
          </xdr:cNvSpPr>
        </xdr:nvSpPr>
        <xdr:spPr bwMode="auto">
          <a:xfrm>
            <a:off x="193" y="722"/>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171674</xdr:colOff>
      <xdr:row>42</xdr:row>
      <xdr:rowOff>66114</xdr:rowOff>
    </xdr:from>
    <xdr:to>
      <xdr:col>3</xdr:col>
      <xdr:colOff>487813</xdr:colOff>
      <xdr:row>42</xdr:row>
      <xdr:rowOff>191060</xdr:rowOff>
    </xdr:to>
    <xdr:sp macro="" textlink="">
      <xdr:nvSpPr>
        <xdr:cNvPr id="69" name="Radius"/>
        <xdr:cNvSpPr txBox="1">
          <a:spLocks noChangeArrowheads="1"/>
        </xdr:cNvSpPr>
      </xdr:nvSpPr>
      <xdr:spPr bwMode="auto">
        <a:xfrm>
          <a:off x="2411954" y="7175574"/>
          <a:ext cx="316139" cy="102086"/>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416.0</a:t>
          </a:r>
        </a:p>
      </xdr:txBody>
    </xdr:sp>
    <xdr:clientData/>
  </xdr:twoCellAnchor>
  <xdr:twoCellAnchor>
    <xdr:from>
      <xdr:col>3</xdr:col>
      <xdr:colOff>325756</xdr:colOff>
      <xdr:row>40</xdr:row>
      <xdr:rowOff>64247</xdr:rowOff>
    </xdr:from>
    <xdr:to>
      <xdr:col>3</xdr:col>
      <xdr:colOff>583747</xdr:colOff>
      <xdr:row>40</xdr:row>
      <xdr:rowOff>158376</xdr:rowOff>
    </xdr:to>
    <xdr:sp macro="" textlink="">
      <xdr:nvSpPr>
        <xdr:cNvPr id="70" name="Height"/>
        <xdr:cNvSpPr txBox="1">
          <a:spLocks noChangeArrowheads="1"/>
        </xdr:cNvSpPr>
      </xdr:nvSpPr>
      <xdr:spPr bwMode="auto">
        <a:xfrm>
          <a:off x="2566036" y="6838427"/>
          <a:ext cx="257991" cy="94129"/>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43.0</a:t>
          </a:r>
        </a:p>
      </xdr:txBody>
    </xdr:sp>
    <xdr:clientData/>
  </xdr:twoCellAnchor>
  <xdr:twoCellAnchor>
    <xdr:from>
      <xdr:col>2</xdr:col>
      <xdr:colOff>122928</xdr:colOff>
      <xdr:row>41</xdr:row>
      <xdr:rowOff>52107</xdr:rowOff>
    </xdr:from>
    <xdr:to>
      <xdr:col>2</xdr:col>
      <xdr:colOff>380103</xdr:colOff>
      <xdr:row>41</xdr:row>
      <xdr:rowOff>166407</xdr:rowOff>
    </xdr:to>
    <xdr:sp macro="" textlink="">
      <xdr:nvSpPr>
        <xdr:cNvPr id="71" name="Clear"/>
        <xdr:cNvSpPr txBox="1">
          <a:spLocks noChangeArrowheads="1"/>
        </xdr:cNvSpPr>
      </xdr:nvSpPr>
      <xdr:spPr bwMode="auto">
        <a:xfrm>
          <a:off x="1616448" y="6993927"/>
          <a:ext cx="257175"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50.5</a:t>
          </a:r>
        </a:p>
      </xdr:txBody>
    </xdr:sp>
    <xdr:clientData/>
  </xdr:twoCellAnchor>
  <xdr:twoCellAnchor>
    <xdr:from>
      <xdr:col>2</xdr:col>
      <xdr:colOff>410733</xdr:colOff>
      <xdr:row>41</xdr:row>
      <xdr:rowOff>169582</xdr:rowOff>
    </xdr:from>
    <xdr:to>
      <xdr:col>3</xdr:col>
      <xdr:colOff>183254</xdr:colOff>
      <xdr:row>42</xdr:row>
      <xdr:rowOff>45757</xdr:rowOff>
    </xdr:to>
    <xdr:sp macro="" textlink="">
      <xdr:nvSpPr>
        <xdr:cNvPr id="72" name="Thickness"/>
        <xdr:cNvSpPr txBox="1">
          <a:spLocks noChangeArrowheads="1"/>
        </xdr:cNvSpPr>
      </xdr:nvSpPr>
      <xdr:spPr bwMode="auto">
        <a:xfrm>
          <a:off x="1904253" y="7111402"/>
          <a:ext cx="519281" cy="4381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46.0</a:t>
          </a:r>
        </a:p>
      </xdr:txBody>
    </xdr:sp>
    <xdr:clientData/>
  </xdr:twoCellAnchor>
  <xdr:twoCellAnchor>
    <xdr:from>
      <xdr:col>9</xdr:col>
      <xdr:colOff>152400</xdr:colOff>
      <xdr:row>44</xdr:row>
      <xdr:rowOff>0</xdr:rowOff>
    </xdr:from>
    <xdr:to>
      <xdr:col>9</xdr:col>
      <xdr:colOff>358140</xdr:colOff>
      <xdr:row>44</xdr:row>
      <xdr:rowOff>0</xdr:rowOff>
    </xdr:to>
    <xdr:sp macro="" textlink="">
      <xdr:nvSpPr>
        <xdr:cNvPr id="73" name="Rectangle 210"/>
        <xdr:cNvSpPr>
          <a:spLocks noChangeArrowheads="1"/>
        </xdr:cNvSpPr>
      </xdr:nvSpPr>
      <xdr:spPr bwMode="auto">
        <a:xfrm>
          <a:off x="6873240" y="7444740"/>
          <a:ext cx="2057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15240</xdr:colOff>
      <xdr:row>44</xdr:row>
      <xdr:rowOff>0</xdr:rowOff>
    </xdr:from>
    <xdr:to>
      <xdr:col>9</xdr:col>
      <xdr:colOff>320040</xdr:colOff>
      <xdr:row>44</xdr:row>
      <xdr:rowOff>0</xdr:rowOff>
    </xdr:to>
    <xdr:sp macro="" textlink="">
      <xdr:nvSpPr>
        <xdr:cNvPr id="74" name="Rectangle 211"/>
        <xdr:cNvSpPr>
          <a:spLocks noChangeArrowheads="1"/>
        </xdr:cNvSpPr>
      </xdr:nvSpPr>
      <xdr:spPr bwMode="auto">
        <a:xfrm>
          <a:off x="6736080" y="7444740"/>
          <a:ext cx="3048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30480</xdr:colOff>
      <xdr:row>44</xdr:row>
      <xdr:rowOff>0</xdr:rowOff>
    </xdr:from>
    <xdr:to>
      <xdr:col>9</xdr:col>
      <xdr:colOff>335280</xdr:colOff>
      <xdr:row>44</xdr:row>
      <xdr:rowOff>0</xdr:rowOff>
    </xdr:to>
    <xdr:sp macro="" textlink="">
      <xdr:nvSpPr>
        <xdr:cNvPr id="75" name="Rectangle 212"/>
        <xdr:cNvSpPr>
          <a:spLocks noChangeArrowheads="1"/>
        </xdr:cNvSpPr>
      </xdr:nvSpPr>
      <xdr:spPr bwMode="auto">
        <a:xfrm>
          <a:off x="6751320" y="7444740"/>
          <a:ext cx="3048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403860</xdr:colOff>
      <xdr:row>44</xdr:row>
      <xdr:rowOff>0</xdr:rowOff>
    </xdr:to>
    <xdr:sp macro="" textlink="">
      <xdr:nvSpPr>
        <xdr:cNvPr id="76" name="Rectangle 213"/>
        <xdr:cNvSpPr>
          <a:spLocks noChangeArrowheads="1"/>
        </xdr:cNvSpPr>
      </xdr:nvSpPr>
      <xdr:spPr bwMode="auto">
        <a:xfrm>
          <a:off x="6720840" y="7444740"/>
          <a:ext cx="4038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137160</xdr:colOff>
      <xdr:row>44</xdr:row>
      <xdr:rowOff>0</xdr:rowOff>
    </xdr:from>
    <xdr:to>
      <xdr:col>9</xdr:col>
      <xdr:colOff>350520</xdr:colOff>
      <xdr:row>44</xdr:row>
      <xdr:rowOff>0</xdr:rowOff>
    </xdr:to>
    <xdr:sp macro="" textlink="">
      <xdr:nvSpPr>
        <xdr:cNvPr id="77" name="Rectangle 214"/>
        <xdr:cNvSpPr>
          <a:spLocks noChangeArrowheads="1"/>
        </xdr:cNvSpPr>
      </xdr:nvSpPr>
      <xdr:spPr bwMode="auto">
        <a:xfrm>
          <a:off x="6858000" y="744474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236220</xdr:colOff>
      <xdr:row>39</xdr:row>
      <xdr:rowOff>106680</xdr:rowOff>
    </xdr:from>
    <xdr:to>
      <xdr:col>3</xdr:col>
      <xdr:colOff>419100</xdr:colOff>
      <xdr:row>42</xdr:row>
      <xdr:rowOff>152400</xdr:rowOff>
    </xdr:to>
    <xdr:grpSp>
      <xdr:nvGrpSpPr>
        <xdr:cNvPr id="78" name="Group 104"/>
        <xdr:cNvGrpSpPr>
          <a:grpSpLocks/>
        </xdr:cNvGrpSpPr>
      </xdr:nvGrpSpPr>
      <xdr:grpSpPr bwMode="auto">
        <a:xfrm>
          <a:off x="1007745" y="9088755"/>
          <a:ext cx="1059180" cy="731520"/>
          <a:chOff x="921807" y="9129183"/>
          <a:chExt cx="1110192" cy="729192"/>
        </a:xfrm>
      </xdr:grpSpPr>
      <xdr:grpSp>
        <xdr:nvGrpSpPr>
          <xdr:cNvPr id="79" name="Group 112"/>
          <xdr:cNvGrpSpPr>
            <a:grpSpLocks/>
          </xdr:cNvGrpSpPr>
        </xdr:nvGrpSpPr>
        <xdr:grpSpPr bwMode="auto">
          <a:xfrm>
            <a:off x="921807" y="9129183"/>
            <a:ext cx="887941" cy="729192"/>
            <a:chOff x="13440000" y="15720000"/>
            <a:chExt cx="1904539" cy="1540000"/>
          </a:xfrm>
        </xdr:grpSpPr>
        <xdr:grpSp>
          <xdr:nvGrpSpPr>
            <xdr:cNvPr id="90" name="Group 113"/>
            <xdr:cNvGrpSpPr>
              <a:grpSpLocks/>
            </xdr:cNvGrpSpPr>
          </xdr:nvGrpSpPr>
          <xdr:grpSpPr bwMode="auto">
            <a:xfrm>
              <a:off x="13440000" y="15720000"/>
              <a:ext cx="1904539" cy="1540000"/>
              <a:chOff x="13440000" y="15720000"/>
              <a:chExt cx="1904539" cy="1540000"/>
            </a:xfrm>
          </xdr:grpSpPr>
          <xdr:sp macro="" textlink="">
            <xdr:nvSpPr>
              <xdr:cNvPr id="92" name="Line 114"/>
              <xdr:cNvSpPr>
                <a:spLocks noChangeShapeType="1"/>
              </xdr:cNvSpPr>
            </xdr:nvSpPr>
            <xdr:spPr bwMode="auto">
              <a:xfrm flipV="1">
                <a:off x="13440000" y="1572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115"/>
              <xdr:cNvSpPr>
                <a:spLocks noChangeShapeType="1"/>
              </xdr:cNvSpPr>
            </xdr:nvSpPr>
            <xdr:spPr bwMode="auto">
              <a:xfrm>
                <a:off x="14060000" y="15720000"/>
                <a:ext cx="0" cy="1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116"/>
              <xdr:cNvSpPr>
                <a:spLocks noChangeShapeType="1"/>
              </xdr:cNvSpPr>
            </xdr:nvSpPr>
            <xdr:spPr bwMode="auto">
              <a:xfrm flipV="1">
                <a:off x="14059999" y="15818346"/>
                <a:ext cx="1284540" cy="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117"/>
              <xdr:cNvSpPr>
                <a:spLocks noChangeShapeType="1"/>
              </xdr:cNvSpPr>
            </xdr:nvSpPr>
            <xdr:spPr bwMode="auto">
              <a:xfrm flipH="1">
                <a:off x="15340000" y="15820000"/>
                <a:ext cx="0" cy="82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118"/>
              <xdr:cNvSpPr>
                <a:spLocks noChangeShapeType="1"/>
              </xdr:cNvSpPr>
            </xdr:nvSpPr>
            <xdr:spPr bwMode="auto">
              <a:xfrm>
                <a:off x="14060000" y="16259998"/>
                <a:ext cx="644580" cy="745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119"/>
              <xdr:cNvSpPr>
                <a:spLocks noChangeShapeType="1"/>
              </xdr:cNvSpPr>
            </xdr:nvSpPr>
            <xdr:spPr bwMode="auto">
              <a:xfrm>
                <a:off x="14686237" y="15818346"/>
                <a:ext cx="13764" cy="82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91" name="Line 120"/>
            <xdr:cNvSpPr>
              <a:spLocks noChangeShapeType="1"/>
            </xdr:cNvSpPr>
          </xdr:nvSpPr>
          <xdr:spPr bwMode="auto">
            <a:xfrm flipH="1" flipV="1">
              <a:off x="14720000" y="1664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0" name="Group 106"/>
          <xdr:cNvGrpSpPr>
            <a:grpSpLocks/>
          </xdr:cNvGrpSpPr>
        </xdr:nvGrpSpPr>
        <xdr:grpSpPr bwMode="auto">
          <a:xfrm>
            <a:off x="1214967" y="9175750"/>
            <a:ext cx="817032" cy="597957"/>
            <a:chOff x="1214967" y="9175750"/>
            <a:chExt cx="817032" cy="597957"/>
          </a:xfrm>
        </xdr:grpSpPr>
        <xdr:sp macro="" textlink="">
          <xdr:nvSpPr>
            <xdr:cNvPr id="81" name="Line 121"/>
            <xdr:cNvSpPr>
              <a:spLocks noChangeShapeType="1"/>
            </xdr:cNvSpPr>
          </xdr:nvSpPr>
          <xdr:spPr bwMode="auto">
            <a:xfrm flipV="1">
              <a:off x="1214967" y="9479492"/>
              <a:ext cx="2762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grpSp>
          <xdr:nvGrpSpPr>
            <xdr:cNvPr id="82" name="Group 108"/>
            <xdr:cNvGrpSpPr>
              <a:grpSpLocks/>
            </xdr:cNvGrpSpPr>
          </xdr:nvGrpSpPr>
          <xdr:grpSpPr bwMode="auto">
            <a:xfrm>
              <a:off x="1500717" y="9175750"/>
              <a:ext cx="531282" cy="597957"/>
              <a:chOff x="1500717" y="9175750"/>
              <a:chExt cx="531282" cy="597957"/>
            </a:xfrm>
          </xdr:grpSpPr>
          <xdr:sp macro="" textlink="">
            <xdr:nvSpPr>
              <xdr:cNvPr id="83" name="Line 102"/>
              <xdr:cNvSpPr>
                <a:spLocks noChangeShapeType="1"/>
              </xdr:cNvSpPr>
            </xdr:nvSpPr>
            <xdr:spPr bwMode="auto">
              <a:xfrm flipH="1">
                <a:off x="1841499" y="95599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Line 103"/>
              <xdr:cNvSpPr>
                <a:spLocks noChangeShapeType="1"/>
              </xdr:cNvSpPr>
            </xdr:nvSpPr>
            <xdr:spPr bwMode="auto">
              <a:xfrm flipV="1">
                <a:off x="1500717" y="9584267"/>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5" name="Line 104"/>
              <xdr:cNvSpPr>
                <a:spLocks noChangeShapeType="1"/>
              </xdr:cNvSpPr>
            </xdr:nvSpPr>
            <xdr:spPr bwMode="auto">
              <a:xfrm flipV="1">
                <a:off x="1807633" y="9593792"/>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105"/>
              <xdr:cNvSpPr>
                <a:spLocks noChangeShapeType="1"/>
              </xdr:cNvSpPr>
            </xdr:nvSpPr>
            <xdr:spPr bwMode="auto">
              <a:xfrm flipV="1">
                <a:off x="1510242" y="9630833"/>
                <a:ext cx="287866"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87" name="Line 106"/>
              <xdr:cNvSpPr>
                <a:spLocks noChangeShapeType="1"/>
              </xdr:cNvSpPr>
            </xdr:nvSpPr>
            <xdr:spPr bwMode="auto">
              <a:xfrm flipV="1">
                <a:off x="1940982" y="9572624"/>
                <a:ext cx="1059" cy="20108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88" name="Line 107"/>
              <xdr:cNvSpPr>
                <a:spLocks noChangeShapeType="1"/>
              </xdr:cNvSpPr>
            </xdr:nvSpPr>
            <xdr:spPr bwMode="auto">
              <a:xfrm flipV="1">
                <a:off x="1942041" y="9191624"/>
                <a:ext cx="5292" cy="352426"/>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89" name="Line 102"/>
              <xdr:cNvSpPr>
                <a:spLocks noChangeShapeType="1"/>
              </xdr:cNvSpPr>
            </xdr:nvSpPr>
            <xdr:spPr bwMode="auto">
              <a:xfrm flipH="1">
                <a:off x="1825625" y="9175750"/>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clientData/>
  </xdr:twoCellAnchor>
  <xdr:twoCellAnchor>
    <xdr:from>
      <xdr:col>6</xdr:col>
      <xdr:colOff>11430</xdr:colOff>
      <xdr:row>52</xdr:row>
      <xdr:rowOff>144780</xdr:rowOff>
    </xdr:from>
    <xdr:to>
      <xdr:col>6</xdr:col>
      <xdr:colOff>306705</xdr:colOff>
      <xdr:row>53</xdr:row>
      <xdr:rowOff>47798</xdr:rowOff>
    </xdr:to>
    <xdr:sp macro="" textlink="">
      <xdr:nvSpPr>
        <xdr:cNvPr id="98" name="Radius"/>
        <xdr:cNvSpPr txBox="1">
          <a:spLocks noChangeArrowheads="1"/>
        </xdr:cNvSpPr>
      </xdr:nvSpPr>
      <xdr:spPr bwMode="auto">
        <a:xfrm>
          <a:off x="4491990" y="9022080"/>
          <a:ext cx="295275" cy="93518"/>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5</xdr:col>
      <xdr:colOff>354330</xdr:colOff>
      <xdr:row>52</xdr:row>
      <xdr:rowOff>11430</xdr:rowOff>
    </xdr:from>
    <xdr:to>
      <xdr:col>6</xdr:col>
      <xdr:colOff>49530</xdr:colOff>
      <xdr:row>52</xdr:row>
      <xdr:rowOff>116205</xdr:rowOff>
    </xdr:to>
    <xdr:sp macro="" textlink="">
      <xdr:nvSpPr>
        <xdr:cNvPr id="99" name="Thickness"/>
        <xdr:cNvSpPr txBox="1">
          <a:spLocks noChangeArrowheads="1"/>
        </xdr:cNvSpPr>
      </xdr:nvSpPr>
      <xdr:spPr bwMode="auto">
        <a:xfrm>
          <a:off x="4088130" y="8888730"/>
          <a:ext cx="44196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6</xdr:col>
      <xdr:colOff>11430</xdr:colOff>
      <xdr:row>52</xdr:row>
      <xdr:rowOff>144780</xdr:rowOff>
    </xdr:from>
    <xdr:to>
      <xdr:col>6</xdr:col>
      <xdr:colOff>306705</xdr:colOff>
      <xdr:row>53</xdr:row>
      <xdr:rowOff>47798</xdr:rowOff>
    </xdr:to>
    <xdr:sp macro="" textlink="">
      <xdr:nvSpPr>
        <xdr:cNvPr id="100" name="Radius"/>
        <xdr:cNvSpPr txBox="1">
          <a:spLocks noChangeArrowheads="1"/>
        </xdr:cNvSpPr>
      </xdr:nvSpPr>
      <xdr:spPr bwMode="auto">
        <a:xfrm>
          <a:off x="4491990" y="9022080"/>
          <a:ext cx="295275" cy="93518"/>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5</xdr:col>
      <xdr:colOff>354330</xdr:colOff>
      <xdr:row>52</xdr:row>
      <xdr:rowOff>11430</xdr:rowOff>
    </xdr:from>
    <xdr:to>
      <xdr:col>6</xdr:col>
      <xdr:colOff>49530</xdr:colOff>
      <xdr:row>52</xdr:row>
      <xdr:rowOff>116205</xdr:rowOff>
    </xdr:to>
    <xdr:sp macro="" textlink="">
      <xdr:nvSpPr>
        <xdr:cNvPr id="101" name="Thickness"/>
        <xdr:cNvSpPr txBox="1">
          <a:spLocks noChangeArrowheads="1"/>
        </xdr:cNvSpPr>
      </xdr:nvSpPr>
      <xdr:spPr bwMode="auto">
        <a:xfrm>
          <a:off x="4088130" y="8888730"/>
          <a:ext cx="44196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6</xdr:col>
      <xdr:colOff>11430</xdr:colOff>
      <xdr:row>52</xdr:row>
      <xdr:rowOff>144780</xdr:rowOff>
    </xdr:from>
    <xdr:to>
      <xdr:col>6</xdr:col>
      <xdr:colOff>306705</xdr:colOff>
      <xdr:row>53</xdr:row>
      <xdr:rowOff>47798</xdr:rowOff>
    </xdr:to>
    <xdr:sp macro="" textlink="">
      <xdr:nvSpPr>
        <xdr:cNvPr id="102" name="Radius"/>
        <xdr:cNvSpPr txBox="1">
          <a:spLocks noChangeArrowheads="1"/>
        </xdr:cNvSpPr>
      </xdr:nvSpPr>
      <xdr:spPr bwMode="auto">
        <a:xfrm>
          <a:off x="4491990" y="9022080"/>
          <a:ext cx="295275" cy="93518"/>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5</xdr:col>
      <xdr:colOff>354330</xdr:colOff>
      <xdr:row>52</xdr:row>
      <xdr:rowOff>11430</xdr:rowOff>
    </xdr:from>
    <xdr:to>
      <xdr:col>6</xdr:col>
      <xdr:colOff>49530</xdr:colOff>
      <xdr:row>52</xdr:row>
      <xdr:rowOff>116205</xdr:rowOff>
    </xdr:to>
    <xdr:sp macro="" textlink="">
      <xdr:nvSpPr>
        <xdr:cNvPr id="103" name="Thickness"/>
        <xdr:cNvSpPr txBox="1">
          <a:spLocks noChangeArrowheads="1"/>
        </xdr:cNvSpPr>
      </xdr:nvSpPr>
      <xdr:spPr bwMode="auto">
        <a:xfrm>
          <a:off x="4088130" y="8888730"/>
          <a:ext cx="44196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endParaRPr lang="en-US" sz="600" b="1" i="0" u="none" strike="noStrike" baseline="0">
            <a:solidFill>
              <a:srgbClr val="000000"/>
            </a:solidFill>
            <a:latin typeface="Univers (W1)"/>
          </a:endParaRPr>
        </a:p>
      </xdr:txBody>
    </xdr:sp>
    <xdr:clientData/>
  </xdr:twoCellAnchor>
  <xdr:twoCellAnchor>
    <xdr:from>
      <xdr:col>6</xdr:col>
      <xdr:colOff>15240</xdr:colOff>
      <xdr:row>52</xdr:row>
      <xdr:rowOff>144780</xdr:rowOff>
    </xdr:from>
    <xdr:to>
      <xdr:col>6</xdr:col>
      <xdr:colOff>297180</xdr:colOff>
      <xdr:row>53</xdr:row>
      <xdr:rowOff>45720</xdr:rowOff>
    </xdr:to>
    <xdr:sp macro="" textlink="">
      <xdr:nvSpPr>
        <xdr:cNvPr id="104" name="Radius"/>
        <xdr:cNvSpPr txBox="1">
          <a:spLocks noChangeArrowheads="1"/>
        </xdr:cNvSpPr>
      </xdr:nvSpPr>
      <xdr:spPr bwMode="auto">
        <a:xfrm>
          <a:off x="4495800" y="9022080"/>
          <a:ext cx="281940" cy="9144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5</xdr:col>
      <xdr:colOff>342900</xdr:colOff>
      <xdr:row>52</xdr:row>
      <xdr:rowOff>15240</xdr:rowOff>
    </xdr:from>
    <xdr:to>
      <xdr:col>6</xdr:col>
      <xdr:colOff>45720</xdr:colOff>
      <xdr:row>52</xdr:row>
      <xdr:rowOff>114300</xdr:rowOff>
    </xdr:to>
    <xdr:sp macro="" textlink="">
      <xdr:nvSpPr>
        <xdr:cNvPr id="105" name="Thickness"/>
        <xdr:cNvSpPr txBox="1">
          <a:spLocks noChangeArrowheads="1"/>
        </xdr:cNvSpPr>
      </xdr:nvSpPr>
      <xdr:spPr bwMode="auto">
        <a:xfrm>
          <a:off x="4076700" y="8892540"/>
          <a:ext cx="449580" cy="9906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6</xdr:col>
      <xdr:colOff>373380</xdr:colOff>
      <xdr:row>52</xdr:row>
      <xdr:rowOff>129540</xdr:rowOff>
    </xdr:from>
    <xdr:to>
      <xdr:col>6</xdr:col>
      <xdr:colOff>495300</xdr:colOff>
      <xdr:row>53</xdr:row>
      <xdr:rowOff>0</xdr:rowOff>
    </xdr:to>
    <xdr:sp macro="" textlink="">
      <xdr:nvSpPr>
        <xdr:cNvPr id="106" name="Text 583"/>
        <xdr:cNvSpPr txBox="1">
          <a:spLocks noChangeArrowheads="1"/>
        </xdr:cNvSpPr>
      </xdr:nvSpPr>
      <xdr:spPr bwMode="auto">
        <a:xfrm>
          <a:off x="4853940" y="9006840"/>
          <a:ext cx="121920" cy="6096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680085</xdr:colOff>
      <xdr:row>28</xdr:row>
      <xdr:rowOff>190500</xdr:rowOff>
    </xdr:from>
    <xdr:to>
      <xdr:col>4</xdr:col>
      <xdr:colOff>706858</xdr:colOff>
      <xdr:row>29</xdr:row>
      <xdr:rowOff>123825</xdr:rowOff>
    </xdr:to>
    <xdr:sp macro="" textlink="">
      <xdr:nvSpPr>
        <xdr:cNvPr id="107" name="Text 219"/>
        <xdr:cNvSpPr txBox="1">
          <a:spLocks noChangeArrowheads="1"/>
        </xdr:cNvSpPr>
      </xdr:nvSpPr>
      <xdr:spPr bwMode="auto">
        <a:xfrm>
          <a:off x="2920365" y="4930140"/>
          <a:ext cx="773533" cy="1238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311-</a:t>
          </a:r>
        </a:p>
      </xdr:txBody>
    </xdr:sp>
    <xdr:clientData/>
  </xdr:twoCellAnchor>
  <xdr:twoCellAnchor>
    <xdr:from>
      <xdr:col>3</xdr:col>
      <xdr:colOff>680085</xdr:colOff>
      <xdr:row>34</xdr:row>
      <xdr:rowOff>200025</xdr:rowOff>
    </xdr:from>
    <xdr:to>
      <xdr:col>4</xdr:col>
      <xdr:colOff>706858</xdr:colOff>
      <xdr:row>35</xdr:row>
      <xdr:rowOff>133350</xdr:rowOff>
    </xdr:to>
    <xdr:sp macro="" textlink="">
      <xdr:nvSpPr>
        <xdr:cNvPr id="108" name="Text 219"/>
        <xdr:cNvSpPr txBox="1">
          <a:spLocks noChangeArrowheads="1"/>
        </xdr:cNvSpPr>
      </xdr:nvSpPr>
      <xdr:spPr bwMode="auto">
        <a:xfrm>
          <a:off x="2920365" y="5937885"/>
          <a:ext cx="773533" cy="13144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a:t>
          </a:r>
        </a:p>
      </xdr:txBody>
    </xdr:sp>
    <xdr:clientData/>
  </xdr:twoCellAnchor>
  <xdr:twoCellAnchor>
    <xdr:from>
      <xdr:col>3</xdr:col>
      <xdr:colOff>680085</xdr:colOff>
      <xdr:row>40</xdr:row>
      <xdr:rowOff>142875</xdr:rowOff>
    </xdr:from>
    <xdr:to>
      <xdr:col>4</xdr:col>
      <xdr:colOff>706858</xdr:colOff>
      <xdr:row>41</xdr:row>
      <xdr:rowOff>76200</xdr:rowOff>
    </xdr:to>
    <xdr:sp macro="" textlink="">
      <xdr:nvSpPr>
        <xdr:cNvPr id="109" name="Text 219"/>
        <xdr:cNvSpPr txBox="1">
          <a:spLocks noChangeArrowheads="1"/>
        </xdr:cNvSpPr>
      </xdr:nvSpPr>
      <xdr:spPr bwMode="auto">
        <a:xfrm>
          <a:off x="2920365" y="6917055"/>
          <a:ext cx="773533" cy="10096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051-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822960</xdr:colOff>
      <xdr:row>15</xdr:row>
      <xdr:rowOff>160020</xdr:rowOff>
    </xdr:from>
    <xdr:to>
      <xdr:col>5</xdr:col>
      <xdr:colOff>670560</xdr:colOff>
      <xdr:row>36</xdr:row>
      <xdr:rowOff>167640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320040</xdr:colOff>
      <xdr:row>11</xdr:row>
      <xdr:rowOff>0</xdr:rowOff>
    </xdr:from>
    <xdr:to>
      <xdr:col>5</xdr:col>
      <xdr:colOff>609600</xdr:colOff>
      <xdr:row>38</xdr:row>
      <xdr:rowOff>7620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0.63871</cdr:x>
      <cdr:y>0.65025</cdr:y>
    </cdr:from>
    <cdr:to>
      <cdr:x>0.878</cdr:x>
      <cdr:y>0.67094</cdr:y>
    </cdr:to>
    <cdr:sp macro="" textlink="">
      <cdr:nvSpPr>
        <cdr:cNvPr id="5133" name="Hot Stall"/>
        <cdr:cNvSpPr txBox="1">
          <a:spLocks xmlns:a="http://schemas.openxmlformats.org/drawingml/2006/main" noChangeArrowheads="1"/>
        </cdr:cNvSpPr>
      </cdr:nvSpPr>
      <cdr:spPr bwMode="auto">
        <a:xfrm xmlns:a="http://schemas.openxmlformats.org/drawingml/2006/main">
          <a:off x="3754727" y="4191482"/>
          <a:ext cx="1381590" cy="13341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0.63871</cdr:x>
      <cdr:y>0.54409</cdr:y>
    </cdr:from>
    <cdr:to>
      <cdr:x>0.92546</cdr:x>
      <cdr:y>0.56946</cdr:y>
    </cdr:to>
    <cdr:sp macro="" textlink="">
      <cdr:nvSpPr>
        <cdr:cNvPr id="5134" name="Cold Stall"/>
        <cdr:cNvSpPr txBox="1">
          <a:spLocks xmlns:a="http://schemas.openxmlformats.org/drawingml/2006/main" noChangeArrowheads="1"/>
        </cdr:cNvSpPr>
      </cdr:nvSpPr>
      <cdr:spPr bwMode="auto">
        <a:xfrm xmlns:a="http://schemas.openxmlformats.org/drawingml/2006/main">
          <a:off x="3754727" y="3510104"/>
          <a:ext cx="1656755" cy="16200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0.29342</cdr:x>
      <cdr:y>0.36133</cdr:y>
    </cdr:from>
    <cdr:to>
      <cdr:x>0.62247</cdr:x>
      <cdr:y>0.38867</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0.62223</cdr:x>
      <cdr:y>0.19335</cdr:y>
    </cdr:from>
    <cdr:to>
      <cdr:x>0.95202</cdr:x>
      <cdr:y>0.22217</cdr:y>
    </cdr:to>
    <cdr:sp macro="" textlink="">
      <cdr:nvSpPr>
        <cdr:cNvPr id="5137" name="Load Type"/>
        <cdr:cNvSpPr txBox="1">
          <a:spLocks xmlns:a="http://schemas.openxmlformats.org/drawingml/2006/main" noChangeArrowheads="1"/>
        </cdr:cNvSpPr>
      </cdr:nvSpPr>
      <cdr:spPr bwMode="auto">
        <a:xfrm xmlns:a="http://schemas.openxmlformats.org/drawingml/2006/main">
          <a:off x="3659644" y="1262668"/>
          <a:ext cx="1904547" cy="18106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342900</xdr:colOff>
      <xdr:row>16</xdr:row>
      <xdr:rowOff>15240</xdr:rowOff>
    </xdr:from>
    <xdr:to>
      <xdr:col>5</xdr:col>
      <xdr:colOff>929640</xdr:colOff>
      <xdr:row>37</xdr:row>
      <xdr:rowOff>45720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578534</xdr:colOff>
      <xdr:row>16</xdr:row>
      <xdr:rowOff>83821</xdr:rowOff>
    </xdr:from>
    <xdr:to>
      <xdr:col>0</xdr:col>
      <xdr:colOff>1135380</xdr:colOff>
      <xdr:row>17</xdr:row>
      <xdr:rowOff>28576</xdr:rowOff>
    </xdr:to>
    <xdr:sp macro="" textlink="">
      <xdr:nvSpPr>
        <xdr:cNvPr id="3" name="RPM11"/>
        <xdr:cNvSpPr txBox="1">
          <a:spLocks noChangeArrowheads="1"/>
        </xdr:cNvSpPr>
      </xdr:nvSpPr>
      <xdr:spPr bwMode="auto">
        <a:xfrm>
          <a:off x="578534" y="395478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1800</a:t>
          </a:r>
        </a:p>
      </xdr:txBody>
    </xdr:sp>
    <xdr:clientData/>
  </xdr:twoCellAnchor>
  <xdr:twoCellAnchor>
    <xdr:from>
      <xdr:col>0</xdr:col>
      <xdr:colOff>563294</xdr:colOff>
      <xdr:row>18</xdr:row>
      <xdr:rowOff>30481</xdr:rowOff>
    </xdr:from>
    <xdr:to>
      <xdr:col>0</xdr:col>
      <xdr:colOff>1120140</xdr:colOff>
      <xdr:row>18</xdr:row>
      <xdr:rowOff>211456</xdr:rowOff>
    </xdr:to>
    <xdr:sp macro="" textlink="">
      <xdr:nvSpPr>
        <xdr:cNvPr id="4" name="RPM10"/>
        <xdr:cNvSpPr txBox="1">
          <a:spLocks noChangeArrowheads="1"/>
        </xdr:cNvSpPr>
      </xdr:nvSpPr>
      <xdr:spPr bwMode="auto">
        <a:xfrm>
          <a:off x="563294" y="437388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1798</a:t>
          </a:r>
        </a:p>
      </xdr:txBody>
    </xdr:sp>
    <xdr:clientData/>
  </xdr:twoCellAnchor>
  <xdr:twoCellAnchor>
    <xdr:from>
      <xdr:col>0</xdr:col>
      <xdr:colOff>555674</xdr:colOff>
      <xdr:row>19</xdr:row>
      <xdr:rowOff>198121</xdr:rowOff>
    </xdr:from>
    <xdr:to>
      <xdr:col>0</xdr:col>
      <xdr:colOff>1112520</xdr:colOff>
      <xdr:row>20</xdr:row>
      <xdr:rowOff>142876</xdr:rowOff>
    </xdr:to>
    <xdr:sp macro="" textlink="">
      <xdr:nvSpPr>
        <xdr:cNvPr id="5" name="RPM9"/>
        <xdr:cNvSpPr txBox="1">
          <a:spLocks noChangeArrowheads="1"/>
        </xdr:cNvSpPr>
      </xdr:nvSpPr>
      <xdr:spPr bwMode="auto">
        <a:xfrm>
          <a:off x="555674" y="477774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1796</a:t>
          </a:r>
        </a:p>
      </xdr:txBody>
    </xdr:sp>
    <xdr:clientData/>
  </xdr:twoCellAnchor>
  <xdr:twoCellAnchor>
    <xdr:from>
      <xdr:col>0</xdr:col>
      <xdr:colOff>555674</xdr:colOff>
      <xdr:row>21</xdr:row>
      <xdr:rowOff>129541</xdr:rowOff>
    </xdr:from>
    <xdr:to>
      <xdr:col>0</xdr:col>
      <xdr:colOff>1112520</xdr:colOff>
      <xdr:row>22</xdr:row>
      <xdr:rowOff>74296</xdr:rowOff>
    </xdr:to>
    <xdr:sp macro="" textlink="">
      <xdr:nvSpPr>
        <xdr:cNvPr id="6" name="RPM8"/>
        <xdr:cNvSpPr txBox="1">
          <a:spLocks noChangeArrowheads="1"/>
        </xdr:cNvSpPr>
      </xdr:nvSpPr>
      <xdr:spPr bwMode="auto">
        <a:xfrm>
          <a:off x="555674" y="518160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1794</a:t>
          </a:r>
        </a:p>
      </xdr:txBody>
    </xdr:sp>
    <xdr:clientData/>
  </xdr:twoCellAnchor>
  <xdr:twoCellAnchor>
    <xdr:from>
      <xdr:col>0</xdr:col>
      <xdr:colOff>563294</xdr:colOff>
      <xdr:row>23</xdr:row>
      <xdr:rowOff>68580</xdr:rowOff>
    </xdr:from>
    <xdr:to>
      <xdr:col>0</xdr:col>
      <xdr:colOff>1120140</xdr:colOff>
      <xdr:row>24</xdr:row>
      <xdr:rowOff>6096</xdr:rowOff>
    </xdr:to>
    <xdr:sp macro="" textlink="">
      <xdr:nvSpPr>
        <xdr:cNvPr id="7" name="RPM7"/>
        <xdr:cNvSpPr txBox="1">
          <a:spLocks noChangeArrowheads="1"/>
        </xdr:cNvSpPr>
      </xdr:nvSpPr>
      <xdr:spPr bwMode="auto">
        <a:xfrm>
          <a:off x="563294" y="5593080"/>
          <a:ext cx="55684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1792</a:t>
          </a:r>
        </a:p>
      </xdr:txBody>
    </xdr:sp>
    <xdr:clientData/>
  </xdr:twoCellAnchor>
  <xdr:twoCellAnchor>
    <xdr:from>
      <xdr:col>0</xdr:col>
      <xdr:colOff>563294</xdr:colOff>
      <xdr:row>25</xdr:row>
      <xdr:rowOff>1</xdr:rowOff>
    </xdr:from>
    <xdr:to>
      <xdr:col>0</xdr:col>
      <xdr:colOff>1120140</xdr:colOff>
      <xdr:row>25</xdr:row>
      <xdr:rowOff>180976</xdr:rowOff>
    </xdr:to>
    <xdr:sp macro="" textlink="">
      <xdr:nvSpPr>
        <xdr:cNvPr id="8" name="RPM6"/>
        <xdr:cNvSpPr txBox="1">
          <a:spLocks noChangeArrowheads="1"/>
        </xdr:cNvSpPr>
      </xdr:nvSpPr>
      <xdr:spPr bwMode="auto">
        <a:xfrm>
          <a:off x="563294" y="599694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1790</a:t>
          </a:r>
        </a:p>
      </xdr:txBody>
    </xdr:sp>
    <xdr:clientData/>
  </xdr:twoCellAnchor>
  <xdr:twoCellAnchor>
    <xdr:from>
      <xdr:col>0</xdr:col>
      <xdr:colOff>555674</xdr:colOff>
      <xdr:row>26</xdr:row>
      <xdr:rowOff>167641</xdr:rowOff>
    </xdr:from>
    <xdr:to>
      <xdr:col>0</xdr:col>
      <xdr:colOff>1112520</xdr:colOff>
      <xdr:row>27</xdr:row>
      <xdr:rowOff>112396</xdr:rowOff>
    </xdr:to>
    <xdr:sp macro="" textlink="">
      <xdr:nvSpPr>
        <xdr:cNvPr id="9" name="RPM5"/>
        <xdr:cNvSpPr txBox="1">
          <a:spLocks noChangeArrowheads="1"/>
        </xdr:cNvSpPr>
      </xdr:nvSpPr>
      <xdr:spPr bwMode="auto">
        <a:xfrm>
          <a:off x="555674" y="640080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1788</a:t>
          </a:r>
        </a:p>
      </xdr:txBody>
    </xdr:sp>
    <xdr:clientData/>
  </xdr:twoCellAnchor>
  <xdr:twoCellAnchor>
    <xdr:from>
      <xdr:col>0</xdr:col>
      <xdr:colOff>548054</xdr:colOff>
      <xdr:row>28</xdr:row>
      <xdr:rowOff>106681</xdr:rowOff>
    </xdr:from>
    <xdr:to>
      <xdr:col>0</xdr:col>
      <xdr:colOff>1104900</xdr:colOff>
      <xdr:row>29</xdr:row>
      <xdr:rowOff>51436</xdr:rowOff>
    </xdr:to>
    <xdr:sp macro="" textlink="">
      <xdr:nvSpPr>
        <xdr:cNvPr id="10" name="RPM4"/>
        <xdr:cNvSpPr txBox="1">
          <a:spLocks noChangeArrowheads="1"/>
        </xdr:cNvSpPr>
      </xdr:nvSpPr>
      <xdr:spPr bwMode="auto">
        <a:xfrm>
          <a:off x="548054" y="681228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1786</a:t>
          </a:r>
        </a:p>
      </xdr:txBody>
    </xdr:sp>
    <xdr:clientData/>
  </xdr:twoCellAnchor>
  <xdr:twoCellAnchor>
    <xdr:from>
      <xdr:col>0</xdr:col>
      <xdr:colOff>548054</xdr:colOff>
      <xdr:row>30</xdr:row>
      <xdr:rowOff>45721</xdr:rowOff>
    </xdr:from>
    <xdr:to>
      <xdr:col>0</xdr:col>
      <xdr:colOff>1104900</xdr:colOff>
      <xdr:row>30</xdr:row>
      <xdr:rowOff>226696</xdr:rowOff>
    </xdr:to>
    <xdr:sp macro="" textlink="">
      <xdr:nvSpPr>
        <xdr:cNvPr id="11" name="RPM3"/>
        <xdr:cNvSpPr txBox="1">
          <a:spLocks noChangeArrowheads="1"/>
        </xdr:cNvSpPr>
      </xdr:nvSpPr>
      <xdr:spPr bwMode="auto">
        <a:xfrm>
          <a:off x="548054" y="722376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1784</a:t>
          </a:r>
        </a:p>
      </xdr:txBody>
    </xdr:sp>
    <xdr:clientData/>
  </xdr:twoCellAnchor>
  <xdr:twoCellAnchor>
    <xdr:from>
      <xdr:col>0</xdr:col>
      <xdr:colOff>548054</xdr:colOff>
      <xdr:row>31</xdr:row>
      <xdr:rowOff>220980</xdr:rowOff>
    </xdr:from>
    <xdr:to>
      <xdr:col>0</xdr:col>
      <xdr:colOff>1104900</xdr:colOff>
      <xdr:row>32</xdr:row>
      <xdr:rowOff>158496</xdr:rowOff>
    </xdr:to>
    <xdr:sp macro="" textlink="">
      <xdr:nvSpPr>
        <xdr:cNvPr id="12" name="RPM2"/>
        <xdr:cNvSpPr txBox="1">
          <a:spLocks noChangeArrowheads="1"/>
        </xdr:cNvSpPr>
      </xdr:nvSpPr>
      <xdr:spPr bwMode="auto">
        <a:xfrm>
          <a:off x="548054" y="7635240"/>
          <a:ext cx="55684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1782</a:t>
          </a:r>
        </a:p>
      </xdr:txBody>
    </xdr:sp>
    <xdr:clientData/>
  </xdr:twoCellAnchor>
  <xdr:twoCellAnchor>
    <xdr:from>
      <xdr:col>0</xdr:col>
      <xdr:colOff>555674</xdr:colOff>
      <xdr:row>33</xdr:row>
      <xdr:rowOff>152401</xdr:rowOff>
    </xdr:from>
    <xdr:to>
      <xdr:col>0</xdr:col>
      <xdr:colOff>1112520</xdr:colOff>
      <xdr:row>34</xdr:row>
      <xdr:rowOff>97156</xdr:rowOff>
    </xdr:to>
    <xdr:sp macro="" textlink="">
      <xdr:nvSpPr>
        <xdr:cNvPr id="13" name="RPM1"/>
        <xdr:cNvSpPr txBox="1">
          <a:spLocks noChangeArrowheads="1"/>
        </xdr:cNvSpPr>
      </xdr:nvSpPr>
      <xdr:spPr bwMode="auto">
        <a:xfrm>
          <a:off x="555674" y="803910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1780</a:t>
          </a:r>
        </a:p>
      </xdr:txBody>
    </xdr:sp>
    <xdr:clientData/>
  </xdr:twoCellAnchor>
  <xdr:twoCellAnchor>
    <xdr:from>
      <xdr:col>0</xdr:col>
      <xdr:colOff>220980</xdr:colOff>
      <xdr:row>24</xdr:row>
      <xdr:rowOff>116205</xdr:rowOff>
    </xdr:from>
    <xdr:to>
      <xdr:col>0</xdr:col>
      <xdr:colOff>434340</xdr:colOff>
      <xdr:row>26</xdr:row>
      <xdr:rowOff>215265</xdr:rowOff>
    </xdr:to>
    <xdr:sp macro="" textlink="">
      <xdr:nvSpPr>
        <xdr:cNvPr id="14" name="RPM"/>
        <xdr:cNvSpPr txBox="1">
          <a:spLocks noChangeArrowheads="1"/>
        </xdr:cNvSpPr>
      </xdr:nvSpPr>
      <xdr:spPr bwMode="auto">
        <a:xfrm>
          <a:off x="220980" y="5876925"/>
          <a:ext cx="213360" cy="571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358140</xdr:colOff>
      <xdr:row>16</xdr:row>
      <xdr:rowOff>83821</xdr:rowOff>
    </xdr:from>
    <xdr:to>
      <xdr:col>5</xdr:col>
      <xdr:colOff>876300</xdr:colOff>
      <xdr:row>17</xdr:row>
      <xdr:rowOff>28576</xdr:rowOff>
    </xdr:to>
    <xdr:sp macro="" textlink="">
      <xdr:nvSpPr>
        <xdr:cNvPr id="15" name="Watts11"/>
        <xdr:cNvSpPr txBox="1">
          <a:spLocks noChangeArrowheads="1"/>
        </xdr:cNvSpPr>
      </xdr:nvSpPr>
      <xdr:spPr bwMode="auto">
        <a:xfrm>
          <a:off x="6073140" y="3954781"/>
          <a:ext cx="518160"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1800</a:t>
          </a:r>
        </a:p>
      </xdr:txBody>
    </xdr:sp>
    <xdr:clientData/>
  </xdr:twoCellAnchor>
  <xdr:twoCellAnchor>
    <xdr:from>
      <xdr:col>5</xdr:col>
      <xdr:colOff>388620</xdr:colOff>
      <xdr:row>25</xdr:row>
      <xdr:rowOff>0</xdr:rowOff>
    </xdr:from>
    <xdr:to>
      <xdr:col>5</xdr:col>
      <xdr:colOff>870048</xdr:colOff>
      <xdr:row>25</xdr:row>
      <xdr:rowOff>188214</xdr:rowOff>
    </xdr:to>
    <xdr:sp macro="" textlink="">
      <xdr:nvSpPr>
        <xdr:cNvPr id="16" name="Watts6"/>
        <xdr:cNvSpPr txBox="1">
          <a:spLocks noChangeArrowheads="1"/>
        </xdr:cNvSpPr>
      </xdr:nvSpPr>
      <xdr:spPr bwMode="auto">
        <a:xfrm>
          <a:off x="6103620" y="5996940"/>
          <a:ext cx="481428" cy="188214"/>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900</a:t>
          </a:r>
        </a:p>
      </xdr:txBody>
    </xdr:sp>
    <xdr:clientData/>
  </xdr:twoCellAnchor>
  <xdr:twoCellAnchor>
    <xdr:from>
      <xdr:col>5</xdr:col>
      <xdr:colOff>381000</xdr:colOff>
      <xdr:row>26</xdr:row>
      <xdr:rowOff>182880</xdr:rowOff>
    </xdr:from>
    <xdr:to>
      <xdr:col>5</xdr:col>
      <xdr:colOff>810846</xdr:colOff>
      <xdr:row>27</xdr:row>
      <xdr:rowOff>120396</xdr:rowOff>
    </xdr:to>
    <xdr:sp macro="" textlink="">
      <xdr:nvSpPr>
        <xdr:cNvPr id="17" name="Watts5"/>
        <xdr:cNvSpPr txBox="1">
          <a:spLocks noChangeArrowheads="1"/>
        </xdr:cNvSpPr>
      </xdr:nvSpPr>
      <xdr:spPr bwMode="auto">
        <a:xfrm>
          <a:off x="6096000" y="6416040"/>
          <a:ext cx="42984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720</a:t>
          </a:r>
        </a:p>
      </xdr:txBody>
    </xdr:sp>
    <xdr:clientData/>
  </xdr:twoCellAnchor>
  <xdr:twoCellAnchor>
    <xdr:from>
      <xdr:col>5</xdr:col>
      <xdr:colOff>388620</xdr:colOff>
      <xdr:row>28</xdr:row>
      <xdr:rowOff>114301</xdr:rowOff>
    </xdr:from>
    <xdr:to>
      <xdr:col>5</xdr:col>
      <xdr:colOff>818466</xdr:colOff>
      <xdr:row>29</xdr:row>
      <xdr:rowOff>59056</xdr:rowOff>
    </xdr:to>
    <xdr:sp macro="" textlink="">
      <xdr:nvSpPr>
        <xdr:cNvPr id="18" name="Watts4"/>
        <xdr:cNvSpPr txBox="1">
          <a:spLocks noChangeArrowheads="1"/>
        </xdr:cNvSpPr>
      </xdr:nvSpPr>
      <xdr:spPr bwMode="auto">
        <a:xfrm>
          <a:off x="6103620" y="6819901"/>
          <a:ext cx="429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540</a:t>
          </a:r>
        </a:p>
      </xdr:txBody>
    </xdr:sp>
    <xdr:clientData/>
  </xdr:twoCellAnchor>
  <xdr:twoCellAnchor>
    <xdr:from>
      <xdr:col>5</xdr:col>
      <xdr:colOff>381000</xdr:colOff>
      <xdr:row>30</xdr:row>
      <xdr:rowOff>38101</xdr:rowOff>
    </xdr:from>
    <xdr:to>
      <xdr:col>5</xdr:col>
      <xdr:colOff>810846</xdr:colOff>
      <xdr:row>30</xdr:row>
      <xdr:rowOff>219076</xdr:rowOff>
    </xdr:to>
    <xdr:sp macro="" textlink="">
      <xdr:nvSpPr>
        <xdr:cNvPr id="19" name="Watts3"/>
        <xdr:cNvSpPr txBox="1">
          <a:spLocks noChangeArrowheads="1"/>
        </xdr:cNvSpPr>
      </xdr:nvSpPr>
      <xdr:spPr bwMode="auto">
        <a:xfrm>
          <a:off x="6096000" y="7216141"/>
          <a:ext cx="429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a:t>
          </a:r>
        </a:p>
      </xdr:txBody>
    </xdr:sp>
    <xdr:clientData/>
  </xdr:twoCellAnchor>
  <xdr:twoCellAnchor>
    <xdr:from>
      <xdr:col>5</xdr:col>
      <xdr:colOff>381000</xdr:colOff>
      <xdr:row>31</xdr:row>
      <xdr:rowOff>220980</xdr:rowOff>
    </xdr:from>
    <xdr:to>
      <xdr:col>5</xdr:col>
      <xdr:colOff>810846</xdr:colOff>
      <xdr:row>32</xdr:row>
      <xdr:rowOff>158496</xdr:rowOff>
    </xdr:to>
    <xdr:sp macro="" textlink="">
      <xdr:nvSpPr>
        <xdr:cNvPr id="20" name="Watts2"/>
        <xdr:cNvSpPr txBox="1">
          <a:spLocks noChangeArrowheads="1"/>
        </xdr:cNvSpPr>
      </xdr:nvSpPr>
      <xdr:spPr bwMode="auto">
        <a:xfrm>
          <a:off x="6096000" y="7635240"/>
          <a:ext cx="42984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180</a:t>
          </a:r>
        </a:p>
      </xdr:txBody>
    </xdr:sp>
    <xdr:clientData/>
  </xdr:twoCellAnchor>
  <xdr:twoCellAnchor>
    <xdr:from>
      <xdr:col>5</xdr:col>
      <xdr:colOff>803910</xdr:colOff>
      <xdr:row>22</xdr:row>
      <xdr:rowOff>224790</xdr:rowOff>
    </xdr:from>
    <xdr:to>
      <xdr:col>5</xdr:col>
      <xdr:colOff>1032510</xdr:colOff>
      <xdr:row>28</xdr:row>
      <xdr:rowOff>125730</xdr:rowOff>
    </xdr:to>
    <xdr:sp macro="" textlink="">
      <xdr:nvSpPr>
        <xdr:cNvPr id="21" name="Input Watts"/>
        <xdr:cNvSpPr txBox="1">
          <a:spLocks noChangeArrowheads="1"/>
        </xdr:cNvSpPr>
      </xdr:nvSpPr>
      <xdr:spPr bwMode="auto">
        <a:xfrm>
          <a:off x="6518910" y="5513070"/>
          <a:ext cx="228600" cy="131826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381000</xdr:colOff>
      <xdr:row>23</xdr:row>
      <xdr:rowOff>68580</xdr:rowOff>
    </xdr:from>
    <xdr:to>
      <xdr:col>5</xdr:col>
      <xdr:colOff>899160</xdr:colOff>
      <xdr:row>24</xdr:row>
      <xdr:rowOff>6096</xdr:rowOff>
    </xdr:to>
    <xdr:sp macro="" textlink="">
      <xdr:nvSpPr>
        <xdr:cNvPr id="22" name="Watts7"/>
        <xdr:cNvSpPr txBox="1">
          <a:spLocks noChangeArrowheads="1"/>
        </xdr:cNvSpPr>
      </xdr:nvSpPr>
      <xdr:spPr bwMode="auto">
        <a:xfrm>
          <a:off x="6096000" y="5593080"/>
          <a:ext cx="518160"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1080</a:t>
          </a:r>
        </a:p>
      </xdr:txBody>
    </xdr:sp>
    <xdr:clientData/>
  </xdr:twoCellAnchor>
  <xdr:twoCellAnchor>
    <xdr:from>
      <xdr:col>5</xdr:col>
      <xdr:colOff>381000</xdr:colOff>
      <xdr:row>21</xdr:row>
      <xdr:rowOff>129541</xdr:rowOff>
    </xdr:from>
    <xdr:to>
      <xdr:col>5</xdr:col>
      <xdr:colOff>899160</xdr:colOff>
      <xdr:row>22</xdr:row>
      <xdr:rowOff>74296</xdr:rowOff>
    </xdr:to>
    <xdr:sp macro="" textlink="">
      <xdr:nvSpPr>
        <xdr:cNvPr id="23" name="Watts8"/>
        <xdr:cNvSpPr txBox="1">
          <a:spLocks noChangeArrowheads="1"/>
        </xdr:cNvSpPr>
      </xdr:nvSpPr>
      <xdr:spPr bwMode="auto">
        <a:xfrm>
          <a:off x="6096000" y="5181601"/>
          <a:ext cx="518160"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1260</a:t>
          </a:r>
        </a:p>
      </xdr:txBody>
    </xdr:sp>
    <xdr:clientData/>
  </xdr:twoCellAnchor>
  <xdr:twoCellAnchor>
    <xdr:from>
      <xdr:col>5</xdr:col>
      <xdr:colOff>373380</xdr:colOff>
      <xdr:row>19</xdr:row>
      <xdr:rowOff>198121</xdr:rowOff>
    </xdr:from>
    <xdr:to>
      <xdr:col>5</xdr:col>
      <xdr:colOff>891540</xdr:colOff>
      <xdr:row>20</xdr:row>
      <xdr:rowOff>142876</xdr:rowOff>
    </xdr:to>
    <xdr:sp macro="" textlink="">
      <xdr:nvSpPr>
        <xdr:cNvPr id="24" name="Watts9"/>
        <xdr:cNvSpPr txBox="1">
          <a:spLocks noChangeArrowheads="1"/>
        </xdr:cNvSpPr>
      </xdr:nvSpPr>
      <xdr:spPr bwMode="auto">
        <a:xfrm>
          <a:off x="6088380" y="4777741"/>
          <a:ext cx="518160"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1440</a:t>
          </a:r>
        </a:p>
      </xdr:txBody>
    </xdr:sp>
    <xdr:clientData/>
  </xdr:twoCellAnchor>
  <xdr:twoCellAnchor>
    <xdr:from>
      <xdr:col>5</xdr:col>
      <xdr:colOff>373380</xdr:colOff>
      <xdr:row>18</xdr:row>
      <xdr:rowOff>30481</xdr:rowOff>
    </xdr:from>
    <xdr:to>
      <xdr:col>5</xdr:col>
      <xdr:colOff>891540</xdr:colOff>
      <xdr:row>18</xdr:row>
      <xdr:rowOff>211456</xdr:rowOff>
    </xdr:to>
    <xdr:sp macro="" textlink="">
      <xdr:nvSpPr>
        <xdr:cNvPr id="25" name="Watts10"/>
        <xdr:cNvSpPr txBox="1">
          <a:spLocks noChangeArrowheads="1"/>
        </xdr:cNvSpPr>
      </xdr:nvSpPr>
      <xdr:spPr bwMode="auto">
        <a:xfrm>
          <a:off x="6088380" y="4373881"/>
          <a:ext cx="518160"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1620</a:t>
          </a:r>
        </a:p>
      </xdr:txBody>
    </xdr:sp>
    <xdr:clientData/>
  </xdr:twoCellAnchor>
  <xdr:twoCellAnchor>
    <xdr:from>
      <xdr:col>2</xdr:col>
      <xdr:colOff>424815</xdr:colOff>
      <xdr:row>16</xdr:row>
      <xdr:rowOff>190500</xdr:rowOff>
    </xdr:from>
    <xdr:to>
      <xdr:col>2</xdr:col>
      <xdr:colOff>788551</xdr:colOff>
      <xdr:row>17</xdr:row>
      <xdr:rowOff>105093</xdr:rowOff>
    </xdr:to>
    <xdr:sp macro="" textlink="" fLocksText="0">
      <xdr:nvSpPr>
        <xdr:cNvPr id="26" name="Text Box 26"/>
        <xdr:cNvSpPr txBox="1">
          <a:spLocks noChangeArrowheads="1"/>
        </xdr:cNvSpPr>
      </xdr:nvSpPr>
      <xdr:spPr bwMode="auto">
        <a:xfrm>
          <a:off x="2710815" y="4061460"/>
          <a:ext cx="363736" cy="1508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4</xdr:col>
      <xdr:colOff>308610</xdr:colOff>
      <xdr:row>20</xdr:row>
      <xdr:rowOff>70485</xdr:rowOff>
    </xdr:from>
    <xdr:to>
      <xdr:col>4</xdr:col>
      <xdr:colOff>655158</xdr:colOff>
      <xdr:row>21</xdr:row>
      <xdr:rowOff>11517</xdr:rowOff>
    </xdr:to>
    <xdr:sp macro="" textlink="" fLocksText="0">
      <xdr:nvSpPr>
        <xdr:cNvPr id="27" name="Text Box 27"/>
        <xdr:cNvSpPr txBox="1">
          <a:spLocks noChangeArrowheads="1"/>
        </xdr:cNvSpPr>
      </xdr:nvSpPr>
      <xdr:spPr bwMode="auto">
        <a:xfrm>
          <a:off x="4880610" y="4886325"/>
          <a:ext cx="346548" cy="1772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2</xdr:col>
      <xdr:colOff>523875</xdr:colOff>
      <xdr:row>22</xdr:row>
      <xdr:rowOff>209550</xdr:rowOff>
    </xdr:from>
    <xdr:to>
      <xdr:col>2</xdr:col>
      <xdr:colOff>874395</xdr:colOff>
      <xdr:row>23</xdr:row>
      <xdr:rowOff>124143</xdr:rowOff>
    </xdr:to>
    <xdr:sp macro="" textlink="" fLocksText="0">
      <xdr:nvSpPr>
        <xdr:cNvPr id="28" name="Speed"/>
        <xdr:cNvSpPr txBox="1">
          <a:spLocks noChangeArrowheads="1"/>
        </xdr:cNvSpPr>
      </xdr:nvSpPr>
      <xdr:spPr bwMode="auto">
        <a:xfrm>
          <a:off x="2809875" y="5497830"/>
          <a:ext cx="350520" cy="1508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1030605</xdr:colOff>
      <xdr:row>28</xdr:row>
      <xdr:rowOff>36195</xdr:rowOff>
    </xdr:from>
    <xdr:to>
      <xdr:col>2</xdr:col>
      <xdr:colOff>331747</xdr:colOff>
      <xdr:row>28</xdr:row>
      <xdr:rowOff>188595</xdr:rowOff>
    </xdr:to>
    <xdr:sp macro="" textlink="" fLocksText="0">
      <xdr:nvSpPr>
        <xdr:cNvPr id="29" name="Amps"/>
        <xdr:cNvSpPr txBox="1">
          <a:spLocks noChangeArrowheads="1"/>
        </xdr:cNvSpPr>
      </xdr:nvSpPr>
      <xdr:spPr bwMode="auto">
        <a:xfrm>
          <a:off x="2173605" y="6741795"/>
          <a:ext cx="444142"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512445</xdr:colOff>
      <xdr:row>32</xdr:row>
      <xdr:rowOff>120015</xdr:rowOff>
    </xdr:from>
    <xdr:to>
      <xdr:col>2</xdr:col>
      <xdr:colOff>1032568</xdr:colOff>
      <xdr:row>33</xdr:row>
      <xdr:rowOff>42211</xdr:rowOff>
    </xdr:to>
    <xdr:sp macro="" textlink="" fLocksText="0">
      <xdr:nvSpPr>
        <xdr:cNvPr id="30" name="Watts"/>
        <xdr:cNvSpPr txBox="1">
          <a:spLocks noChangeArrowheads="1"/>
        </xdr:cNvSpPr>
      </xdr:nvSpPr>
      <xdr:spPr bwMode="auto">
        <a:xfrm>
          <a:off x="2798445" y="7770495"/>
          <a:ext cx="520123" cy="1584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373380</xdr:colOff>
      <xdr:row>33</xdr:row>
      <xdr:rowOff>144780</xdr:rowOff>
    </xdr:from>
    <xdr:to>
      <xdr:col>5</xdr:col>
      <xdr:colOff>769620</xdr:colOff>
      <xdr:row>34</xdr:row>
      <xdr:rowOff>106680</xdr:rowOff>
    </xdr:to>
    <xdr:sp macro="" textlink="">
      <xdr:nvSpPr>
        <xdr:cNvPr id="31" name="Watts1"/>
        <xdr:cNvSpPr txBox="1">
          <a:spLocks noChangeArrowheads="1"/>
        </xdr:cNvSpPr>
      </xdr:nvSpPr>
      <xdr:spPr bwMode="auto">
        <a:xfrm>
          <a:off x="6088380" y="8031480"/>
          <a:ext cx="396240" cy="1981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342900</xdr:colOff>
      <xdr:row>16</xdr:row>
      <xdr:rowOff>15240</xdr:rowOff>
    </xdr:from>
    <xdr:to>
      <xdr:col>5</xdr:col>
      <xdr:colOff>929640</xdr:colOff>
      <xdr:row>37</xdr:row>
      <xdr:rowOff>45720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578534</xdr:colOff>
      <xdr:row>16</xdr:row>
      <xdr:rowOff>83821</xdr:rowOff>
    </xdr:from>
    <xdr:to>
      <xdr:col>0</xdr:col>
      <xdr:colOff>1135380</xdr:colOff>
      <xdr:row>17</xdr:row>
      <xdr:rowOff>28576</xdr:rowOff>
    </xdr:to>
    <xdr:sp macro="" textlink="">
      <xdr:nvSpPr>
        <xdr:cNvPr id="3" name="RPM11"/>
        <xdr:cNvSpPr txBox="1">
          <a:spLocks noChangeArrowheads="1"/>
        </xdr:cNvSpPr>
      </xdr:nvSpPr>
      <xdr:spPr bwMode="auto">
        <a:xfrm>
          <a:off x="578534" y="395478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1800</a:t>
          </a:r>
        </a:p>
      </xdr:txBody>
    </xdr:sp>
    <xdr:clientData/>
  </xdr:twoCellAnchor>
  <xdr:twoCellAnchor>
    <xdr:from>
      <xdr:col>0</xdr:col>
      <xdr:colOff>563294</xdr:colOff>
      <xdr:row>18</xdr:row>
      <xdr:rowOff>30481</xdr:rowOff>
    </xdr:from>
    <xdr:to>
      <xdr:col>0</xdr:col>
      <xdr:colOff>1120140</xdr:colOff>
      <xdr:row>18</xdr:row>
      <xdr:rowOff>211456</xdr:rowOff>
    </xdr:to>
    <xdr:sp macro="" textlink="">
      <xdr:nvSpPr>
        <xdr:cNvPr id="4" name="RPM10"/>
        <xdr:cNvSpPr txBox="1">
          <a:spLocks noChangeArrowheads="1"/>
        </xdr:cNvSpPr>
      </xdr:nvSpPr>
      <xdr:spPr bwMode="auto">
        <a:xfrm>
          <a:off x="563294" y="437388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1798</a:t>
          </a:r>
        </a:p>
      </xdr:txBody>
    </xdr:sp>
    <xdr:clientData/>
  </xdr:twoCellAnchor>
  <xdr:twoCellAnchor>
    <xdr:from>
      <xdr:col>0</xdr:col>
      <xdr:colOff>555674</xdr:colOff>
      <xdr:row>19</xdr:row>
      <xdr:rowOff>198121</xdr:rowOff>
    </xdr:from>
    <xdr:to>
      <xdr:col>0</xdr:col>
      <xdr:colOff>1112520</xdr:colOff>
      <xdr:row>20</xdr:row>
      <xdr:rowOff>142876</xdr:rowOff>
    </xdr:to>
    <xdr:sp macro="" textlink="">
      <xdr:nvSpPr>
        <xdr:cNvPr id="5" name="RPM9"/>
        <xdr:cNvSpPr txBox="1">
          <a:spLocks noChangeArrowheads="1"/>
        </xdr:cNvSpPr>
      </xdr:nvSpPr>
      <xdr:spPr bwMode="auto">
        <a:xfrm>
          <a:off x="555674" y="477774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1796</a:t>
          </a:r>
        </a:p>
      </xdr:txBody>
    </xdr:sp>
    <xdr:clientData/>
  </xdr:twoCellAnchor>
  <xdr:twoCellAnchor>
    <xdr:from>
      <xdr:col>0</xdr:col>
      <xdr:colOff>555674</xdr:colOff>
      <xdr:row>21</xdr:row>
      <xdr:rowOff>129541</xdr:rowOff>
    </xdr:from>
    <xdr:to>
      <xdr:col>0</xdr:col>
      <xdr:colOff>1112520</xdr:colOff>
      <xdr:row>22</xdr:row>
      <xdr:rowOff>74296</xdr:rowOff>
    </xdr:to>
    <xdr:sp macro="" textlink="">
      <xdr:nvSpPr>
        <xdr:cNvPr id="6" name="RPM8"/>
        <xdr:cNvSpPr txBox="1">
          <a:spLocks noChangeArrowheads="1"/>
        </xdr:cNvSpPr>
      </xdr:nvSpPr>
      <xdr:spPr bwMode="auto">
        <a:xfrm>
          <a:off x="555674" y="518160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1794</a:t>
          </a:r>
        </a:p>
      </xdr:txBody>
    </xdr:sp>
    <xdr:clientData/>
  </xdr:twoCellAnchor>
  <xdr:twoCellAnchor>
    <xdr:from>
      <xdr:col>0</xdr:col>
      <xdr:colOff>563294</xdr:colOff>
      <xdr:row>23</xdr:row>
      <xdr:rowOff>68580</xdr:rowOff>
    </xdr:from>
    <xdr:to>
      <xdr:col>0</xdr:col>
      <xdr:colOff>1120140</xdr:colOff>
      <xdr:row>24</xdr:row>
      <xdr:rowOff>6096</xdr:rowOff>
    </xdr:to>
    <xdr:sp macro="" textlink="">
      <xdr:nvSpPr>
        <xdr:cNvPr id="7" name="RPM7"/>
        <xdr:cNvSpPr txBox="1">
          <a:spLocks noChangeArrowheads="1"/>
        </xdr:cNvSpPr>
      </xdr:nvSpPr>
      <xdr:spPr bwMode="auto">
        <a:xfrm>
          <a:off x="563294" y="5593080"/>
          <a:ext cx="55684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1792</a:t>
          </a:r>
        </a:p>
      </xdr:txBody>
    </xdr:sp>
    <xdr:clientData/>
  </xdr:twoCellAnchor>
  <xdr:twoCellAnchor>
    <xdr:from>
      <xdr:col>0</xdr:col>
      <xdr:colOff>563294</xdr:colOff>
      <xdr:row>25</xdr:row>
      <xdr:rowOff>1</xdr:rowOff>
    </xdr:from>
    <xdr:to>
      <xdr:col>0</xdr:col>
      <xdr:colOff>1120140</xdr:colOff>
      <xdr:row>25</xdr:row>
      <xdr:rowOff>180976</xdr:rowOff>
    </xdr:to>
    <xdr:sp macro="" textlink="">
      <xdr:nvSpPr>
        <xdr:cNvPr id="8" name="RPM6"/>
        <xdr:cNvSpPr txBox="1">
          <a:spLocks noChangeArrowheads="1"/>
        </xdr:cNvSpPr>
      </xdr:nvSpPr>
      <xdr:spPr bwMode="auto">
        <a:xfrm>
          <a:off x="563294" y="599694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1790</a:t>
          </a:r>
        </a:p>
      </xdr:txBody>
    </xdr:sp>
    <xdr:clientData/>
  </xdr:twoCellAnchor>
  <xdr:twoCellAnchor>
    <xdr:from>
      <xdr:col>0</xdr:col>
      <xdr:colOff>555674</xdr:colOff>
      <xdr:row>26</xdr:row>
      <xdr:rowOff>167641</xdr:rowOff>
    </xdr:from>
    <xdr:to>
      <xdr:col>0</xdr:col>
      <xdr:colOff>1112520</xdr:colOff>
      <xdr:row>27</xdr:row>
      <xdr:rowOff>112396</xdr:rowOff>
    </xdr:to>
    <xdr:sp macro="" textlink="">
      <xdr:nvSpPr>
        <xdr:cNvPr id="9" name="RPM5"/>
        <xdr:cNvSpPr txBox="1">
          <a:spLocks noChangeArrowheads="1"/>
        </xdr:cNvSpPr>
      </xdr:nvSpPr>
      <xdr:spPr bwMode="auto">
        <a:xfrm>
          <a:off x="555674" y="640080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1788</a:t>
          </a:r>
        </a:p>
      </xdr:txBody>
    </xdr:sp>
    <xdr:clientData/>
  </xdr:twoCellAnchor>
  <xdr:twoCellAnchor>
    <xdr:from>
      <xdr:col>0</xdr:col>
      <xdr:colOff>548054</xdr:colOff>
      <xdr:row>28</xdr:row>
      <xdr:rowOff>106681</xdr:rowOff>
    </xdr:from>
    <xdr:to>
      <xdr:col>0</xdr:col>
      <xdr:colOff>1104900</xdr:colOff>
      <xdr:row>29</xdr:row>
      <xdr:rowOff>51436</xdr:rowOff>
    </xdr:to>
    <xdr:sp macro="" textlink="">
      <xdr:nvSpPr>
        <xdr:cNvPr id="10" name="RPM4"/>
        <xdr:cNvSpPr txBox="1">
          <a:spLocks noChangeArrowheads="1"/>
        </xdr:cNvSpPr>
      </xdr:nvSpPr>
      <xdr:spPr bwMode="auto">
        <a:xfrm>
          <a:off x="548054" y="681228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1786</a:t>
          </a:r>
        </a:p>
      </xdr:txBody>
    </xdr:sp>
    <xdr:clientData/>
  </xdr:twoCellAnchor>
  <xdr:twoCellAnchor>
    <xdr:from>
      <xdr:col>0</xdr:col>
      <xdr:colOff>548054</xdr:colOff>
      <xdr:row>30</xdr:row>
      <xdr:rowOff>45721</xdr:rowOff>
    </xdr:from>
    <xdr:to>
      <xdr:col>0</xdr:col>
      <xdr:colOff>1104900</xdr:colOff>
      <xdr:row>30</xdr:row>
      <xdr:rowOff>226696</xdr:rowOff>
    </xdr:to>
    <xdr:sp macro="" textlink="">
      <xdr:nvSpPr>
        <xdr:cNvPr id="11" name="RPM3"/>
        <xdr:cNvSpPr txBox="1">
          <a:spLocks noChangeArrowheads="1"/>
        </xdr:cNvSpPr>
      </xdr:nvSpPr>
      <xdr:spPr bwMode="auto">
        <a:xfrm>
          <a:off x="548054" y="722376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1784</a:t>
          </a:r>
        </a:p>
      </xdr:txBody>
    </xdr:sp>
    <xdr:clientData/>
  </xdr:twoCellAnchor>
  <xdr:twoCellAnchor>
    <xdr:from>
      <xdr:col>0</xdr:col>
      <xdr:colOff>548054</xdr:colOff>
      <xdr:row>31</xdr:row>
      <xdr:rowOff>220980</xdr:rowOff>
    </xdr:from>
    <xdr:to>
      <xdr:col>0</xdr:col>
      <xdr:colOff>1104900</xdr:colOff>
      <xdr:row>32</xdr:row>
      <xdr:rowOff>158496</xdr:rowOff>
    </xdr:to>
    <xdr:sp macro="" textlink="">
      <xdr:nvSpPr>
        <xdr:cNvPr id="12" name="RPM2"/>
        <xdr:cNvSpPr txBox="1">
          <a:spLocks noChangeArrowheads="1"/>
        </xdr:cNvSpPr>
      </xdr:nvSpPr>
      <xdr:spPr bwMode="auto">
        <a:xfrm>
          <a:off x="548054" y="7635240"/>
          <a:ext cx="55684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1782</a:t>
          </a:r>
        </a:p>
      </xdr:txBody>
    </xdr:sp>
    <xdr:clientData/>
  </xdr:twoCellAnchor>
  <xdr:twoCellAnchor>
    <xdr:from>
      <xdr:col>0</xdr:col>
      <xdr:colOff>555674</xdr:colOff>
      <xdr:row>33</xdr:row>
      <xdr:rowOff>152401</xdr:rowOff>
    </xdr:from>
    <xdr:to>
      <xdr:col>0</xdr:col>
      <xdr:colOff>1112520</xdr:colOff>
      <xdr:row>34</xdr:row>
      <xdr:rowOff>97156</xdr:rowOff>
    </xdr:to>
    <xdr:sp macro="" textlink="">
      <xdr:nvSpPr>
        <xdr:cNvPr id="13" name="RPM1"/>
        <xdr:cNvSpPr txBox="1">
          <a:spLocks noChangeArrowheads="1"/>
        </xdr:cNvSpPr>
      </xdr:nvSpPr>
      <xdr:spPr bwMode="auto">
        <a:xfrm>
          <a:off x="555674" y="8039101"/>
          <a:ext cx="556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1780</a:t>
          </a:r>
        </a:p>
      </xdr:txBody>
    </xdr:sp>
    <xdr:clientData/>
  </xdr:twoCellAnchor>
  <xdr:twoCellAnchor>
    <xdr:from>
      <xdr:col>0</xdr:col>
      <xdr:colOff>220980</xdr:colOff>
      <xdr:row>24</xdr:row>
      <xdr:rowOff>116205</xdr:rowOff>
    </xdr:from>
    <xdr:to>
      <xdr:col>0</xdr:col>
      <xdr:colOff>434340</xdr:colOff>
      <xdr:row>26</xdr:row>
      <xdr:rowOff>215265</xdr:rowOff>
    </xdr:to>
    <xdr:sp macro="" textlink="">
      <xdr:nvSpPr>
        <xdr:cNvPr id="14" name="RPM"/>
        <xdr:cNvSpPr txBox="1">
          <a:spLocks noChangeArrowheads="1"/>
        </xdr:cNvSpPr>
      </xdr:nvSpPr>
      <xdr:spPr bwMode="auto">
        <a:xfrm>
          <a:off x="220980" y="5876925"/>
          <a:ext cx="213360" cy="571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358140</xdr:colOff>
      <xdr:row>16</xdr:row>
      <xdr:rowOff>83821</xdr:rowOff>
    </xdr:from>
    <xdr:to>
      <xdr:col>5</xdr:col>
      <xdr:colOff>853440</xdr:colOff>
      <xdr:row>17</xdr:row>
      <xdr:rowOff>22226</xdr:rowOff>
    </xdr:to>
    <xdr:sp macro="" textlink="">
      <xdr:nvSpPr>
        <xdr:cNvPr id="15" name="Watts11"/>
        <xdr:cNvSpPr txBox="1">
          <a:spLocks noChangeArrowheads="1"/>
        </xdr:cNvSpPr>
      </xdr:nvSpPr>
      <xdr:spPr bwMode="auto">
        <a:xfrm>
          <a:off x="6073140" y="3954781"/>
          <a:ext cx="495300" cy="1746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1800</a:t>
          </a:r>
        </a:p>
      </xdr:txBody>
    </xdr:sp>
    <xdr:clientData/>
  </xdr:twoCellAnchor>
  <xdr:twoCellAnchor>
    <xdr:from>
      <xdr:col>5</xdr:col>
      <xdr:colOff>388620</xdr:colOff>
      <xdr:row>25</xdr:row>
      <xdr:rowOff>0</xdr:rowOff>
    </xdr:from>
    <xdr:to>
      <xdr:col>5</xdr:col>
      <xdr:colOff>870048</xdr:colOff>
      <xdr:row>25</xdr:row>
      <xdr:rowOff>188214</xdr:rowOff>
    </xdr:to>
    <xdr:sp macro="" textlink="">
      <xdr:nvSpPr>
        <xdr:cNvPr id="16" name="Watts6"/>
        <xdr:cNvSpPr txBox="1">
          <a:spLocks noChangeArrowheads="1"/>
        </xdr:cNvSpPr>
      </xdr:nvSpPr>
      <xdr:spPr bwMode="auto">
        <a:xfrm>
          <a:off x="6103620" y="5996940"/>
          <a:ext cx="481428" cy="188214"/>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900</a:t>
          </a:r>
        </a:p>
      </xdr:txBody>
    </xdr:sp>
    <xdr:clientData/>
  </xdr:twoCellAnchor>
  <xdr:twoCellAnchor>
    <xdr:from>
      <xdr:col>5</xdr:col>
      <xdr:colOff>381000</xdr:colOff>
      <xdr:row>26</xdr:row>
      <xdr:rowOff>182880</xdr:rowOff>
    </xdr:from>
    <xdr:to>
      <xdr:col>5</xdr:col>
      <xdr:colOff>810846</xdr:colOff>
      <xdr:row>27</xdr:row>
      <xdr:rowOff>120396</xdr:rowOff>
    </xdr:to>
    <xdr:sp macro="" textlink="">
      <xdr:nvSpPr>
        <xdr:cNvPr id="17" name="Watts5"/>
        <xdr:cNvSpPr txBox="1">
          <a:spLocks noChangeArrowheads="1"/>
        </xdr:cNvSpPr>
      </xdr:nvSpPr>
      <xdr:spPr bwMode="auto">
        <a:xfrm>
          <a:off x="6096000" y="6416040"/>
          <a:ext cx="42984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720</a:t>
          </a:r>
        </a:p>
      </xdr:txBody>
    </xdr:sp>
    <xdr:clientData/>
  </xdr:twoCellAnchor>
  <xdr:twoCellAnchor>
    <xdr:from>
      <xdr:col>5</xdr:col>
      <xdr:colOff>388620</xdr:colOff>
      <xdr:row>28</xdr:row>
      <xdr:rowOff>114301</xdr:rowOff>
    </xdr:from>
    <xdr:to>
      <xdr:col>5</xdr:col>
      <xdr:colOff>818466</xdr:colOff>
      <xdr:row>29</xdr:row>
      <xdr:rowOff>59056</xdr:rowOff>
    </xdr:to>
    <xdr:sp macro="" textlink="">
      <xdr:nvSpPr>
        <xdr:cNvPr id="18" name="Watts4"/>
        <xdr:cNvSpPr txBox="1">
          <a:spLocks noChangeArrowheads="1"/>
        </xdr:cNvSpPr>
      </xdr:nvSpPr>
      <xdr:spPr bwMode="auto">
        <a:xfrm>
          <a:off x="6103620" y="6819901"/>
          <a:ext cx="429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540</a:t>
          </a:r>
        </a:p>
      </xdr:txBody>
    </xdr:sp>
    <xdr:clientData/>
  </xdr:twoCellAnchor>
  <xdr:twoCellAnchor>
    <xdr:from>
      <xdr:col>5</xdr:col>
      <xdr:colOff>381000</xdr:colOff>
      <xdr:row>30</xdr:row>
      <xdr:rowOff>38101</xdr:rowOff>
    </xdr:from>
    <xdr:to>
      <xdr:col>5</xdr:col>
      <xdr:colOff>810846</xdr:colOff>
      <xdr:row>30</xdr:row>
      <xdr:rowOff>219076</xdr:rowOff>
    </xdr:to>
    <xdr:sp macro="" textlink="">
      <xdr:nvSpPr>
        <xdr:cNvPr id="19" name="Watts3"/>
        <xdr:cNvSpPr txBox="1">
          <a:spLocks noChangeArrowheads="1"/>
        </xdr:cNvSpPr>
      </xdr:nvSpPr>
      <xdr:spPr bwMode="auto">
        <a:xfrm>
          <a:off x="6096000" y="7216141"/>
          <a:ext cx="42984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a:t>
          </a:r>
        </a:p>
      </xdr:txBody>
    </xdr:sp>
    <xdr:clientData/>
  </xdr:twoCellAnchor>
  <xdr:twoCellAnchor>
    <xdr:from>
      <xdr:col>5</xdr:col>
      <xdr:colOff>381000</xdr:colOff>
      <xdr:row>31</xdr:row>
      <xdr:rowOff>220980</xdr:rowOff>
    </xdr:from>
    <xdr:to>
      <xdr:col>5</xdr:col>
      <xdr:colOff>810846</xdr:colOff>
      <xdr:row>32</xdr:row>
      <xdr:rowOff>158496</xdr:rowOff>
    </xdr:to>
    <xdr:sp macro="" textlink="">
      <xdr:nvSpPr>
        <xdr:cNvPr id="20" name="Watts2"/>
        <xdr:cNvSpPr txBox="1">
          <a:spLocks noChangeArrowheads="1"/>
        </xdr:cNvSpPr>
      </xdr:nvSpPr>
      <xdr:spPr bwMode="auto">
        <a:xfrm>
          <a:off x="6096000" y="7635240"/>
          <a:ext cx="42984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180</a:t>
          </a:r>
        </a:p>
      </xdr:txBody>
    </xdr:sp>
    <xdr:clientData/>
  </xdr:twoCellAnchor>
  <xdr:twoCellAnchor>
    <xdr:from>
      <xdr:col>5</xdr:col>
      <xdr:colOff>803910</xdr:colOff>
      <xdr:row>22</xdr:row>
      <xdr:rowOff>224790</xdr:rowOff>
    </xdr:from>
    <xdr:to>
      <xdr:col>5</xdr:col>
      <xdr:colOff>1032510</xdr:colOff>
      <xdr:row>28</xdr:row>
      <xdr:rowOff>125730</xdr:rowOff>
    </xdr:to>
    <xdr:sp macro="" textlink="">
      <xdr:nvSpPr>
        <xdr:cNvPr id="21" name="Input Watts"/>
        <xdr:cNvSpPr txBox="1">
          <a:spLocks noChangeArrowheads="1"/>
        </xdr:cNvSpPr>
      </xdr:nvSpPr>
      <xdr:spPr bwMode="auto">
        <a:xfrm>
          <a:off x="6518910" y="5513070"/>
          <a:ext cx="228600" cy="131826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381000</xdr:colOff>
      <xdr:row>23</xdr:row>
      <xdr:rowOff>68580</xdr:rowOff>
    </xdr:from>
    <xdr:to>
      <xdr:col>5</xdr:col>
      <xdr:colOff>876300</xdr:colOff>
      <xdr:row>24</xdr:row>
      <xdr:rowOff>0</xdr:rowOff>
    </xdr:to>
    <xdr:sp macro="" textlink="">
      <xdr:nvSpPr>
        <xdr:cNvPr id="22" name="Watts7"/>
        <xdr:cNvSpPr txBox="1">
          <a:spLocks noChangeArrowheads="1"/>
        </xdr:cNvSpPr>
      </xdr:nvSpPr>
      <xdr:spPr bwMode="auto">
        <a:xfrm>
          <a:off x="6096000" y="5593080"/>
          <a:ext cx="495300" cy="16764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1080</a:t>
          </a:r>
        </a:p>
      </xdr:txBody>
    </xdr:sp>
    <xdr:clientData/>
  </xdr:twoCellAnchor>
  <xdr:twoCellAnchor>
    <xdr:from>
      <xdr:col>5</xdr:col>
      <xdr:colOff>381000</xdr:colOff>
      <xdr:row>21</xdr:row>
      <xdr:rowOff>129541</xdr:rowOff>
    </xdr:from>
    <xdr:to>
      <xdr:col>5</xdr:col>
      <xdr:colOff>876300</xdr:colOff>
      <xdr:row>22</xdr:row>
      <xdr:rowOff>67946</xdr:rowOff>
    </xdr:to>
    <xdr:sp macro="" textlink="">
      <xdr:nvSpPr>
        <xdr:cNvPr id="23" name="Watts8"/>
        <xdr:cNvSpPr txBox="1">
          <a:spLocks noChangeArrowheads="1"/>
        </xdr:cNvSpPr>
      </xdr:nvSpPr>
      <xdr:spPr bwMode="auto">
        <a:xfrm>
          <a:off x="6096000" y="5181601"/>
          <a:ext cx="495300" cy="1746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1260</a:t>
          </a:r>
        </a:p>
      </xdr:txBody>
    </xdr:sp>
    <xdr:clientData/>
  </xdr:twoCellAnchor>
  <xdr:twoCellAnchor>
    <xdr:from>
      <xdr:col>5</xdr:col>
      <xdr:colOff>373380</xdr:colOff>
      <xdr:row>19</xdr:row>
      <xdr:rowOff>198121</xdr:rowOff>
    </xdr:from>
    <xdr:to>
      <xdr:col>5</xdr:col>
      <xdr:colOff>868680</xdr:colOff>
      <xdr:row>20</xdr:row>
      <xdr:rowOff>136526</xdr:rowOff>
    </xdr:to>
    <xdr:sp macro="" textlink="">
      <xdr:nvSpPr>
        <xdr:cNvPr id="24" name="Watts9"/>
        <xdr:cNvSpPr txBox="1">
          <a:spLocks noChangeArrowheads="1"/>
        </xdr:cNvSpPr>
      </xdr:nvSpPr>
      <xdr:spPr bwMode="auto">
        <a:xfrm>
          <a:off x="6088380" y="4777741"/>
          <a:ext cx="495300" cy="1746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1440</a:t>
          </a:r>
        </a:p>
      </xdr:txBody>
    </xdr:sp>
    <xdr:clientData/>
  </xdr:twoCellAnchor>
  <xdr:twoCellAnchor>
    <xdr:from>
      <xdr:col>5</xdr:col>
      <xdr:colOff>373380</xdr:colOff>
      <xdr:row>18</xdr:row>
      <xdr:rowOff>30481</xdr:rowOff>
    </xdr:from>
    <xdr:to>
      <xdr:col>5</xdr:col>
      <xdr:colOff>868680</xdr:colOff>
      <xdr:row>18</xdr:row>
      <xdr:rowOff>205106</xdr:rowOff>
    </xdr:to>
    <xdr:sp macro="" textlink="">
      <xdr:nvSpPr>
        <xdr:cNvPr id="25" name="Watts10"/>
        <xdr:cNvSpPr txBox="1">
          <a:spLocks noChangeArrowheads="1"/>
        </xdr:cNvSpPr>
      </xdr:nvSpPr>
      <xdr:spPr bwMode="auto">
        <a:xfrm>
          <a:off x="6088380" y="4373881"/>
          <a:ext cx="495300" cy="1746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1620</a:t>
          </a:r>
        </a:p>
      </xdr:txBody>
    </xdr:sp>
    <xdr:clientData/>
  </xdr:twoCellAnchor>
  <xdr:twoCellAnchor>
    <xdr:from>
      <xdr:col>2</xdr:col>
      <xdr:colOff>424815</xdr:colOff>
      <xdr:row>16</xdr:row>
      <xdr:rowOff>190500</xdr:rowOff>
    </xdr:from>
    <xdr:to>
      <xdr:col>2</xdr:col>
      <xdr:colOff>788551</xdr:colOff>
      <xdr:row>17</xdr:row>
      <xdr:rowOff>105093</xdr:rowOff>
    </xdr:to>
    <xdr:sp macro="" textlink="" fLocksText="0">
      <xdr:nvSpPr>
        <xdr:cNvPr id="26" name="Text Box 26"/>
        <xdr:cNvSpPr txBox="1">
          <a:spLocks noChangeArrowheads="1"/>
        </xdr:cNvSpPr>
      </xdr:nvSpPr>
      <xdr:spPr bwMode="auto">
        <a:xfrm>
          <a:off x="2710815" y="4061460"/>
          <a:ext cx="363736" cy="1508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4</xdr:col>
      <xdr:colOff>308610</xdr:colOff>
      <xdr:row>20</xdr:row>
      <xdr:rowOff>70485</xdr:rowOff>
    </xdr:from>
    <xdr:to>
      <xdr:col>4</xdr:col>
      <xdr:colOff>655158</xdr:colOff>
      <xdr:row>21</xdr:row>
      <xdr:rowOff>11517</xdr:rowOff>
    </xdr:to>
    <xdr:sp macro="" textlink="" fLocksText="0">
      <xdr:nvSpPr>
        <xdr:cNvPr id="27" name="Text Box 27"/>
        <xdr:cNvSpPr txBox="1">
          <a:spLocks noChangeArrowheads="1"/>
        </xdr:cNvSpPr>
      </xdr:nvSpPr>
      <xdr:spPr bwMode="auto">
        <a:xfrm>
          <a:off x="4880610" y="4886325"/>
          <a:ext cx="346548" cy="1772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2</xdr:col>
      <xdr:colOff>523875</xdr:colOff>
      <xdr:row>22</xdr:row>
      <xdr:rowOff>209550</xdr:rowOff>
    </xdr:from>
    <xdr:to>
      <xdr:col>2</xdr:col>
      <xdr:colOff>874395</xdr:colOff>
      <xdr:row>23</xdr:row>
      <xdr:rowOff>124143</xdr:rowOff>
    </xdr:to>
    <xdr:sp macro="" textlink="" fLocksText="0">
      <xdr:nvSpPr>
        <xdr:cNvPr id="28" name="Speed"/>
        <xdr:cNvSpPr txBox="1">
          <a:spLocks noChangeArrowheads="1"/>
        </xdr:cNvSpPr>
      </xdr:nvSpPr>
      <xdr:spPr bwMode="auto">
        <a:xfrm>
          <a:off x="2809875" y="5497830"/>
          <a:ext cx="350520" cy="1508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1030605</xdr:colOff>
      <xdr:row>28</xdr:row>
      <xdr:rowOff>36195</xdr:rowOff>
    </xdr:from>
    <xdr:to>
      <xdr:col>2</xdr:col>
      <xdr:colOff>331747</xdr:colOff>
      <xdr:row>28</xdr:row>
      <xdr:rowOff>188595</xdr:rowOff>
    </xdr:to>
    <xdr:sp macro="" textlink="" fLocksText="0">
      <xdr:nvSpPr>
        <xdr:cNvPr id="29" name="Amps"/>
        <xdr:cNvSpPr txBox="1">
          <a:spLocks noChangeArrowheads="1"/>
        </xdr:cNvSpPr>
      </xdr:nvSpPr>
      <xdr:spPr bwMode="auto">
        <a:xfrm>
          <a:off x="2173605" y="6741795"/>
          <a:ext cx="444142"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512445</xdr:colOff>
      <xdr:row>32</xdr:row>
      <xdr:rowOff>120015</xdr:rowOff>
    </xdr:from>
    <xdr:to>
      <xdr:col>2</xdr:col>
      <xdr:colOff>1032568</xdr:colOff>
      <xdr:row>33</xdr:row>
      <xdr:rowOff>42211</xdr:rowOff>
    </xdr:to>
    <xdr:sp macro="" textlink="" fLocksText="0">
      <xdr:nvSpPr>
        <xdr:cNvPr id="30" name="Watts"/>
        <xdr:cNvSpPr txBox="1">
          <a:spLocks noChangeArrowheads="1"/>
        </xdr:cNvSpPr>
      </xdr:nvSpPr>
      <xdr:spPr bwMode="auto">
        <a:xfrm>
          <a:off x="2798445" y="7770495"/>
          <a:ext cx="520123" cy="1584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373380</xdr:colOff>
      <xdr:row>33</xdr:row>
      <xdr:rowOff>144780</xdr:rowOff>
    </xdr:from>
    <xdr:to>
      <xdr:col>5</xdr:col>
      <xdr:colOff>769620</xdr:colOff>
      <xdr:row>34</xdr:row>
      <xdr:rowOff>106680</xdr:rowOff>
    </xdr:to>
    <xdr:sp macro="" textlink="">
      <xdr:nvSpPr>
        <xdr:cNvPr id="31" name="Watts1"/>
        <xdr:cNvSpPr txBox="1">
          <a:spLocks noChangeArrowheads="1"/>
        </xdr:cNvSpPr>
      </xdr:nvSpPr>
      <xdr:spPr bwMode="auto">
        <a:xfrm>
          <a:off x="6088380" y="8031480"/>
          <a:ext cx="396240" cy="1981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J113"/>
  <sheetViews>
    <sheetView topLeftCell="A25" zoomScale="95" zoomScaleNormal="95" workbookViewId="0">
      <selection activeCell="M7" sqref="M7"/>
    </sheetView>
  </sheetViews>
  <sheetFormatPr defaultRowHeight="12.75"/>
  <cols>
    <col min="1" max="6" width="12.28515625" customWidth="1"/>
    <col min="7" max="7" width="12.42578125" customWidth="1"/>
    <col min="8" max="8" width="12.7109375" customWidth="1"/>
    <col min="9" max="10" width="12.28515625" customWidth="1"/>
  </cols>
  <sheetData>
    <row r="1" spans="1:10" ht="18.75">
      <c r="A1" s="35" t="s">
        <v>168</v>
      </c>
      <c r="B1" s="2"/>
      <c r="C1" s="2"/>
      <c r="D1" s="2"/>
      <c r="E1" s="2"/>
      <c r="F1" s="2"/>
      <c r="G1" s="2"/>
      <c r="H1" s="2"/>
      <c r="I1" s="127" t="s">
        <v>0</v>
      </c>
      <c r="J1" s="127" t="s">
        <v>201</v>
      </c>
    </row>
    <row r="2" spans="1:10" ht="18.75">
      <c r="A2" s="35" t="s">
        <v>174</v>
      </c>
      <c r="B2" s="2"/>
      <c r="C2" s="2"/>
      <c r="D2" s="2"/>
      <c r="E2" s="2"/>
      <c r="F2" s="2"/>
      <c r="G2" s="2"/>
      <c r="H2" s="2"/>
      <c r="I2" s="2"/>
      <c r="J2" s="133" t="s">
        <v>202</v>
      </c>
    </row>
    <row r="3" spans="1:10" ht="15" customHeight="1" thickBot="1">
      <c r="A3" s="51" t="s">
        <v>1</v>
      </c>
      <c r="B3" s="98" t="s">
        <v>200</v>
      </c>
      <c r="C3" s="1"/>
      <c r="D3" s="51"/>
      <c r="E3" s="1"/>
      <c r="F3" s="1"/>
      <c r="G3" s="51" t="s">
        <v>2</v>
      </c>
      <c r="H3" s="151">
        <v>41800</v>
      </c>
      <c r="I3" s="51" t="s">
        <v>3</v>
      </c>
      <c r="J3" s="152">
        <v>0.55843750000000003</v>
      </c>
    </row>
    <row r="4" spans="1:10" ht="15" customHeight="1">
      <c r="A4" s="13" t="s">
        <v>4</v>
      </c>
      <c r="B4" s="13" t="s">
        <v>172</v>
      </c>
      <c r="C4" s="13" t="s">
        <v>5</v>
      </c>
      <c r="D4" s="13" t="s">
        <v>173</v>
      </c>
      <c r="E4" s="13" t="s">
        <v>6</v>
      </c>
      <c r="F4" s="13" t="s">
        <v>7</v>
      </c>
      <c r="G4" s="13" t="s">
        <v>176</v>
      </c>
      <c r="H4" s="13" t="s">
        <v>8</v>
      </c>
      <c r="I4" s="13" t="s">
        <v>9</v>
      </c>
      <c r="J4" s="13" t="s">
        <v>10</v>
      </c>
    </row>
    <row r="5" spans="1:10" ht="15" customHeight="1" thickBot="1">
      <c r="A5" s="52">
        <v>4</v>
      </c>
      <c r="B5" s="115">
        <v>900.00003272662536</v>
      </c>
      <c r="C5" s="145">
        <v>1800</v>
      </c>
      <c r="D5" s="52" t="s">
        <v>177</v>
      </c>
      <c r="E5" s="145">
        <v>4000</v>
      </c>
      <c r="F5" s="145">
        <v>60</v>
      </c>
      <c r="G5" s="52">
        <v>115</v>
      </c>
      <c r="H5" s="80" t="s">
        <v>234</v>
      </c>
      <c r="I5" s="79" t="s">
        <v>239</v>
      </c>
      <c r="J5" s="52" t="s">
        <v>178</v>
      </c>
    </row>
    <row r="6" spans="1:10" ht="15" customHeight="1" thickBot="1">
      <c r="A6" s="24" t="s">
        <v>11</v>
      </c>
      <c r="B6" s="25"/>
      <c r="C6" s="26"/>
      <c r="D6" s="110" t="s">
        <v>12</v>
      </c>
      <c r="E6" s="43"/>
      <c r="F6" s="15"/>
      <c r="G6" s="16"/>
      <c r="H6" s="44" t="s">
        <v>13</v>
      </c>
      <c r="I6" s="19"/>
      <c r="J6" s="30"/>
    </row>
    <row r="7" spans="1:10" ht="15" customHeight="1" thickBot="1">
      <c r="A7" s="147"/>
      <c r="B7" s="4" t="s">
        <v>14</v>
      </c>
      <c r="C7" s="17" t="s">
        <v>15</v>
      </c>
      <c r="D7" s="147"/>
      <c r="E7" s="19"/>
      <c r="F7" s="4" t="s">
        <v>16</v>
      </c>
      <c r="G7" s="17" t="s">
        <v>17</v>
      </c>
      <c r="H7" s="11" t="s">
        <v>18</v>
      </c>
      <c r="I7" s="70">
        <v>26.860594499999998</v>
      </c>
      <c r="J7" s="108" t="s">
        <v>19</v>
      </c>
    </row>
    <row r="8" spans="1:10" ht="15" customHeight="1">
      <c r="A8" s="7" t="s">
        <v>20</v>
      </c>
      <c r="B8" s="71">
        <v>3</v>
      </c>
      <c r="C8" s="54"/>
      <c r="D8" s="7"/>
      <c r="E8" s="53"/>
      <c r="F8" s="4"/>
      <c r="G8" s="17"/>
      <c r="H8" s="11" t="s">
        <v>21</v>
      </c>
      <c r="I8" s="70">
        <v>31.8557226</v>
      </c>
      <c r="J8" s="105" t="s">
        <v>22</v>
      </c>
    </row>
    <row r="9" spans="1:10" ht="15" customHeight="1" thickBot="1">
      <c r="A9" s="7" t="s">
        <v>23</v>
      </c>
      <c r="B9" s="71">
        <v>0.93000000715255737</v>
      </c>
      <c r="C9" s="54"/>
      <c r="D9" s="7" t="s">
        <v>24</v>
      </c>
      <c r="E9" s="55" t="s">
        <v>184</v>
      </c>
      <c r="F9" s="109" t="s">
        <v>25</v>
      </c>
      <c r="G9" s="31"/>
      <c r="H9" s="11" t="s">
        <v>26</v>
      </c>
      <c r="I9" s="71">
        <v>29.358158549999999</v>
      </c>
      <c r="J9" s="106">
        <v>917.96476281145522</v>
      </c>
    </row>
    <row r="10" spans="1:10" ht="15" customHeight="1">
      <c r="A10" s="7" t="s">
        <v>27</v>
      </c>
      <c r="B10" s="71">
        <v>580</v>
      </c>
      <c r="C10" s="75">
        <v>580</v>
      </c>
      <c r="D10" s="7"/>
      <c r="E10" s="53"/>
      <c r="F10" s="119" t="s">
        <v>196</v>
      </c>
      <c r="G10" s="117" t="s">
        <v>197</v>
      </c>
      <c r="H10" s="11" t="s">
        <v>28</v>
      </c>
      <c r="I10" s="70">
        <v>15.276445851402322</v>
      </c>
      <c r="J10" s="105" t="s">
        <v>29</v>
      </c>
    </row>
    <row r="11" spans="1:10" ht="15" customHeight="1" thickBot="1">
      <c r="A11" s="7" t="s">
        <v>30</v>
      </c>
      <c r="B11" s="71">
        <v>770</v>
      </c>
      <c r="C11" s="75">
        <v>507</v>
      </c>
      <c r="D11" s="7" t="s">
        <v>31</v>
      </c>
      <c r="E11" s="70">
        <v>0.86657999999999991</v>
      </c>
      <c r="F11" s="120"/>
      <c r="G11" s="116"/>
      <c r="H11" s="11" t="s">
        <v>32</v>
      </c>
      <c r="I11" s="70">
        <v>31.398655764668757</v>
      </c>
      <c r="J11" s="106">
        <v>19712.230014892852</v>
      </c>
    </row>
    <row r="12" spans="1:10" ht="15" customHeight="1">
      <c r="A12" s="7" t="s">
        <v>33</v>
      </c>
      <c r="B12" s="71">
        <v>513</v>
      </c>
      <c r="C12" s="75">
        <v>200</v>
      </c>
      <c r="D12" s="7" t="s">
        <v>34</v>
      </c>
      <c r="E12" s="140" t="s">
        <v>175</v>
      </c>
      <c r="F12" s="126" t="s">
        <v>189</v>
      </c>
      <c r="G12" s="118" t="s">
        <v>188</v>
      </c>
      <c r="H12" s="11" t="s">
        <v>35</v>
      </c>
      <c r="I12" s="70">
        <v>1.2197490501415673</v>
      </c>
      <c r="J12" s="105" t="s">
        <v>36</v>
      </c>
    </row>
    <row r="13" spans="1:10" ht="15" customHeight="1" thickBot="1">
      <c r="A13" s="7" t="s">
        <v>37</v>
      </c>
      <c r="B13" s="71">
        <v>63.5</v>
      </c>
      <c r="C13" s="75">
        <v>112.45000076293945</v>
      </c>
      <c r="D13" s="7" t="s">
        <v>38</v>
      </c>
      <c r="E13" s="72">
        <v>22</v>
      </c>
      <c r="F13" s="126"/>
      <c r="G13" s="118" t="s">
        <v>190</v>
      </c>
      <c r="H13" s="11" t="s">
        <v>40</v>
      </c>
      <c r="I13" s="70">
        <v>1.0145568918222785</v>
      </c>
      <c r="J13" s="106">
        <v>111.52526092529297</v>
      </c>
    </row>
    <row r="14" spans="1:10" ht="15" customHeight="1" thickBot="1">
      <c r="A14" s="136" t="s">
        <v>41</v>
      </c>
      <c r="B14" s="137">
        <v>539.4000244140625</v>
      </c>
      <c r="C14" s="138">
        <v>539.4000244140625</v>
      </c>
      <c r="D14" s="7" t="s">
        <v>42</v>
      </c>
      <c r="E14" s="53" t="s">
        <v>185</v>
      </c>
      <c r="F14" s="53" t="s">
        <v>192</v>
      </c>
      <c r="G14" s="118" t="s">
        <v>191</v>
      </c>
      <c r="H14" s="51" t="s">
        <v>43</v>
      </c>
      <c r="I14" s="70">
        <v>1.237504805114805</v>
      </c>
      <c r="J14" s="105" t="s">
        <v>44</v>
      </c>
    </row>
    <row r="15" spans="1:10" ht="15" customHeight="1" thickBot="1">
      <c r="A15" s="14" t="s">
        <v>45</v>
      </c>
      <c r="B15" s="143"/>
      <c r="C15" s="144"/>
      <c r="D15" s="7" t="s">
        <v>46</v>
      </c>
      <c r="E15" s="53" t="s">
        <v>175</v>
      </c>
      <c r="F15" s="53"/>
      <c r="G15" s="118"/>
      <c r="H15" s="11" t="s">
        <v>47</v>
      </c>
      <c r="I15" s="70">
        <v>0.97811904826498275</v>
      </c>
      <c r="J15" s="106">
        <v>20.995170454545455</v>
      </c>
    </row>
    <row r="16" spans="1:10" ht="15" customHeight="1">
      <c r="A16" s="7" t="s">
        <v>48</v>
      </c>
      <c r="B16" s="53">
        <v>60</v>
      </c>
      <c r="C16" s="54">
        <v>50</v>
      </c>
      <c r="D16" s="7" t="s">
        <v>49</v>
      </c>
      <c r="E16" s="53">
        <v>2</v>
      </c>
      <c r="F16" s="53"/>
      <c r="G16" s="118"/>
      <c r="H16" s="11" t="s">
        <v>50</v>
      </c>
      <c r="I16" s="70">
        <v>0.95650599867242181</v>
      </c>
      <c r="J16" s="107" t="s">
        <v>51</v>
      </c>
    </row>
    <row r="17" spans="1:10" ht="15" customHeight="1" thickBot="1">
      <c r="A17" s="7" t="s">
        <v>52</v>
      </c>
      <c r="B17" s="53" t="s">
        <v>179</v>
      </c>
      <c r="C17" s="54" t="s">
        <v>180</v>
      </c>
      <c r="D17" s="98" t="s">
        <v>53</v>
      </c>
      <c r="E17" s="53" t="s">
        <v>186</v>
      </c>
      <c r="F17" s="53"/>
      <c r="G17" s="118"/>
      <c r="H17" s="11" t="s">
        <v>54</v>
      </c>
      <c r="I17" s="70">
        <v>0.93557673708121603</v>
      </c>
      <c r="J17" s="106">
        <v>456.72029715433985</v>
      </c>
    </row>
    <row r="18" spans="1:10" ht="15" customHeight="1">
      <c r="A18" s="7" t="s">
        <v>55</v>
      </c>
      <c r="B18" s="53" t="s">
        <v>175</v>
      </c>
      <c r="C18" s="75">
        <v>0</v>
      </c>
      <c r="D18" s="7" t="s">
        <v>56</v>
      </c>
      <c r="E18" s="142">
        <v>1296</v>
      </c>
      <c r="F18" s="72">
        <v>727</v>
      </c>
      <c r="G18" s="76"/>
      <c r="H18" s="14" t="s">
        <v>57</v>
      </c>
      <c r="I18" s="134" t="s">
        <v>198</v>
      </c>
      <c r="J18" s="135"/>
    </row>
    <row r="19" spans="1:10" ht="15" customHeight="1">
      <c r="A19" s="7" t="s">
        <v>58</v>
      </c>
      <c r="B19" s="71">
        <v>65</v>
      </c>
      <c r="C19" s="75">
        <v>41.049999237060547</v>
      </c>
      <c r="D19" s="7" t="s">
        <v>59</v>
      </c>
      <c r="E19" s="72">
        <v>220</v>
      </c>
      <c r="F19" s="53"/>
      <c r="G19" s="54"/>
      <c r="H19" s="148"/>
      <c r="I19" s="4" t="s">
        <v>60</v>
      </c>
      <c r="J19" s="32" t="s">
        <v>61</v>
      </c>
    </row>
    <row r="20" spans="1:10" ht="15" customHeight="1">
      <c r="A20" s="7" t="s">
        <v>62</v>
      </c>
      <c r="B20" s="71" t="s">
        <v>181</v>
      </c>
      <c r="C20" s="75">
        <v>12.050000190734863</v>
      </c>
      <c r="D20" s="7" t="s">
        <v>166</v>
      </c>
      <c r="E20" s="69">
        <v>9.4257045190494076E-2</v>
      </c>
      <c r="F20" s="53"/>
      <c r="G20" s="54"/>
      <c r="H20" s="11" t="s">
        <v>63</v>
      </c>
      <c r="I20" s="70">
        <v>17.64019775390625</v>
      </c>
      <c r="J20" s="74">
        <v>17.64019775390625</v>
      </c>
    </row>
    <row r="21" spans="1:10" ht="15" customHeight="1">
      <c r="A21" s="7" t="s">
        <v>64</v>
      </c>
      <c r="B21" s="71">
        <v>17</v>
      </c>
      <c r="C21" s="75">
        <v>3</v>
      </c>
      <c r="D21" s="11" t="s">
        <v>167</v>
      </c>
      <c r="E21" s="69">
        <v>0.12944140390600267</v>
      </c>
      <c r="F21" s="69">
        <v>0.10708015412092209</v>
      </c>
      <c r="G21" s="73">
        <v>2.7309999286058737E-2</v>
      </c>
      <c r="H21" s="11" t="s">
        <v>65</v>
      </c>
      <c r="I21" s="70">
        <v>28.128721237182617</v>
      </c>
      <c r="J21" s="74">
        <v>22.920938491821289</v>
      </c>
    </row>
    <row r="22" spans="1:10" ht="15" customHeight="1">
      <c r="A22" s="7" t="s">
        <v>66</v>
      </c>
      <c r="B22" s="71">
        <v>3.6500000953674316</v>
      </c>
      <c r="C22" s="75">
        <v>6</v>
      </c>
      <c r="D22" s="7" t="s">
        <v>67</v>
      </c>
      <c r="E22" s="53" t="s">
        <v>187</v>
      </c>
      <c r="F22" s="53" t="s">
        <v>187</v>
      </c>
      <c r="G22" s="54" t="s">
        <v>187</v>
      </c>
      <c r="H22" s="11" t="s">
        <v>68</v>
      </c>
      <c r="I22" s="70">
        <v>4.4773201942443848</v>
      </c>
      <c r="J22" s="74">
        <v>4.3803091049194336</v>
      </c>
    </row>
    <row r="23" spans="1:10" ht="15" customHeight="1">
      <c r="A23" s="7" t="s">
        <v>69</v>
      </c>
      <c r="B23" s="71">
        <v>9.8605947494506836</v>
      </c>
      <c r="C23" s="75">
        <v>14.653447151184082</v>
      </c>
      <c r="D23" s="7" t="s">
        <v>70</v>
      </c>
      <c r="E23" s="70">
        <v>1.7419999837875366</v>
      </c>
      <c r="F23" s="70">
        <v>1.7419999837875366</v>
      </c>
      <c r="G23" s="74">
        <v>1.7419999837875366</v>
      </c>
      <c r="H23" s="11" t="s">
        <v>71</v>
      </c>
      <c r="I23" s="70">
        <v>13.433469348952803</v>
      </c>
      <c r="J23" s="17" t="s">
        <v>199</v>
      </c>
    </row>
    <row r="24" spans="1:10" ht="15" customHeight="1">
      <c r="A24" s="7" t="s">
        <v>72</v>
      </c>
      <c r="B24" s="71">
        <v>0</v>
      </c>
      <c r="C24" s="75">
        <v>0.80000001192092896</v>
      </c>
      <c r="D24" s="7" t="s">
        <v>73</v>
      </c>
      <c r="E24" s="70">
        <v>8.8900003433227539</v>
      </c>
      <c r="F24" s="70">
        <v>8.8900003433227539</v>
      </c>
      <c r="G24" s="74">
        <v>8.8900003433227539</v>
      </c>
      <c r="H24" s="11" t="s">
        <v>74</v>
      </c>
      <c r="I24" s="70">
        <v>4.0282922706736697</v>
      </c>
      <c r="J24" s="74">
        <v>3.9800587323021279</v>
      </c>
    </row>
    <row r="25" spans="1:10" ht="15" customHeight="1">
      <c r="A25" s="7" t="s">
        <v>75</v>
      </c>
      <c r="B25" s="53" t="s">
        <v>175</v>
      </c>
      <c r="C25" s="75">
        <v>0.80000001192092896</v>
      </c>
      <c r="D25" s="111" t="s">
        <v>76</v>
      </c>
      <c r="E25" s="55"/>
      <c r="F25" s="55"/>
      <c r="G25" s="62"/>
      <c r="H25" s="11" t="s">
        <v>77</v>
      </c>
      <c r="I25" s="70">
        <v>0.26383155584335327</v>
      </c>
      <c r="J25" s="74">
        <v>0.52828466892242432</v>
      </c>
    </row>
    <row r="26" spans="1:10" ht="15" customHeight="1">
      <c r="A26" s="7" t="s">
        <v>78</v>
      </c>
      <c r="B26" s="55" t="s">
        <v>182</v>
      </c>
      <c r="C26" s="62" t="s">
        <v>183</v>
      </c>
      <c r="D26" s="11" t="s">
        <v>79</v>
      </c>
      <c r="E26" s="71">
        <v>400.6938922986069</v>
      </c>
      <c r="F26" s="71">
        <v>144.31137557315824</v>
      </c>
      <c r="G26" s="75">
        <v>50.818072728609586</v>
      </c>
      <c r="H26" s="11" t="s">
        <v>80</v>
      </c>
      <c r="I26" s="70">
        <v>5.1315164566040039</v>
      </c>
      <c r="J26" s="74">
        <v>4.7228569984436035</v>
      </c>
    </row>
    <row r="27" spans="1:10" ht="15" customHeight="1" thickBot="1">
      <c r="A27" s="7" t="s">
        <v>81</v>
      </c>
      <c r="B27" s="53" t="s">
        <v>175</v>
      </c>
      <c r="C27" s="54" t="s">
        <v>175</v>
      </c>
      <c r="D27" s="12" t="s">
        <v>82</v>
      </c>
      <c r="E27" s="82" t="s">
        <v>175</v>
      </c>
      <c r="F27" s="82" t="s">
        <v>175</v>
      </c>
      <c r="G27" s="84" t="s">
        <v>175</v>
      </c>
      <c r="H27" s="12" t="s">
        <v>83</v>
      </c>
      <c r="I27" s="81">
        <v>5.1382942199707031</v>
      </c>
      <c r="J27" s="83">
        <v>4.7523112297058105</v>
      </c>
    </row>
    <row r="28" spans="1:10" ht="15" customHeight="1">
      <c r="A28" s="7" t="s">
        <v>84</v>
      </c>
      <c r="B28" s="3"/>
      <c r="C28" s="40"/>
      <c r="D28" s="14" t="s">
        <v>85</v>
      </c>
      <c r="E28" s="23"/>
      <c r="F28" s="20"/>
      <c r="G28" s="43"/>
      <c r="H28" s="16"/>
      <c r="I28" s="29" t="s">
        <v>86</v>
      </c>
      <c r="J28" s="16"/>
    </row>
    <row r="29" spans="1:10" ht="15" customHeight="1">
      <c r="A29" s="8"/>
      <c r="B29" s="36" t="s">
        <v>87</v>
      </c>
      <c r="C29" s="77">
        <v>35.004475783018869</v>
      </c>
      <c r="D29" s="8"/>
      <c r="E29" s="4" t="s">
        <v>88</v>
      </c>
      <c r="F29" s="4" t="s">
        <v>89</v>
      </c>
      <c r="G29" s="4" t="s">
        <v>90</v>
      </c>
      <c r="H29" s="17" t="s">
        <v>91</v>
      </c>
      <c r="I29" s="4" t="s">
        <v>92</v>
      </c>
      <c r="J29" s="17" t="s">
        <v>93</v>
      </c>
    </row>
    <row r="30" spans="1:10" ht="15" customHeight="1" thickBot="1">
      <c r="A30" s="9"/>
      <c r="B30" s="65" t="s">
        <v>94</v>
      </c>
      <c r="C30" s="78">
        <v>35.036976060784191</v>
      </c>
      <c r="D30" s="11" t="s">
        <v>95</v>
      </c>
      <c r="E30" s="71">
        <v>30.237803750000001</v>
      </c>
      <c r="F30" s="71">
        <v>685.03803100585935</v>
      </c>
      <c r="G30" s="71">
        <v>12.296771048568498</v>
      </c>
      <c r="H30" s="76">
        <v>183.19172845207436</v>
      </c>
      <c r="I30" s="72">
        <v>76023.237278013417</v>
      </c>
      <c r="J30" s="76">
        <v>3770.2648396797044</v>
      </c>
    </row>
    <row r="31" spans="1:10" ht="15" customHeight="1">
      <c r="A31" s="24" t="s">
        <v>96</v>
      </c>
      <c r="B31" s="149"/>
      <c r="C31" s="28"/>
      <c r="D31" s="11" t="s">
        <v>97</v>
      </c>
      <c r="E31" s="71">
        <v>6.5</v>
      </c>
      <c r="F31" s="71">
        <v>797.82075728863128</v>
      </c>
      <c r="G31" s="71">
        <v>10.558456582991258</v>
      </c>
      <c r="H31" s="76">
        <v>24.371047921707959</v>
      </c>
      <c r="I31" s="72">
        <v>20743.339689504413</v>
      </c>
      <c r="J31" s="76">
        <v>803.66550412234994</v>
      </c>
    </row>
    <row r="32" spans="1:10" ht="15" customHeight="1">
      <c r="A32" s="7" t="s">
        <v>98</v>
      </c>
      <c r="B32" s="70" t="s">
        <v>241</v>
      </c>
      <c r="C32" s="112"/>
      <c r="D32" s="11" t="s">
        <v>99</v>
      </c>
      <c r="E32" s="71">
        <v>16.685769947421075</v>
      </c>
      <c r="F32" s="71">
        <v>1213.1106631378177</v>
      </c>
      <c r="G32" s="71">
        <v>6.943930247099166</v>
      </c>
      <c r="H32" s="76">
        <v>30.868674402728992</v>
      </c>
      <c r="I32" s="10" t="s">
        <v>100</v>
      </c>
      <c r="J32" s="76">
        <v>4573.9303438020543</v>
      </c>
    </row>
    <row r="33" spans="1:10" ht="15" customHeight="1">
      <c r="A33" s="7" t="s">
        <v>101</v>
      </c>
      <c r="B33" s="70" t="s">
        <v>242</v>
      </c>
      <c r="C33" s="113" t="s">
        <v>102</v>
      </c>
      <c r="D33" s="11" t="s">
        <v>97</v>
      </c>
      <c r="E33" s="71">
        <v>4.104999923706055</v>
      </c>
      <c r="F33" s="71">
        <v>988.00871888735855</v>
      </c>
      <c r="G33" s="71">
        <v>8.5259934105921609</v>
      </c>
      <c r="H33" s="76">
        <v>9.0281196959636993</v>
      </c>
      <c r="I33" s="10" t="s">
        <v>103</v>
      </c>
      <c r="J33" s="75" t="s">
        <v>210</v>
      </c>
    </row>
    <row r="34" spans="1:10" ht="15" customHeight="1" thickBot="1">
      <c r="A34" s="18" t="s">
        <v>104</v>
      </c>
      <c r="B34" s="81" t="s">
        <v>243</v>
      </c>
      <c r="C34" s="114">
        <v>8.4237558268412194</v>
      </c>
      <c r="D34" s="12" t="s">
        <v>20</v>
      </c>
      <c r="E34" s="81">
        <v>0.30000000000000004</v>
      </c>
      <c r="F34" s="82">
        <v>1888.3738566843022</v>
      </c>
      <c r="G34" s="82">
        <v>4.4608517519047082</v>
      </c>
      <c r="H34" s="85">
        <v>1064.9508095991303</v>
      </c>
      <c r="I34" s="10" t="s">
        <v>105</v>
      </c>
      <c r="J34" s="75">
        <v>6.0500001907348633</v>
      </c>
    </row>
    <row r="35" spans="1:10" ht="15" customHeight="1">
      <c r="A35" s="14" t="s">
        <v>106</v>
      </c>
      <c r="B35" s="15"/>
      <c r="C35" s="15"/>
      <c r="D35" s="139" t="s">
        <v>212</v>
      </c>
      <c r="E35" s="150" t="s">
        <v>211</v>
      </c>
      <c r="F35" s="16"/>
      <c r="G35" s="27" t="s">
        <v>107</v>
      </c>
      <c r="H35" s="87" t="s">
        <v>205</v>
      </c>
      <c r="I35" s="11" t="s">
        <v>108</v>
      </c>
      <c r="J35" s="76" t="s">
        <v>209</v>
      </c>
    </row>
    <row r="36" spans="1:10" ht="15" customHeight="1">
      <c r="A36" s="7" t="s">
        <v>109</v>
      </c>
      <c r="B36" s="4">
        <v>25</v>
      </c>
      <c r="C36" s="4">
        <v>50</v>
      </c>
      <c r="D36" s="4">
        <v>75</v>
      </c>
      <c r="E36" s="4">
        <v>100</v>
      </c>
      <c r="F36" s="17">
        <v>125</v>
      </c>
      <c r="G36" s="11" t="s">
        <v>110</v>
      </c>
      <c r="H36" s="76" t="s">
        <v>203</v>
      </c>
      <c r="I36" s="11" t="s">
        <v>111</v>
      </c>
      <c r="J36" s="76" t="s">
        <v>208</v>
      </c>
    </row>
    <row r="37" spans="1:10" ht="15" customHeight="1" thickBot="1">
      <c r="A37" s="7" t="s">
        <v>112</v>
      </c>
      <c r="B37" s="71" t="s">
        <v>223</v>
      </c>
      <c r="C37" s="71" t="s">
        <v>224</v>
      </c>
      <c r="D37" s="71" t="s">
        <v>225</v>
      </c>
      <c r="E37" s="71" t="s">
        <v>226</v>
      </c>
      <c r="F37" s="75" t="s">
        <v>227</v>
      </c>
      <c r="G37" s="11" t="s">
        <v>113</v>
      </c>
      <c r="H37" s="76" t="s">
        <v>204</v>
      </c>
      <c r="I37" s="12" t="s">
        <v>114</v>
      </c>
      <c r="J37" s="85" t="s">
        <v>207</v>
      </c>
    </row>
    <row r="38" spans="1:10" ht="15" customHeight="1" thickBot="1">
      <c r="A38" s="7" t="s">
        <v>115</v>
      </c>
      <c r="B38" s="70" t="s">
        <v>214</v>
      </c>
      <c r="C38" s="70" t="s">
        <v>215</v>
      </c>
      <c r="D38" s="70" t="s">
        <v>216</v>
      </c>
      <c r="E38" s="70" t="s">
        <v>217</v>
      </c>
      <c r="F38" s="74" t="s">
        <v>218</v>
      </c>
      <c r="G38" s="18" t="s">
        <v>116</v>
      </c>
      <c r="H38" s="85" t="s">
        <v>206</v>
      </c>
      <c r="I38" s="141" t="s">
        <v>213</v>
      </c>
      <c r="J38" s="86">
        <v>14268.4140625</v>
      </c>
    </row>
    <row r="39" spans="1:10" ht="15" customHeight="1">
      <c r="A39" s="7" t="s">
        <v>117</v>
      </c>
      <c r="B39" s="70" t="s">
        <v>219</v>
      </c>
      <c r="C39" s="70" t="s">
        <v>220</v>
      </c>
      <c r="D39" s="70" t="s">
        <v>221</v>
      </c>
      <c r="E39" s="70" t="s">
        <v>222</v>
      </c>
      <c r="F39" s="74" t="s">
        <v>221</v>
      </c>
      <c r="G39" s="14" t="s">
        <v>118</v>
      </c>
      <c r="H39" s="15"/>
      <c r="I39" s="41" t="s">
        <v>119</v>
      </c>
      <c r="J39" s="42" t="s">
        <v>120</v>
      </c>
    </row>
    <row r="40" spans="1:10" ht="15" customHeight="1">
      <c r="A40" s="7" t="s">
        <v>119</v>
      </c>
      <c r="B40" s="69" t="s">
        <v>236</v>
      </c>
      <c r="C40" s="69" t="s">
        <v>237</v>
      </c>
      <c r="D40" s="69" t="s">
        <v>238</v>
      </c>
      <c r="E40" s="69" t="s">
        <v>239</v>
      </c>
      <c r="F40" s="73" t="s">
        <v>240</v>
      </c>
      <c r="G40" s="37" t="s">
        <v>121</v>
      </c>
      <c r="H40" s="93" t="s">
        <v>244</v>
      </c>
      <c r="I40" s="57"/>
      <c r="J40" s="58"/>
    </row>
    <row r="41" spans="1:10" ht="15" customHeight="1">
      <c r="A41" s="7" t="s">
        <v>5</v>
      </c>
      <c r="B41" s="72" t="s">
        <v>231</v>
      </c>
      <c r="C41" s="72" t="s">
        <v>232</v>
      </c>
      <c r="D41" s="72" t="s">
        <v>233</v>
      </c>
      <c r="E41" s="72" t="s">
        <v>234</v>
      </c>
      <c r="F41" s="76" t="s">
        <v>235</v>
      </c>
      <c r="G41" s="38" t="s">
        <v>122</v>
      </c>
      <c r="H41" s="94" t="s">
        <v>245</v>
      </c>
      <c r="I41" s="59"/>
      <c r="J41" s="60"/>
    </row>
    <row r="42" spans="1:10" ht="15" customHeight="1">
      <c r="A42" s="7" t="s">
        <v>123</v>
      </c>
      <c r="B42" s="70">
        <v>11.458312294819933</v>
      </c>
      <c r="C42" s="70">
        <v>11.458312294819933</v>
      </c>
      <c r="D42" s="70">
        <v>11.458312294819933</v>
      </c>
      <c r="E42" s="70">
        <v>11.458312294819933</v>
      </c>
      <c r="F42" s="74">
        <v>11.458312294819933</v>
      </c>
      <c r="G42" s="37" t="s">
        <v>124</v>
      </c>
      <c r="H42" s="93" t="s">
        <v>246</v>
      </c>
      <c r="I42" s="57"/>
      <c r="J42" s="99">
        <v>0.1111670483558406</v>
      </c>
    </row>
    <row r="43" spans="1:10" ht="15" customHeight="1" thickBot="1">
      <c r="A43" s="18" t="s">
        <v>125</v>
      </c>
      <c r="B43" s="81">
        <v>11.458312294819933</v>
      </c>
      <c r="C43" s="81"/>
      <c r="D43" s="81" t="s">
        <v>249</v>
      </c>
      <c r="E43" s="81"/>
      <c r="F43" s="83"/>
      <c r="G43" s="38" t="s">
        <v>122</v>
      </c>
      <c r="H43" s="94" t="s">
        <v>247</v>
      </c>
      <c r="I43" s="59"/>
      <c r="J43" s="60"/>
    </row>
    <row r="44" spans="1:10" ht="15" customHeight="1">
      <c r="A44" s="6" t="s">
        <v>126</v>
      </c>
      <c r="B44" s="146"/>
      <c r="C44" s="3"/>
      <c r="D44" s="3"/>
      <c r="E44" s="6" t="s">
        <v>127</v>
      </c>
      <c r="F44" s="21"/>
      <c r="G44" s="37" t="s">
        <v>128</v>
      </c>
      <c r="H44" s="95">
        <v>1440.3465047912832</v>
      </c>
      <c r="I44" s="92">
        <v>2.6180840651422649E-2</v>
      </c>
      <c r="J44" s="99">
        <v>0.64432734729001473</v>
      </c>
    </row>
    <row r="45" spans="1:10" ht="15" customHeight="1">
      <c r="A45" s="7" t="s">
        <v>129</v>
      </c>
      <c r="B45" s="70">
        <v>0.23402832448482513</v>
      </c>
      <c r="C45" s="5" t="s">
        <v>130</v>
      </c>
      <c r="D45" s="74">
        <v>6.2798252329230309E-3</v>
      </c>
      <c r="E45" s="7" t="s">
        <v>131</v>
      </c>
      <c r="F45" s="76">
        <v>413.35128962464239</v>
      </c>
      <c r="G45" s="39" t="s">
        <v>122</v>
      </c>
      <c r="H45" s="88" t="s">
        <v>248</v>
      </c>
      <c r="I45" s="61"/>
      <c r="J45" s="62"/>
    </row>
    <row r="46" spans="1:10" ht="15" customHeight="1">
      <c r="A46" s="7" t="s">
        <v>132</v>
      </c>
      <c r="B46" s="70">
        <v>0.22762534022331238</v>
      </c>
      <c r="C46" s="5" t="s">
        <v>133</v>
      </c>
      <c r="D46" s="74">
        <v>5.9613185003399849E-3</v>
      </c>
      <c r="E46" s="7" t="s">
        <v>134</v>
      </c>
      <c r="F46" s="76">
        <v>740.97122717914453</v>
      </c>
      <c r="G46" s="38" t="s">
        <v>135</v>
      </c>
      <c r="H46" s="96">
        <v>314.19942687096278</v>
      </c>
      <c r="I46" s="59"/>
      <c r="J46" s="60"/>
    </row>
    <row r="47" spans="1:10" ht="15" customHeight="1">
      <c r="A47" s="7" t="s">
        <v>136</v>
      </c>
      <c r="B47" s="70">
        <v>0.46165364980697632</v>
      </c>
      <c r="C47" s="5" t="s">
        <v>137</v>
      </c>
      <c r="D47" s="74">
        <v>1.3851652853190899E-2</v>
      </c>
      <c r="E47" s="7" t="s">
        <v>138</v>
      </c>
      <c r="F47" s="76">
        <v>607.30472774683187</v>
      </c>
      <c r="G47" s="66" t="s">
        <v>139</v>
      </c>
      <c r="H47" s="95">
        <v>1403.142682909059</v>
      </c>
      <c r="I47" s="92">
        <v>2.5487994072215719E-2</v>
      </c>
      <c r="J47" s="97">
        <v>0.65337609086699688</v>
      </c>
    </row>
    <row r="48" spans="1:10" ht="15" customHeight="1">
      <c r="A48" s="7" t="s">
        <v>140</v>
      </c>
      <c r="B48" s="70">
        <v>1.1508597061038017E-2</v>
      </c>
      <c r="C48" s="5" t="s">
        <v>100</v>
      </c>
      <c r="D48" s="74">
        <v>3.7601392716169357E-2</v>
      </c>
      <c r="E48" s="7" t="s">
        <v>141</v>
      </c>
      <c r="F48" s="76">
        <v>7.8512471238223718</v>
      </c>
      <c r="G48" s="67" t="s">
        <v>122</v>
      </c>
      <c r="H48" s="88">
        <v>208.98758294410186</v>
      </c>
      <c r="I48" s="61"/>
      <c r="J48" s="62"/>
    </row>
    <row r="49" spans="1:10" ht="15" customHeight="1" thickBot="1">
      <c r="A49" s="9"/>
      <c r="B49" s="56"/>
      <c r="C49" s="34" t="s">
        <v>142</v>
      </c>
      <c r="D49" s="83">
        <v>0.96239858865737915</v>
      </c>
      <c r="E49" s="18" t="s">
        <v>143</v>
      </c>
      <c r="F49" s="85">
        <v>19.213617581450357</v>
      </c>
      <c r="G49" s="68" t="s">
        <v>135</v>
      </c>
      <c r="H49" s="96">
        <v>309.95971497298757</v>
      </c>
      <c r="I49" s="59"/>
      <c r="J49" s="63"/>
    </row>
    <row r="50" spans="1:10" ht="15" customHeight="1">
      <c r="A50" s="14" t="s">
        <v>195</v>
      </c>
      <c r="B50" s="15"/>
      <c r="C50" s="15"/>
      <c r="D50" s="15"/>
      <c r="E50" s="15"/>
      <c r="F50" s="16"/>
      <c r="G50" s="14" t="s">
        <v>144</v>
      </c>
      <c r="H50" s="15"/>
      <c r="I50" s="43"/>
      <c r="J50" s="28"/>
    </row>
    <row r="51" spans="1:10" ht="15" customHeight="1">
      <c r="A51" s="11" t="s">
        <v>145</v>
      </c>
      <c r="B51" s="53">
        <v>50</v>
      </c>
      <c r="C51" s="10" t="s">
        <v>146</v>
      </c>
      <c r="D51" s="71" t="s">
        <v>175</v>
      </c>
      <c r="E51" s="10" t="s">
        <v>147</v>
      </c>
      <c r="F51" s="75" t="s">
        <v>175</v>
      </c>
      <c r="G51" s="10" t="s">
        <v>148</v>
      </c>
      <c r="H51" s="69">
        <v>3.5938436770746075E-2</v>
      </c>
      <c r="I51" s="46" t="s">
        <v>149</v>
      </c>
      <c r="J51" s="40"/>
    </row>
    <row r="52" spans="1:10" ht="15" customHeight="1">
      <c r="A52" s="11" t="s">
        <v>58</v>
      </c>
      <c r="B52" s="71">
        <v>41.049999237060547</v>
      </c>
      <c r="C52" s="10" t="s">
        <v>150</v>
      </c>
      <c r="D52" s="71" t="s">
        <v>175</v>
      </c>
      <c r="E52" s="10" t="s">
        <v>151</v>
      </c>
      <c r="F52" s="75" t="s">
        <v>175</v>
      </c>
      <c r="G52" s="10" t="s">
        <v>169</v>
      </c>
      <c r="H52" s="71">
        <v>149088.42000000001</v>
      </c>
      <c r="I52" s="100" t="s">
        <v>228</v>
      </c>
      <c r="J52" s="64"/>
    </row>
    <row r="53" spans="1:10" ht="15" customHeight="1">
      <c r="A53" s="11" t="s">
        <v>64</v>
      </c>
      <c r="B53" s="71">
        <v>3</v>
      </c>
      <c r="C53" s="10" t="s">
        <v>152</v>
      </c>
      <c r="D53" s="71" t="s">
        <v>175</v>
      </c>
      <c r="E53" s="10" t="s">
        <v>153</v>
      </c>
      <c r="F53" s="75" t="s">
        <v>175</v>
      </c>
      <c r="G53" s="10" t="s">
        <v>170</v>
      </c>
      <c r="H53" s="70">
        <v>145.62750940841957</v>
      </c>
      <c r="I53" s="45" t="s">
        <v>154</v>
      </c>
      <c r="J53" s="40"/>
    </row>
    <row r="54" spans="1:10" ht="15" customHeight="1">
      <c r="A54" s="11" t="s">
        <v>66</v>
      </c>
      <c r="B54" s="71">
        <v>6</v>
      </c>
      <c r="C54" s="10" t="s">
        <v>155</v>
      </c>
      <c r="D54" s="71" t="s">
        <v>175</v>
      </c>
      <c r="E54" s="10" t="s">
        <v>153</v>
      </c>
      <c r="F54" s="75" t="s">
        <v>175</v>
      </c>
      <c r="G54" s="10" t="s">
        <v>171</v>
      </c>
      <c r="H54" s="72">
        <v>343882</v>
      </c>
      <c r="I54" s="101" t="s">
        <v>229</v>
      </c>
      <c r="J54" s="102" t="s">
        <v>193</v>
      </c>
    </row>
    <row r="55" spans="1:10" ht="15" customHeight="1">
      <c r="A55" s="11" t="s">
        <v>156</v>
      </c>
      <c r="B55" s="71">
        <v>12.050000190734863</v>
      </c>
      <c r="C55" s="10" t="s">
        <v>157</v>
      </c>
      <c r="D55" s="71" t="s">
        <v>175</v>
      </c>
      <c r="E55" s="10" t="s">
        <v>158</v>
      </c>
      <c r="F55" s="75" t="s">
        <v>175</v>
      </c>
      <c r="G55" s="10" t="s">
        <v>159</v>
      </c>
      <c r="H55" s="71">
        <v>1</v>
      </c>
      <c r="I55" s="45" t="s">
        <v>160</v>
      </c>
      <c r="J55" s="40"/>
    </row>
    <row r="56" spans="1:10" ht="15" customHeight="1" thickBot="1">
      <c r="A56" s="12" t="s">
        <v>161</v>
      </c>
      <c r="B56" s="82" t="s">
        <v>175</v>
      </c>
      <c r="C56" s="22" t="s">
        <v>162</v>
      </c>
      <c r="D56" s="82" t="s">
        <v>175</v>
      </c>
      <c r="E56" s="22" t="s">
        <v>163</v>
      </c>
      <c r="F56" s="84" t="s">
        <v>175</v>
      </c>
      <c r="G56" s="22" t="s">
        <v>164</v>
      </c>
      <c r="H56" s="81">
        <v>0.89993499999999993</v>
      </c>
      <c r="I56" s="103" t="s">
        <v>230</v>
      </c>
      <c r="J56" s="63" t="s">
        <v>194</v>
      </c>
    </row>
    <row r="57" spans="1:10" ht="15" customHeight="1">
      <c r="A57" s="24" t="s">
        <v>343</v>
      </c>
      <c r="B57" s="43"/>
      <c r="C57" s="43"/>
      <c r="D57" s="43"/>
      <c r="E57" s="43"/>
      <c r="F57" s="28"/>
      <c r="G57" s="121"/>
      <c r="H57" s="122"/>
      <c r="I57" s="122"/>
      <c r="J57" s="123"/>
    </row>
    <row r="58" spans="1:10" ht="15" customHeight="1">
      <c r="A58" s="104" t="s">
        <v>119</v>
      </c>
      <c r="B58" s="4" t="s">
        <v>165</v>
      </c>
      <c r="C58" s="17" t="s">
        <v>344</v>
      </c>
      <c r="D58" s="4" t="s">
        <v>119</v>
      </c>
      <c r="E58" s="4" t="s">
        <v>165</v>
      </c>
      <c r="F58" s="17" t="s">
        <v>345</v>
      </c>
      <c r="G58" s="124"/>
      <c r="H58" s="47"/>
      <c r="I58" s="47"/>
      <c r="J58" s="48"/>
    </row>
    <row r="59" spans="1:10" ht="15" customHeight="1">
      <c r="A59" s="128">
        <v>0</v>
      </c>
      <c r="B59" s="88">
        <v>0</v>
      </c>
      <c r="C59" s="89">
        <v>0.20877803862094879</v>
      </c>
      <c r="D59" s="130">
        <v>0.68736839294433594</v>
      </c>
      <c r="E59" s="88">
        <v>115.03632501922198</v>
      </c>
      <c r="F59" s="89">
        <v>635.2938232421875</v>
      </c>
      <c r="G59" s="124"/>
      <c r="H59" s="47"/>
      <c r="I59" s="47"/>
      <c r="J59" s="48"/>
    </row>
    <row r="60" spans="1:10" ht="15" customHeight="1">
      <c r="A60" s="132">
        <v>2.0000003278255463E-3</v>
      </c>
      <c r="B60" s="88">
        <v>160.97573421079929</v>
      </c>
      <c r="C60" s="89">
        <v>201.68807983398438</v>
      </c>
      <c r="D60" s="130">
        <v>0.79157894849777222</v>
      </c>
      <c r="E60" s="88">
        <v>115.02035766803704</v>
      </c>
      <c r="F60" s="89">
        <v>639.24609375</v>
      </c>
      <c r="G60" s="124"/>
      <c r="H60" s="47"/>
      <c r="I60" s="47"/>
      <c r="J60" s="48"/>
    </row>
    <row r="61" spans="1:10" ht="15" customHeight="1">
      <c r="A61" s="132">
        <v>1.0000001639127731E-2</v>
      </c>
      <c r="B61" s="88">
        <v>220</v>
      </c>
      <c r="C61" s="89">
        <v>513.1612548828125</v>
      </c>
      <c r="D61" s="130">
        <v>0.89578944444656372</v>
      </c>
      <c r="E61" s="88">
        <v>115.00512871681954</v>
      </c>
      <c r="F61" s="89">
        <v>642.4952392578125</v>
      </c>
      <c r="G61" s="124"/>
      <c r="H61" s="47"/>
      <c r="I61" s="47"/>
      <c r="J61" s="48"/>
    </row>
    <row r="62" spans="1:10" ht="15" customHeight="1">
      <c r="A62" s="128">
        <v>6.2105264514684677E-2</v>
      </c>
      <c r="B62" s="88">
        <v>142.94271318130103</v>
      </c>
      <c r="C62" s="89">
        <v>569.70233154296875</v>
      </c>
      <c r="D62" s="131">
        <v>1</v>
      </c>
      <c r="E62" s="88">
        <v>115</v>
      </c>
      <c r="F62" s="89">
        <v>645.2174072265625</v>
      </c>
      <c r="G62" s="124"/>
      <c r="H62" s="47"/>
      <c r="I62" s="47"/>
      <c r="J62" s="48"/>
    </row>
    <row r="63" spans="1:10" ht="15" customHeight="1" thickBot="1">
      <c r="A63" s="128">
        <v>0.11421053111553192</v>
      </c>
      <c r="B63" s="88">
        <v>123.661691845137</v>
      </c>
      <c r="C63" s="89">
        <v>585.5333251953125</v>
      </c>
      <c r="D63" s="309"/>
      <c r="E63" s="310"/>
      <c r="F63" s="311"/>
      <c r="G63" s="124"/>
      <c r="H63" s="47"/>
      <c r="I63" s="47"/>
      <c r="J63" s="48"/>
    </row>
    <row r="64" spans="1:10" ht="15" customHeight="1">
      <c r="A64" s="128">
        <v>0.16631579399108887</v>
      </c>
      <c r="B64" s="88">
        <v>117.57879800665629</v>
      </c>
      <c r="C64" s="89">
        <v>594.2723388671875</v>
      </c>
      <c r="D64" s="312" t="s">
        <v>353</v>
      </c>
      <c r="E64" s="313"/>
      <c r="F64" s="313"/>
      <c r="G64" s="124"/>
      <c r="H64" s="47"/>
      <c r="I64" s="47"/>
      <c r="J64" s="48"/>
    </row>
    <row r="65" spans="1:10" ht="15" customHeight="1">
      <c r="A65" s="128">
        <v>0.27052631974220276</v>
      </c>
      <c r="B65" s="88">
        <v>115.21807463530948</v>
      </c>
      <c r="C65" s="89">
        <v>606.6534423828125</v>
      </c>
      <c r="D65" s="314" t="s">
        <v>347</v>
      </c>
      <c r="E65" s="316" t="s">
        <v>351</v>
      </c>
      <c r="F65" s="317"/>
      <c r="G65" s="124"/>
      <c r="H65" s="47"/>
      <c r="I65" s="47"/>
      <c r="J65" s="48"/>
    </row>
    <row r="66" spans="1:10" ht="15" customHeight="1">
      <c r="A66" s="128">
        <v>0.37473684549331665</v>
      </c>
      <c r="B66" s="88">
        <v>115.15325107090621</v>
      </c>
      <c r="C66" s="89">
        <v>616.406982421875</v>
      </c>
      <c r="D66" s="314" t="s">
        <v>348</v>
      </c>
      <c r="E66" s="316" t="s">
        <v>352</v>
      </c>
      <c r="F66" s="317"/>
      <c r="G66" s="124"/>
      <c r="H66" s="47"/>
      <c r="I66" s="47"/>
      <c r="J66" s="48"/>
    </row>
    <row r="67" spans="1:10" ht="15" customHeight="1">
      <c r="A67" s="128">
        <v>0.47894737124443054</v>
      </c>
      <c r="B67" s="88">
        <v>115.09738952576019</v>
      </c>
      <c r="C67" s="89">
        <v>624.1990966796875</v>
      </c>
      <c r="D67" s="314" t="s">
        <v>349</v>
      </c>
      <c r="E67" s="316" t="s">
        <v>354</v>
      </c>
      <c r="F67" s="317"/>
      <c r="G67" s="124"/>
      <c r="H67" s="47"/>
      <c r="I67" s="47"/>
      <c r="J67" s="48"/>
    </row>
    <row r="68" spans="1:10" ht="15" customHeight="1" thickBot="1">
      <c r="A68" s="129">
        <v>0.58315789699554443</v>
      </c>
      <c r="B68" s="90">
        <v>115.06380563732853</v>
      </c>
      <c r="C68" s="91">
        <v>630.3992919921875</v>
      </c>
      <c r="D68" s="315" t="s">
        <v>350</v>
      </c>
      <c r="E68" s="318" t="s">
        <v>355</v>
      </c>
      <c r="F68" s="318"/>
      <c r="G68" s="125"/>
      <c r="H68" s="49"/>
      <c r="I68" s="49"/>
      <c r="J68" s="50"/>
    </row>
    <row r="69" spans="1:10" ht="15" customHeight="1">
      <c r="A69" s="33"/>
      <c r="B69" s="33"/>
      <c r="C69" s="33"/>
      <c r="D69" s="33"/>
      <c r="E69" s="33"/>
      <c r="F69" s="33"/>
      <c r="G69" s="33"/>
      <c r="H69" s="33"/>
      <c r="I69" s="33"/>
      <c r="J69" s="33"/>
    </row>
    <row r="70" spans="1:10" ht="15" customHeight="1">
      <c r="A70" s="33"/>
      <c r="B70" s="33"/>
      <c r="C70" s="33"/>
      <c r="D70" s="33"/>
      <c r="E70" s="33"/>
      <c r="F70" s="33"/>
      <c r="G70" s="33"/>
      <c r="H70" s="33"/>
      <c r="I70" s="33"/>
      <c r="J70" s="33"/>
    </row>
    <row r="71" spans="1:10">
      <c r="A71" s="1"/>
      <c r="B71" s="1"/>
      <c r="C71" s="1"/>
      <c r="D71" s="1"/>
      <c r="E71" s="1"/>
      <c r="F71" s="1"/>
      <c r="G71" s="1"/>
      <c r="H71" s="1"/>
      <c r="I71" s="1"/>
      <c r="J71" s="1"/>
    </row>
    <row r="99" spans="1:9">
      <c r="A99" s="308" t="s">
        <v>346</v>
      </c>
      <c r="B99" s="308"/>
      <c r="C99" s="308"/>
      <c r="D99" s="308"/>
      <c r="E99" s="308"/>
      <c r="F99" s="308"/>
      <c r="G99" s="308"/>
      <c r="H99" s="308"/>
      <c r="I99" s="308"/>
    </row>
    <row r="100" spans="1:9">
      <c r="A100" s="308">
        <v>100</v>
      </c>
      <c r="B100" s="308"/>
      <c r="C100" s="308"/>
      <c r="D100" s="308"/>
      <c r="E100" s="308"/>
      <c r="F100" s="308"/>
      <c r="G100" s="308"/>
      <c r="H100" s="308"/>
      <c r="I100" s="308"/>
    </row>
    <row r="101" spans="1:9">
      <c r="A101" s="308">
        <v>99.599998474121094</v>
      </c>
      <c r="B101" s="308"/>
      <c r="C101" s="308"/>
      <c r="D101" s="308"/>
      <c r="E101" s="308"/>
      <c r="F101" s="308"/>
      <c r="G101" s="308"/>
      <c r="H101" s="308"/>
      <c r="I101" s="308"/>
    </row>
    <row r="102" spans="1:9">
      <c r="A102" s="308">
        <v>98</v>
      </c>
      <c r="B102" s="308"/>
      <c r="C102" s="308"/>
      <c r="D102" s="308"/>
      <c r="E102" s="308"/>
      <c r="F102" s="308"/>
      <c r="G102" s="308"/>
      <c r="H102" s="308"/>
      <c r="I102" s="308"/>
    </row>
    <row r="103" spans="1:9">
      <c r="A103" s="308">
        <v>83.852630615234375</v>
      </c>
      <c r="B103" s="308"/>
      <c r="C103" s="308"/>
      <c r="D103" s="308"/>
      <c r="E103" s="308"/>
      <c r="F103" s="308"/>
      <c r="G103" s="308"/>
      <c r="H103" s="308"/>
      <c r="I103" s="308"/>
    </row>
    <row r="104" spans="1:9">
      <c r="A104" s="308">
        <v>70.305259704589844</v>
      </c>
      <c r="B104" s="308"/>
      <c r="C104" s="308"/>
      <c r="D104" s="308"/>
      <c r="E104" s="308"/>
      <c r="F104" s="308"/>
      <c r="G104" s="308"/>
      <c r="H104" s="308"/>
      <c r="I104" s="308"/>
    </row>
    <row r="105" spans="1:9">
      <c r="A105" s="308">
        <v>57.410526275634766</v>
      </c>
      <c r="B105" s="308"/>
      <c r="C105" s="308"/>
      <c r="D105" s="308"/>
      <c r="E105" s="308"/>
      <c r="F105" s="308"/>
      <c r="G105" s="308"/>
      <c r="H105" s="308"/>
      <c r="I105" s="308"/>
    </row>
    <row r="106" spans="1:9">
      <c r="A106" s="308">
        <v>38.010524749755859</v>
      </c>
      <c r="B106" s="308"/>
      <c r="C106" s="308"/>
      <c r="D106" s="308"/>
      <c r="E106" s="308"/>
      <c r="F106" s="308"/>
      <c r="G106" s="308"/>
      <c r="H106" s="308"/>
      <c r="I106" s="308"/>
    </row>
    <row r="107" spans="1:9">
      <c r="A107" s="308">
        <v>24.778947830200195</v>
      </c>
      <c r="B107" s="308"/>
      <c r="C107" s="308"/>
      <c r="D107" s="308"/>
      <c r="E107" s="308"/>
      <c r="F107" s="308"/>
      <c r="G107" s="308"/>
      <c r="H107" s="308"/>
      <c r="I107" s="308"/>
    </row>
    <row r="108" spans="1:9">
      <c r="A108" s="308">
        <v>15.684209823608398</v>
      </c>
      <c r="B108" s="308"/>
      <c r="C108" s="308"/>
      <c r="D108" s="308"/>
      <c r="E108" s="308"/>
      <c r="F108" s="308"/>
      <c r="G108" s="308"/>
      <c r="H108" s="308"/>
      <c r="I108" s="308"/>
    </row>
    <row r="109" spans="1:9">
      <c r="A109" s="308">
        <v>9.0105257034301758</v>
      </c>
      <c r="B109" s="308"/>
      <c r="C109" s="308"/>
      <c r="D109" s="308"/>
      <c r="E109" s="308"/>
      <c r="F109" s="308"/>
      <c r="G109" s="308"/>
      <c r="H109" s="308"/>
      <c r="I109" s="308"/>
    </row>
    <row r="110" spans="1:9">
      <c r="A110" s="308">
        <v>6.2526321411132813</v>
      </c>
      <c r="B110" s="308"/>
      <c r="C110" s="308"/>
      <c r="D110" s="308"/>
      <c r="E110" s="308"/>
      <c r="F110" s="308"/>
      <c r="G110" s="308"/>
      <c r="H110" s="308"/>
      <c r="I110" s="308"/>
    </row>
    <row r="111" spans="1:9">
      <c r="A111" s="308">
        <v>7.8315787315368652</v>
      </c>
      <c r="B111" s="308"/>
      <c r="C111" s="308"/>
      <c r="D111" s="308"/>
      <c r="E111" s="308"/>
      <c r="F111" s="308"/>
      <c r="G111" s="308"/>
      <c r="H111" s="308"/>
      <c r="I111" s="308"/>
    </row>
    <row r="112" spans="1:9">
      <c r="A112" s="308">
        <v>14.70526123046875</v>
      </c>
      <c r="B112" s="308"/>
      <c r="C112" s="308"/>
      <c r="D112" s="308"/>
      <c r="E112" s="308"/>
      <c r="F112" s="308"/>
      <c r="G112" s="308"/>
      <c r="H112" s="308"/>
      <c r="I112" s="308"/>
    </row>
    <row r="113" spans="1:9">
      <c r="A113" s="308">
        <v>30</v>
      </c>
      <c r="B113" s="308"/>
      <c r="C113" s="308"/>
      <c r="D113" s="308"/>
      <c r="E113" s="308"/>
      <c r="F113" s="308"/>
      <c r="G113" s="308"/>
      <c r="H113" s="308"/>
      <c r="I113" s="308"/>
    </row>
  </sheetData>
  <printOptions horizontalCentered="1"/>
  <pageMargins left="0.86614173228346503" right="0" top="0.23622047244094499" bottom="0.23622047244094499" header="0" footer="0"/>
  <pageSetup scale="76"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53"/>
  <sheetViews>
    <sheetView tabSelected="1" workbookViewId="0">
      <selection activeCell="O10" sqref="O10"/>
    </sheetView>
  </sheetViews>
  <sheetFormatPr defaultColWidth="9.140625" defaultRowHeight="15.75"/>
  <cols>
    <col min="1" max="1" width="12.140625" style="304" customWidth="1"/>
    <col min="2" max="2" width="6.140625" style="304" customWidth="1"/>
    <col min="3" max="3" width="7.7109375" style="304" customWidth="1"/>
    <col min="4" max="5" width="13.140625" style="304" customWidth="1"/>
    <col min="6" max="6" width="9.42578125" style="304" customWidth="1"/>
    <col min="7" max="7" width="5.7109375" style="304" customWidth="1"/>
    <col min="8" max="8" width="7.85546875" style="304" customWidth="1"/>
    <col min="9" max="9" width="6.5703125" style="304" customWidth="1"/>
    <col min="10" max="10" width="12" style="305" customWidth="1"/>
    <col min="11" max="11" width="12" style="304" customWidth="1"/>
    <col min="12" max="12" width="16" style="153" customWidth="1"/>
    <col min="13" max="26" width="9.140625" style="153"/>
    <col min="27" max="16384" width="9.140625" style="154"/>
  </cols>
  <sheetData>
    <row r="1" spans="1:26" ht="20.25" customHeight="1">
      <c r="A1" s="597" t="s">
        <v>250</v>
      </c>
      <c r="B1" s="597"/>
      <c r="C1" s="597"/>
      <c r="D1" s="597"/>
      <c r="E1" s="597"/>
      <c r="F1" s="597"/>
      <c r="G1" s="597"/>
      <c r="H1" s="597"/>
      <c r="I1" s="597"/>
      <c r="J1" s="597"/>
      <c r="K1" s="597"/>
    </row>
    <row r="2" spans="1:26" ht="20.25" customHeight="1">
      <c r="A2" s="598" t="s">
        <v>251</v>
      </c>
      <c r="B2" s="598"/>
      <c r="C2" s="598"/>
      <c r="D2" s="598"/>
      <c r="E2" s="598"/>
      <c r="F2" s="598"/>
      <c r="G2" s="598"/>
      <c r="H2" s="598"/>
      <c r="I2" s="598"/>
      <c r="J2" s="598"/>
      <c r="K2" s="598"/>
    </row>
    <row r="3" spans="1:26" ht="18.75" customHeight="1" thickBot="1">
      <c r="A3" s="155" t="s">
        <v>1</v>
      </c>
      <c r="B3" s="156" t="s">
        <v>335</v>
      </c>
      <c r="C3" s="157"/>
      <c r="D3" s="157"/>
      <c r="E3" s="157"/>
      <c r="F3" s="158"/>
      <c r="G3" s="157"/>
      <c r="H3" s="157"/>
      <c r="I3" s="155" t="s">
        <v>252</v>
      </c>
      <c r="J3" s="599" t="s">
        <v>542</v>
      </c>
      <c r="K3" s="599"/>
    </row>
    <row r="4" spans="1:26" s="167" customFormat="1" ht="18.399999999999999" customHeight="1" thickBot="1">
      <c r="A4" s="159" t="s">
        <v>555</v>
      </c>
      <c r="B4" s="160"/>
      <c r="C4" s="161"/>
      <c r="D4" s="161"/>
      <c r="E4" s="161"/>
      <c r="F4" s="161"/>
      <c r="G4" s="161"/>
      <c r="H4" s="161"/>
      <c r="I4" s="161"/>
      <c r="J4" s="161"/>
      <c r="K4" s="162"/>
      <c r="L4" s="163"/>
      <c r="M4" s="163"/>
      <c r="N4" s="163"/>
      <c r="O4" s="163"/>
      <c r="P4" s="163"/>
      <c r="Q4" s="164" t="s">
        <v>253</v>
      </c>
      <c r="R4" s="165"/>
      <c r="S4" s="163"/>
      <c r="T4" s="164" t="s">
        <v>254</v>
      </c>
      <c r="U4" s="166"/>
      <c r="V4" s="163"/>
      <c r="W4" s="163"/>
      <c r="X4" s="163"/>
      <c r="Y4" s="163"/>
      <c r="Z4" s="163"/>
    </row>
    <row r="5" spans="1:26" s="167" customFormat="1" ht="18.399999999999999" customHeight="1">
      <c r="A5" s="600" t="s">
        <v>255</v>
      </c>
      <c r="B5" s="601"/>
      <c r="C5" s="601"/>
      <c r="D5" s="168"/>
      <c r="E5" s="169"/>
      <c r="F5" s="170" t="s">
        <v>256</v>
      </c>
      <c r="G5" s="171"/>
      <c r="H5" s="171"/>
      <c r="I5" s="172"/>
      <c r="J5" s="173" t="s">
        <v>257</v>
      </c>
      <c r="K5" s="174" t="s">
        <v>258</v>
      </c>
      <c r="L5" s="163"/>
      <c r="M5" s="163"/>
      <c r="N5" s="163"/>
      <c r="O5" s="163"/>
      <c r="P5" s="163"/>
      <c r="Q5" s="175" t="s">
        <v>259</v>
      </c>
      <c r="R5" s="176"/>
      <c r="S5" s="163"/>
      <c r="T5" s="175" t="s">
        <v>260</v>
      </c>
      <c r="U5" s="177"/>
      <c r="V5" s="163"/>
      <c r="W5" s="163"/>
      <c r="X5" s="163"/>
      <c r="Y5" s="163"/>
      <c r="Z5" s="163"/>
    </row>
    <row r="6" spans="1:26" s="167" customFormat="1" ht="18.399999999999999" customHeight="1">
      <c r="A6" s="602" t="s">
        <v>67</v>
      </c>
      <c r="B6" s="603"/>
      <c r="C6" s="603"/>
      <c r="D6" s="604" t="s">
        <v>264</v>
      </c>
      <c r="E6" s="605"/>
      <c r="F6" s="532" t="s">
        <v>262</v>
      </c>
      <c r="G6" s="533"/>
      <c r="H6" s="533"/>
      <c r="I6" s="533"/>
      <c r="J6" s="533"/>
      <c r="K6" s="534"/>
      <c r="L6" s="163"/>
      <c r="M6" s="163"/>
      <c r="N6" s="163"/>
      <c r="O6" s="163"/>
      <c r="P6" s="163"/>
      <c r="Q6" s="175" t="s">
        <v>263</v>
      </c>
      <c r="R6" s="176"/>
      <c r="S6" s="163"/>
      <c r="T6" s="175" t="s">
        <v>264</v>
      </c>
      <c r="U6" s="177"/>
      <c r="V6" s="163"/>
      <c r="W6" s="163"/>
      <c r="X6" s="163"/>
      <c r="Y6" s="163"/>
      <c r="Z6" s="163"/>
    </row>
    <row r="7" spans="1:26" s="167" customFormat="1" ht="18.399999999999999" customHeight="1">
      <c r="A7" s="593" t="s">
        <v>20</v>
      </c>
      <c r="B7" s="594"/>
      <c r="C7" s="594"/>
      <c r="D7" s="595">
        <v>3</v>
      </c>
      <c r="E7" s="596"/>
      <c r="F7" s="178" t="s">
        <v>265</v>
      </c>
      <c r="G7" s="179"/>
      <c r="H7" s="180"/>
      <c r="I7" s="181"/>
      <c r="J7" s="182">
        <v>27</v>
      </c>
      <c r="K7" s="183">
        <v>26.5</v>
      </c>
      <c r="L7" s="163"/>
      <c r="M7" s="163">
        <f>K7*1.732</f>
        <v>45.897999999999996</v>
      </c>
      <c r="N7" s="163"/>
      <c r="O7" s="163"/>
      <c r="P7" s="163"/>
      <c r="Q7" s="175" t="s">
        <v>266</v>
      </c>
      <c r="R7" s="176"/>
      <c r="S7" s="163"/>
      <c r="T7" s="175" t="s">
        <v>261</v>
      </c>
      <c r="U7" s="177"/>
      <c r="V7" s="163"/>
      <c r="W7" s="163"/>
      <c r="X7" s="163"/>
      <c r="Y7" s="163"/>
      <c r="Z7" s="163"/>
    </row>
    <row r="8" spans="1:26" s="167" customFormat="1" ht="18.399999999999999" customHeight="1">
      <c r="A8" s="593" t="s">
        <v>267</v>
      </c>
      <c r="B8" s="594"/>
      <c r="C8" s="594"/>
      <c r="D8" s="579">
        <v>580</v>
      </c>
      <c r="E8" s="575"/>
      <c r="F8" s="184" t="s">
        <v>268</v>
      </c>
      <c r="G8" s="185"/>
      <c r="H8" s="186"/>
      <c r="I8" s="187"/>
      <c r="J8" s="188">
        <v>14743</v>
      </c>
      <c r="K8" s="189">
        <v>10951</v>
      </c>
      <c r="L8" s="163"/>
      <c r="M8" s="163"/>
      <c r="N8" s="163"/>
      <c r="O8" s="163"/>
      <c r="P8" s="163"/>
      <c r="Q8" s="175" t="s">
        <v>269</v>
      </c>
      <c r="R8" s="176"/>
      <c r="S8" s="163"/>
      <c r="T8" s="175" t="s">
        <v>270</v>
      </c>
      <c r="U8" s="177"/>
      <c r="V8" s="163"/>
      <c r="W8" s="163"/>
      <c r="X8" s="163"/>
      <c r="Y8" s="163"/>
      <c r="Z8" s="163"/>
    </row>
    <row r="9" spans="1:26" s="167" customFormat="1" ht="18.399999999999999" customHeight="1">
      <c r="A9" s="588" t="s">
        <v>271</v>
      </c>
      <c r="B9" s="589"/>
      <c r="C9" s="590"/>
      <c r="D9" s="579">
        <v>11</v>
      </c>
      <c r="E9" s="575"/>
      <c r="F9" s="178" t="s">
        <v>272</v>
      </c>
      <c r="G9" s="179"/>
      <c r="H9" s="190">
        <v>3</v>
      </c>
      <c r="I9" s="191" t="s">
        <v>273</v>
      </c>
      <c r="J9" s="188">
        <v>109.68</v>
      </c>
      <c r="K9" s="189">
        <v>153.9</v>
      </c>
      <c r="L9" s="163"/>
      <c r="M9" s="163">
        <f>K9/M10*1150</f>
        <v>256.5</v>
      </c>
      <c r="N9" s="163"/>
      <c r="O9" s="163"/>
      <c r="P9" s="163"/>
      <c r="Q9" s="175" t="s">
        <v>274</v>
      </c>
      <c r="R9" s="176"/>
      <c r="S9" s="163"/>
      <c r="T9" s="175" t="s">
        <v>275</v>
      </c>
      <c r="U9" s="177"/>
      <c r="V9" s="163"/>
      <c r="W9" s="163"/>
      <c r="X9" s="163"/>
      <c r="Y9" s="163"/>
      <c r="Z9" s="163"/>
    </row>
    <row r="10" spans="1:26" s="167" customFormat="1" ht="18.399999999999999" customHeight="1" thickBot="1">
      <c r="A10" s="588" t="s">
        <v>276</v>
      </c>
      <c r="B10" s="589"/>
      <c r="C10" s="590"/>
      <c r="D10" s="562" t="s">
        <v>185</v>
      </c>
      <c r="E10" s="563"/>
      <c r="F10" s="178" t="s">
        <v>277</v>
      </c>
      <c r="G10" s="179"/>
      <c r="H10" s="190">
        <v>3</v>
      </c>
      <c r="I10" s="191" t="s">
        <v>273</v>
      </c>
      <c r="J10" s="192">
        <v>1150</v>
      </c>
      <c r="K10" s="189">
        <v>1150</v>
      </c>
      <c r="L10" s="163"/>
      <c r="M10" s="163">
        <v>690</v>
      </c>
      <c r="N10" s="163"/>
      <c r="O10" s="163"/>
      <c r="P10" s="163"/>
      <c r="Q10" s="175" t="s">
        <v>278</v>
      </c>
      <c r="R10" s="176"/>
      <c r="S10" s="163"/>
      <c r="T10" s="193" t="s">
        <v>279</v>
      </c>
      <c r="U10" s="194"/>
      <c r="V10" s="163"/>
      <c r="W10" s="163"/>
      <c r="X10" s="163"/>
      <c r="Y10" s="163"/>
      <c r="Z10" s="163"/>
    </row>
    <row r="11" spans="1:26" s="167" customFormat="1" ht="18.399999999999999" customHeight="1" thickBot="1">
      <c r="A11" s="588" t="s">
        <v>280</v>
      </c>
      <c r="B11" s="589"/>
      <c r="C11" s="590"/>
      <c r="D11" s="557" t="s">
        <v>175</v>
      </c>
      <c r="E11" s="558"/>
      <c r="F11" s="195" t="s">
        <v>281</v>
      </c>
      <c r="G11" s="196"/>
      <c r="H11" s="197">
        <v>3</v>
      </c>
      <c r="I11" s="191" t="s">
        <v>273</v>
      </c>
      <c r="J11" s="198">
        <v>24003</v>
      </c>
      <c r="K11" s="199">
        <v>32761</v>
      </c>
      <c r="L11" s="163"/>
      <c r="M11" s="163">
        <f>K11*690^2/660^2</f>
        <v>35806.960743801654</v>
      </c>
      <c r="N11" s="163"/>
      <c r="O11" s="163"/>
      <c r="P11" s="163"/>
      <c r="Q11" s="193" t="s">
        <v>282</v>
      </c>
      <c r="R11" s="200"/>
      <c r="S11" s="163"/>
      <c r="T11" s="163"/>
      <c r="U11" s="163"/>
      <c r="V11" s="163"/>
      <c r="W11" s="163"/>
      <c r="X11" s="163"/>
      <c r="Y11" s="163"/>
      <c r="Z11" s="163"/>
    </row>
    <row r="12" spans="1:26" s="167" customFormat="1" ht="18.399999999999999" customHeight="1">
      <c r="A12" s="201" t="s">
        <v>283</v>
      </c>
      <c r="C12" s="202"/>
      <c r="D12" s="591" t="s">
        <v>175</v>
      </c>
      <c r="E12" s="592"/>
      <c r="F12" s="559" t="s">
        <v>284</v>
      </c>
      <c r="G12" s="560"/>
      <c r="H12" s="560"/>
      <c r="I12" s="560"/>
      <c r="J12" s="560"/>
      <c r="K12" s="561"/>
      <c r="L12" s="163"/>
      <c r="M12" s="163"/>
      <c r="N12" s="163"/>
      <c r="O12" s="163"/>
      <c r="P12" s="163"/>
      <c r="Q12" s="163"/>
      <c r="R12" s="163"/>
      <c r="S12" s="163"/>
      <c r="T12" s="163"/>
      <c r="U12" s="163"/>
      <c r="V12" s="163"/>
      <c r="W12" s="163"/>
      <c r="X12" s="163"/>
      <c r="Y12" s="163"/>
      <c r="Z12" s="163"/>
    </row>
    <row r="13" spans="1:26" s="167" customFormat="1" ht="18.399999999999999" customHeight="1">
      <c r="A13" s="588" t="s">
        <v>53</v>
      </c>
      <c r="B13" s="589"/>
      <c r="C13" s="590"/>
      <c r="D13" s="582" t="s">
        <v>554</v>
      </c>
      <c r="E13" s="583"/>
      <c r="F13" s="203"/>
      <c r="G13" s="204" t="s">
        <v>285</v>
      </c>
      <c r="H13" s="205"/>
      <c r="I13" s="206" t="s">
        <v>286</v>
      </c>
      <c r="J13" s="207" t="s">
        <v>338</v>
      </c>
      <c r="K13" s="208" t="s">
        <v>175</v>
      </c>
      <c r="L13" s="163"/>
      <c r="M13" s="163"/>
      <c r="N13" s="163"/>
      <c r="O13" s="163"/>
      <c r="P13" s="163"/>
      <c r="Q13" s="163"/>
      <c r="R13" s="163"/>
      <c r="S13" s="163"/>
      <c r="T13" s="163"/>
      <c r="U13" s="163"/>
      <c r="V13" s="163"/>
      <c r="W13" s="163"/>
      <c r="X13" s="163"/>
      <c r="Y13" s="163"/>
      <c r="Z13" s="163"/>
    </row>
    <row r="14" spans="1:26" s="167" customFormat="1" ht="18.399999999999999" customHeight="1">
      <c r="A14" s="588" t="s">
        <v>56</v>
      </c>
      <c r="B14" s="589"/>
      <c r="C14" s="590"/>
      <c r="D14" s="591">
        <v>1296</v>
      </c>
      <c r="E14" s="592"/>
      <c r="F14" s="203"/>
      <c r="G14" s="209" t="s">
        <v>10</v>
      </c>
      <c r="H14" s="210"/>
      <c r="I14" s="210"/>
      <c r="J14" s="192" t="s">
        <v>175</v>
      </c>
      <c r="K14" s="189" t="s">
        <v>175</v>
      </c>
      <c r="L14" s="163"/>
      <c r="M14" s="163"/>
      <c r="N14" s="163"/>
      <c r="O14" s="163"/>
      <c r="P14" s="163"/>
      <c r="Q14" s="163"/>
      <c r="R14" s="163"/>
      <c r="S14" s="163"/>
      <c r="T14" s="163"/>
      <c r="U14" s="163"/>
      <c r="V14" s="163"/>
      <c r="W14" s="163"/>
      <c r="X14" s="163"/>
      <c r="Y14" s="163"/>
      <c r="Z14" s="163"/>
    </row>
    <row r="15" spans="1:26" s="167" customFormat="1" ht="18.399999999999999" customHeight="1">
      <c r="A15" s="576" t="s">
        <v>287</v>
      </c>
      <c r="B15" s="577"/>
      <c r="C15" s="578"/>
      <c r="D15" s="555">
        <v>11.687199592590332</v>
      </c>
      <c r="E15" s="556"/>
      <c r="F15" s="203"/>
      <c r="G15" s="209" t="s">
        <v>288</v>
      </c>
      <c r="H15" s="210"/>
      <c r="I15" s="210"/>
      <c r="J15" s="192" t="s">
        <v>175</v>
      </c>
      <c r="K15" s="189" t="s">
        <v>175</v>
      </c>
      <c r="L15" s="163"/>
      <c r="M15" s="163"/>
      <c r="N15" s="163"/>
      <c r="O15" s="163"/>
      <c r="P15" s="163"/>
      <c r="Q15" s="163"/>
      <c r="R15" s="163"/>
      <c r="S15" s="163"/>
      <c r="T15" s="163"/>
      <c r="U15" s="163"/>
      <c r="V15" s="163"/>
      <c r="W15" s="163"/>
      <c r="X15" s="163"/>
      <c r="Y15" s="163"/>
      <c r="Z15" s="163"/>
    </row>
    <row r="16" spans="1:26" s="167" customFormat="1" ht="18.399999999999999" customHeight="1">
      <c r="A16" s="552" t="s">
        <v>289</v>
      </c>
      <c r="B16" s="553"/>
      <c r="C16" s="554"/>
      <c r="D16" s="555">
        <v>3.4935998916625977</v>
      </c>
      <c r="E16" s="556"/>
      <c r="F16" s="211"/>
      <c r="G16" s="212" t="s">
        <v>17</v>
      </c>
      <c r="H16" s="213"/>
      <c r="I16" s="213"/>
      <c r="J16" s="198" t="s">
        <v>175</v>
      </c>
      <c r="K16" s="199" t="s">
        <v>175</v>
      </c>
      <c r="L16" s="163"/>
      <c r="M16" s="163"/>
      <c r="N16" s="163"/>
      <c r="O16" s="163"/>
      <c r="P16" s="163"/>
      <c r="Q16" s="163"/>
      <c r="R16" s="163"/>
      <c r="S16" s="163"/>
      <c r="T16" s="163"/>
      <c r="U16" s="163"/>
      <c r="V16" s="163"/>
      <c r="W16" s="163"/>
      <c r="X16" s="163"/>
      <c r="Y16" s="163"/>
      <c r="Z16" s="163"/>
    </row>
    <row r="17" spans="1:26" s="167" customFormat="1" ht="18.399999999999999" customHeight="1">
      <c r="A17" s="214" t="s">
        <v>290</v>
      </c>
      <c r="B17" s="215"/>
      <c r="C17" s="216"/>
      <c r="D17" s="557" t="s">
        <v>336</v>
      </c>
      <c r="E17" s="558"/>
      <c r="F17" s="559" t="s">
        <v>291</v>
      </c>
      <c r="G17" s="560"/>
      <c r="H17" s="560"/>
      <c r="I17" s="560"/>
      <c r="J17" s="560"/>
      <c r="K17" s="561"/>
      <c r="L17" s="163"/>
      <c r="M17" s="163"/>
      <c r="N17" s="163"/>
      <c r="O17" s="163"/>
      <c r="P17" s="163"/>
      <c r="Q17" s="163"/>
      <c r="R17" s="163"/>
      <c r="S17" s="163"/>
      <c r="T17" s="163"/>
      <c r="U17" s="163"/>
      <c r="V17" s="163"/>
      <c r="W17" s="163"/>
      <c r="X17" s="163"/>
      <c r="Y17" s="163"/>
      <c r="Z17" s="163"/>
    </row>
    <row r="18" spans="1:26" s="167" customFormat="1" ht="18.399999999999999" customHeight="1">
      <c r="A18" s="217" t="s">
        <v>292</v>
      </c>
      <c r="B18" s="218"/>
      <c r="C18" s="216"/>
      <c r="D18" s="562" t="s">
        <v>175</v>
      </c>
      <c r="E18" s="563"/>
      <c r="F18" s="564"/>
      <c r="G18" s="565"/>
      <c r="H18" s="219" t="s">
        <v>293</v>
      </c>
      <c r="I18" s="220"/>
      <c r="J18" s="188" t="s">
        <v>552</v>
      </c>
      <c r="K18" s="189"/>
      <c r="L18" s="163"/>
      <c r="M18" s="163" t="e">
        <f>J18*6.5</f>
        <v>#VALUE!</v>
      </c>
      <c r="N18" s="163"/>
      <c r="O18" s="163"/>
      <c r="P18" s="163"/>
      <c r="Q18" s="163"/>
      <c r="R18" s="163"/>
      <c r="S18" s="163"/>
      <c r="T18" s="163"/>
      <c r="U18" s="163"/>
      <c r="V18" s="163"/>
      <c r="W18" s="163"/>
      <c r="X18" s="163"/>
      <c r="Y18" s="163"/>
      <c r="Z18" s="163"/>
    </row>
    <row r="19" spans="1:26" s="167" customFormat="1" ht="18.399999999999999" customHeight="1">
      <c r="A19" s="570" t="s">
        <v>294</v>
      </c>
      <c r="B19" s="571"/>
      <c r="C19" s="572"/>
      <c r="D19" s="573" t="s">
        <v>175</v>
      </c>
      <c r="E19" s="558"/>
      <c r="F19" s="566"/>
      <c r="G19" s="567"/>
      <c r="H19" s="219" t="s">
        <v>5</v>
      </c>
      <c r="I19" s="181"/>
      <c r="J19" s="188">
        <v>1789</v>
      </c>
      <c r="K19" s="189"/>
      <c r="L19" s="163"/>
      <c r="M19" s="163"/>
      <c r="N19" s="163"/>
      <c r="O19" s="163"/>
      <c r="P19" s="163"/>
      <c r="Q19" s="163"/>
      <c r="R19" s="163"/>
      <c r="S19" s="163"/>
      <c r="T19" s="163"/>
      <c r="U19" s="163"/>
      <c r="V19" s="163"/>
      <c r="W19" s="163"/>
      <c r="X19" s="163"/>
      <c r="Y19" s="163"/>
      <c r="Z19" s="163"/>
    </row>
    <row r="20" spans="1:26" s="167" customFormat="1" ht="18.399999999999999" customHeight="1" thickBot="1">
      <c r="A20" s="221" t="s">
        <v>295</v>
      </c>
      <c r="C20" s="222"/>
      <c r="D20" s="574" t="s">
        <v>184</v>
      </c>
      <c r="E20" s="575"/>
      <c r="F20" s="566"/>
      <c r="G20" s="567"/>
      <c r="H20" s="219" t="s">
        <v>296</v>
      </c>
      <c r="I20" s="181"/>
      <c r="J20" s="192" t="s">
        <v>340</v>
      </c>
      <c r="K20" s="189"/>
      <c r="L20" s="163"/>
      <c r="M20" s="163"/>
      <c r="N20" s="163"/>
      <c r="O20" s="163"/>
      <c r="P20" s="163"/>
      <c r="Q20" s="163"/>
      <c r="R20" s="163"/>
      <c r="S20" s="163"/>
      <c r="T20" s="163"/>
      <c r="U20" s="163"/>
      <c r="V20" s="163"/>
      <c r="W20" s="163"/>
      <c r="X20" s="163"/>
      <c r="Y20" s="163"/>
      <c r="Z20" s="163"/>
    </row>
    <row r="21" spans="1:26" s="167" customFormat="1" ht="18.399999999999999" customHeight="1" thickBot="1">
      <c r="A21" s="576" t="s">
        <v>297</v>
      </c>
      <c r="B21" s="577"/>
      <c r="C21" s="578"/>
      <c r="D21" s="579" t="s">
        <v>175</v>
      </c>
      <c r="E21" s="575"/>
      <c r="F21" s="566"/>
      <c r="G21" s="567"/>
      <c r="H21" s="223" t="s">
        <v>298</v>
      </c>
      <c r="I21" s="181"/>
      <c r="J21" s="192">
        <v>1.1499999999999999</v>
      </c>
      <c r="K21" s="189"/>
      <c r="L21" s="163"/>
      <c r="M21" s="163"/>
      <c r="N21" s="163"/>
      <c r="O21" s="163"/>
      <c r="P21" s="163"/>
      <c r="Q21" s="164" t="s">
        <v>299</v>
      </c>
      <c r="R21" s="166"/>
      <c r="S21" s="163"/>
      <c r="T21" s="163"/>
      <c r="U21" s="163"/>
      <c r="V21" s="163"/>
      <c r="W21" s="163"/>
      <c r="X21" s="163"/>
      <c r="Y21" s="163"/>
      <c r="Z21" s="163"/>
    </row>
    <row r="22" spans="1:26" s="167" customFormat="1" ht="18.399999999999999" customHeight="1">
      <c r="A22" s="217" t="s">
        <v>300</v>
      </c>
      <c r="B22" s="224"/>
      <c r="C22" s="224"/>
      <c r="D22" s="580">
        <v>9.7000000000000003E-2</v>
      </c>
      <c r="E22" s="581"/>
      <c r="F22" s="566"/>
      <c r="G22" s="567"/>
      <c r="H22" s="219" t="s">
        <v>257</v>
      </c>
      <c r="I22" s="181"/>
      <c r="J22" s="306" t="s">
        <v>175</v>
      </c>
      <c r="K22" s="189"/>
      <c r="L22" s="163"/>
      <c r="M22" s="163"/>
      <c r="N22" s="163"/>
      <c r="O22" s="163"/>
      <c r="P22" s="163"/>
      <c r="Q22" s="175" t="s">
        <v>301</v>
      </c>
      <c r="R22" s="177"/>
      <c r="S22" s="163"/>
      <c r="T22" s="163"/>
      <c r="U22" s="163"/>
      <c r="V22" s="163"/>
      <c r="W22" s="163"/>
      <c r="X22" s="163"/>
      <c r="Y22" s="163"/>
      <c r="Z22" s="163"/>
    </row>
    <row r="23" spans="1:26" s="167" customFormat="1" ht="18.399999999999999" customHeight="1">
      <c r="A23" s="225" t="s">
        <v>302</v>
      </c>
      <c r="B23" s="226" t="s">
        <v>303</v>
      </c>
      <c r="C23" s="227"/>
      <c r="D23" s="582">
        <v>904</v>
      </c>
      <c r="E23" s="583"/>
      <c r="F23" s="566"/>
      <c r="G23" s="567"/>
      <c r="H23" s="228" t="s">
        <v>304</v>
      </c>
      <c r="I23" s="229"/>
      <c r="J23" s="230"/>
      <c r="K23" s="231"/>
      <c r="L23" s="163"/>
      <c r="Q23" s="175" t="s">
        <v>305</v>
      </c>
      <c r="R23" s="177"/>
      <c r="S23" s="163"/>
      <c r="T23" s="163"/>
      <c r="U23" s="163"/>
      <c r="V23" s="163"/>
      <c r="W23" s="163"/>
      <c r="X23" s="163"/>
      <c r="Y23" s="163"/>
      <c r="Z23" s="163"/>
    </row>
    <row r="24" spans="1:26" s="167" customFormat="1" ht="18.399999999999999" customHeight="1" thickBot="1">
      <c r="A24" s="232" t="s">
        <v>306</v>
      </c>
      <c r="B24" s="233" t="s">
        <v>307</v>
      </c>
      <c r="C24" s="234"/>
      <c r="D24" s="584" t="s">
        <v>175</v>
      </c>
      <c r="E24" s="585"/>
      <c r="F24" s="566"/>
      <c r="G24" s="567"/>
      <c r="H24" s="219" t="s">
        <v>308</v>
      </c>
      <c r="I24" s="202"/>
      <c r="J24" s="235"/>
      <c r="K24" s="236"/>
      <c r="Q24" s="237" t="s">
        <v>175</v>
      </c>
      <c r="R24" s="238"/>
      <c r="S24" s="163"/>
      <c r="T24" s="163"/>
      <c r="U24" s="163"/>
      <c r="V24" s="163"/>
      <c r="W24" s="163"/>
      <c r="X24" s="163"/>
      <c r="Y24" s="163"/>
      <c r="Z24" s="163"/>
    </row>
    <row r="25" spans="1:26" s="167" customFormat="1" ht="18.399999999999999" customHeight="1">
      <c r="A25" s="239" t="s">
        <v>309</v>
      </c>
      <c r="B25" s="240"/>
      <c r="C25" s="240"/>
      <c r="D25" s="241"/>
      <c r="E25" s="241" t="s">
        <v>310</v>
      </c>
      <c r="F25" s="566"/>
      <c r="G25" s="567"/>
      <c r="H25" s="219" t="s">
        <v>311</v>
      </c>
      <c r="I25" s="202"/>
      <c r="J25" s="242"/>
      <c r="K25" s="236"/>
      <c r="R25" s="163"/>
      <c r="S25" s="163"/>
      <c r="T25" s="163"/>
      <c r="U25" s="163"/>
      <c r="V25" s="163"/>
      <c r="W25" s="163"/>
      <c r="X25" s="163"/>
      <c r="Y25" s="163"/>
      <c r="Z25" s="163"/>
    </row>
    <row r="26" spans="1:26" s="167" customFormat="1" ht="18.399999999999999" customHeight="1">
      <c r="A26" s="243" t="s">
        <v>312</v>
      </c>
      <c r="B26" s="244"/>
      <c r="C26" s="245"/>
      <c r="D26" s="246" t="s">
        <v>339</v>
      </c>
      <c r="E26" s="246" t="s">
        <v>341</v>
      </c>
      <c r="F26" s="568"/>
      <c r="G26" s="569"/>
      <c r="H26" s="586"/>
      <c r="I26" s="587"/>
      <c r="J26" s="247"/>
      <c r="K26" s="248"/>
      <c r="R26" s="163"/>
      <c r="S26" s="163"/>
      <c r="T26" s="163"/>
      <c r="U26" s="163"/>
      <c r="V26" s="163"/>
      <c r="W26" s="163"/>
      <c r="X26" s="163"/>
      <c r="Y26" s="163"/>
      <c r="Z26" s="163"/>
    </row>
    <row r="27" spans="1:26" s="167" customFormat="1" ht="18.399999999999999" customHeight="1">
      <c r="A27" s="530" t="s">
        <v>313</v>
      </c>
      <c r="B27" s="531"/>
      <c r="C27" s="531"/>
      <c r="D27" s="531"/>
      <c r="E27" s="531"/>
      <c r="F27" s="532" t="s">
        <v>314</v>
      </c>
      <c r="G27" s="533"/>
      <c r="H27" s="533"/>
      <c r="I27" s="533"/>
      <c r="J27" s="533"/>
      <c r="K27" s="534"/>
      <c r="R27" s="163"/>
      <c r="S27" s="163"/>
      <c r="T27" s="163"/>
      <c r="U27" s="163"/>
      <c r="V27" s="163"/>
      <c r="W27" s="163"/>
      <c r="X27" s="163"/>
      <c r="Y27" s="163"/>
      <c r="Z27" s="163"/>
    </row>
    <row r="28" spans="1:26" s="167" customFormat="1" ht="18.399999999999999" customHeight="1">
      <c r="A28" s="543"/>
      <c r="B28" s="544"/>
      <c r="C28" s="544"/>
      <c r="D28" s="544"/>
      <c r="E28" s="545"/>
      <c r="F28" s="249"/>
      <c r="G28" s="250"/>
      <c r="H28" s="209" t="s">
        <v>315</v>
      </c>
      <c r="I28" s="251" t="s">
        <v>337</v>
      </c>
      <c r="J28" s="188" t="s">
        <v>553</v>
      </c>
      <c r="K28" s="252" t="s">
        <v>175</v>
      </c>
      <c r="M28" s="167" t="e">
        <f>(J28/J18)*100</f>
        <v>#VALUE!</v>
      </c>
      <c r="N28" s="253"/>
      <c r="O28" s="253"/>
      <c r="R28" s="163"/>
      <c r="S28" s="163"/>
      <c r="T28" s="163"/>
      <c r="U28" s="163"/>
      <c r="V28" s="163"/>
      <c r="W28" s="163"/>
      <c r="X28" s="163"/>
      <c r="Y28" s="163"/>
      <c r="Z28" s="163"/>
    </row>
    <row r="29" spans="1:26" s="167" customFormat="1" ht="18.399999999999999" customHeight="1">
      <c r="A29" s="543"/>
      <c r="B29" s="544"/>
      <c r="C29" s="544"/>
      <c r="D29" s="544"/>
      <c r="E29" s="545"/>
      <c r="F29" s="254"/>
      <c r="G29" s="255"/>
      <c r="H29" s="209" t="s">
        <v>316</v>
      </c>
      <c r="I29" s="256">
        <v>60</v>
      </c>
      <c r="J29" s="188">
        <v>115</v>
      </c>
      <c r="K29" s="257" t="s">
        <v>175</v>
      </c>
      <c r="Q29" s="163"/>
      <c r="R29" s="163"/>
      <c r="S29" s="163"/>
      <c r="T29" s="163"/>
      <c r="U29" s="163"/>
      <c r="V29" s="163"/>
      <c r="W29" s="163"/>
      <c r="X29" s="163"/>
      <c r="Y29" s="163"/>
      <c r="Z29" s="163"/>
    </row>
    <row r="30" spans="1:26" s="167" customFormat="1" ht="18.399999999999999" customHeight="1">
      <c r="A30" s="543"/>
      <c r="B30" s="544"/>
      <c r="C30" s="544"/>
      <c r="D30" s="544"/>
      <c r="E30" s="545"/>
      <c r="F30" s="254"/>
      <c r="G30" s="255"/>
      <c r="H30" s="209" t="s">
        <v>317</v>
      </c>
      <c r="I30" s="256">
        <v>175</v>
      </c>
      <c r="J30" s="188">
        <v>220</v>
      </c>
      <c r="K30" s="258" t="s">
        <v>175</v>
      </c>
      <c r="L30" s="163"/>
      <c r="R30" s="163"/>
      <c r="S30" s="163"/>
      <c r="T30" s="163"/>
      <c r="U30" s="163"/>
      <c r="V30" s="163"/>
      <c r="W30" s="163"/>
      <c r="X30" s="163"/>
      <c r="Y30" s="163"/>
      <c r="Z30" s="163"/>
    </row>
    <row r="31" spans="1:26" s="167" customFormat="1" ht="18.399999999999999" customHeight="1">
      <c r="A31" s="543"/>
      <c r="B31" s="544"/>
      <c r="C31" s="544"/>
      <c r="D31" s="544"/>
      <c r="E31" s="545"/>
      <c r="F31" s="254"/>
      <c r="G31" s="255"/>
      <c r="H31" s="209" t="s">
        <v>318</v>
      </c>
      <c r="I31" s="210"/>
      <c r="J31" s="259">
        <v>0.62</v>
      </c>
      <c r="K31" s="183" t="s">
        <v>175</v>
      </c>
      <c r="L31" s="163"/>
      <c r="R31" s="163"/>
      <c r="S31" s="163"/>
      <c r="T31" s="163"/>
      <c r="U31" s="163"/>
      <c r="V31" s="163"/>
      <c r="W31" s="163"/>
      <c r="X31" s="163"/>
      <c r="Y31" s="163"/>
      <c r="Z31" s="163"/>
    </row>
    <row r="32" spans="1:26" s="167" customFormat="1" ht="18.399999999999999" customHeight="1">
      <c r="A32" s="546"/>
      <c r="B32" s="547"/>
      <c r="C32" s="547"/>
      <c r="D32" s="547"/>
      <c r="E32" s="548"/>
      <c r="F32" s="254"/>
      <c r="G32" s="260" t="s">
        <v>319</v>
      </c>
      <c r="H32" s="209" t="s">
        <v>320</v>
      </c>
      <c r="I32" s="261"/>
      <c r="J32" s="182">
        <v>94.7</v>
      </c>
      <c r="K32" s="257" t="s">
        <v>175</v>
      </c>
      <c r="L32" s="163"/>
      <c r="N32" s="262"/>
      <c r="R32" s="163"/>
      <c r="S32" s="163"/>
      <c r="T32" s="163"/>
      <c r="U32" s="163"/>
      <c r="V32" s="163"/>
      <c r="W32" s="163"/>
      <c r="X32" s="163"/>
      <c r="Y32" s="163"/>
      <c r="Z32" s="163"/>
    </row>
    <row r="33" spans="1:26" s="167" customFormat="1" ht="18.399999999999999" customHeight="1">
      <c r="A33" s="530" t="s">
        <v>321</v>
      </c>
      <c r="B33" s="531"/>
      <c r="C33" s="531"/>
      <c r="D33" s="531"/>
      <c r="E33" s="549"/>
      <c r="F33" s="263"/>
      <c r="G33" s="264"/>
      <c r="H33" s="265" t="s">
        <v>322</v>
      </c>
      <c r="I33" s="266"/>
      <c r="J33" s="267">
        <v>89.4</v>
      </c>
      <c r="K33" s="268" t="s">
        <v>175</v>
      </c>
      <c r="L33" s="163"/>
      <c r="R33" s="163"/>
      <c r="S33" s="163"/>
      <c r="T33" s="163"/>
      <c r="U33" s="163"/>
      <c r="V33" s="163"/>
      <c r="W33" s="163"/>
      <c r="X33" s="163"/>
      <c r="Y33" s="163"/>
      <c r="Z33" s="163"/>
    </row>
    <row r="34" spans="1:26" s="167" customFormat="1" ht="18.399999999999999" customHeight="1">
      <c r="A34" s="543"/>
      <c r="B34" s="544"/>
      <c r="C34" s="544"/>
      <c r="D34" s="544"/>
      <c r="E34" s="545"/>
      <c r="F34" s="184" t="s">
        <v>323</v>
      </c>
      <c r="G34" s="269"/>
      <c r="H34" s="270" t="s">
        <v>14</v>
      </c>
      <c r="I34" s="271"/>
      <c r="J34" s="272">
        <v>4755</v>
      </c>
      <c r="K34" s="273" t="s">
        <v>175</v>
      </c>
      <c r="L34" s="274"/>
      <c r="M34" s="275"/>
      <c r="R34" s="163"/>
      <c r="S34" s="163"/>
      <c r="T34" s="163"/>
      <c r="U34" s="163"/>
      <c r="V34" s="163"/>
      <c r="W34" s="163"/>
      <c r="X34" s="163"/>
      <c r="Y34" s="163"/>
      <c r="Z34" s="163"/>
    </row>
    <row r="35" spans="1:26" s="167" customFormat="1" ht="18.399999999999999" customHeight="1">
      <c r="A35" s="543"/>
      <c r="B35" s="544"/>
      <c r="C35" s="544"/>
      <c r="D35" s="544"/>
      <c r="E35" s="545"/>
      <c r="F35" s="203"/>
      <c r="G35" s="276"/>
      <c r="H35" s="277" t="s">
        <v>15</v>
      </c>
      <c r="I35" s="278"/>
      <c r="J35" s="188">
        <v>4386</v>
      </c>
      <c r="K35" s="183" t="s">
        <v>175</v>
      </c>
      <c r="L35" s="279"/>
      <c r="M35" s="275"/>
      <c r="R35" s="163"/>
      <c r="S35" s="163"/>
      <c r="T35" s="163"/>
      <c r="U35" s="163"/>
      <c r="V35" s="163"/>
      <c r="W35" s="163"/>
      <c r="X35" s="163"/>
      <c r="Y35" s="163"/>
      <c r="Z35" s="163"/>
    </row>
    <row r="36" spans="1:26" s="167" customFormat="1" ht="18.399999999999999" customHeight="1">
      <c r="A36" s="543"/>
      <c r="B36" s="544"/>
      <c r="C36" s="544"/>
      <c r="D36" s="544"/>
      <c r="E36" s="545"/>
      <c r="F36" s="203"/>
      <c r="G36" s="276"/>
      <c r="H36" s="277" t="s">
        <v>324</v>
      </c>
      <c r="I36" s="278"/>
      <c r="J36" s="188">
        <v>3718</v>
      </c>
      <c r="K36" s="183" t="s">
        <v>175</v>
      </c>
      <c r="L36" s="279"/>
      <c r="M36" s="253"/>
      <c r="Q36" s="163"/>
      <c r="R36" s="163"/>
      <c r="S36" s="163"/>
      <c r="T36" s="163"/>
      <c r="U36" s="163"/>
      <c r="V36" s="163"/>
      <c r="W36" s="163"/>
      <c r="X36" s="163"/>
      <c r="Y36" s="163"/>
      <c r="Z36" s="163"/>
    </row>
    <row r="37" spans="1:26" s="167" customFormat="1" ht="18.399999999999999" customHeight="1">
      <c r="A37" s="543"/>
      <c r="B37" s="544"/>
      <c r="C37" s="544"/>
      <c r="D37" s="544"/>
      <c r="E37" s="545"/>
      <c r="F37" s="254"/>
      <c r="G37" s="276"/>
      <c r="H37" s="277" t="s">
        <v>325</v>
      </c>
      <c r="I37" s="278"/>
      <c r="J37" s="188">
        <v>10813</v>
      </c>
      <c r="K37" s="183" t="s">
        <v>175</v>
      </c>
      <c r="L37" s="279"/>
      <c r="M37" s="253"/>
      <c r="N37" s="279"/>
      <c r="R37" s="163"/>
      <c r="S37" s="163"/>
      <c r="T37" s="163"/>
      <c r="U37" s="163"/>
      <c r="V37" s="163"/>
      <c r="W37" s="163"/>
      <c r="X37" s="163"/>
      <c r="Y37" s="163"/>
      <c r="Z37" s="163"/>
    </row>
    <row r="38" spans="1:26" s="167" customFormat="1" ht="18.399999999999999" customHeight="1">
      <c r="A38" s="546"/>
      <c r="B38" s="547"/>
      <c r="C38" s="547"/>
      <c r="D38" s="547"/>
      <c r="E38" s="548"/>
      <c r="F38" s="211"/>
      <c r="G38" s="280"/>
      <c r="H38" s="281" t="s">
        <v>326</v>
      </c>
      <c r="I38" s="282"/>
      <c r="J38" s="283">
        <v>14268</v>
      </c>
      <c r="K38" s="284" t="s">
        <v>175</v>
      </c>
      <c r="R38" s="163"/>
      <c r="S38" s="163"/>
      <c r="T38" s="163"/>
      <c r="U38" s="163"/>
      <c r="V38" s="163"/>
      <c r="W38" s="163"/>
      <c r="X38" s="163"/>
      <c r="Y38" s="163"/>
      <c r="Z38" s="163"/>
    </row>
    <row r="39" spans="1:26" s="167" customFormat="1" ht="18.399999999999999" customHeight="1">
      <c r="A39" s="530" t="s">
        <v>327</v>
      </c>
      <c r="B39" s="531"/>
      <c r="C39" s="531"/>
      <c r="D39" s="531"/>
      <c r="E39" s="531"/>
      <c r="F39" s="285" t="s">
        <v>328</v>
      </c>
      <c r="G39" s="286"/>
      <c r="H39" s="286"/>
      <c r="I39" s="286"/>
      <c r="J39" s="286"/>
      <c r="K39" s="287"/>
      <c r="R39" s="163"/>
      <c r="S39" s="163"/>
      <c r="T39" s="163"/>
      <c r="U39" s="163"/>
      <c r="V39" s="163"/>
      <c r="W39" s="163"/>
      <c r="X39" s="163"/>
      <c r="Y39" s="163"/>
      <c r="Z39" s="163"/>
    </row>
    <row r="40" spans="1:26" s="167" customFormat="1" ht="18.399999999999999" customHeight="1">
      <c r="A40" s="537"/>
      <c r="B40" s="538"/>
      <c r="C40" s="538"/>
      <c r="D40" s="538"/>
      <c r="E40" s="539"/>
      <c r="F40" s="288" t="s">
        <v>545</v>
      </c>
      <c r="G40" s="167" t="s">
        <v>546</v>
      </c>
      <c r="H40" s="289"/>
      <c r="I40" s="289"/>
      <c r="J40" s="289"/>
      <c r="K40" s="290"/>
      <c r="R40" s="163"/>
      <c r="S40" s="163"/>
      <c r="T40" s="163"/>
      <c r="U40" s="163"/>
      <c r="V40" s="163"/>
      <c r="W40" s="163"/>
      <c r="X40" s="163"/>
      <c r="Y40" s="163"/>
      <c r="Z40" s="163"/>
    </row>
    <row r="41" spans="1:26" s="167" customFormat="1" ht="18.399999999999999" customHeight="1">
      <c r="A41" s="537"/>
      <c r="B41" s="538"/>
      <c r="C41" s="538"/>
      <c r="D41" s="538"/>
      <c r="E41" s="539"/>
      <c r="F41" s="288"/>
      <c r="G41" s="291" t="s">
        <v>547</v>
      </c>
      <c r="H41" s="291"/>
      <c r="I41" s="291"/>
      <c r="J41" s="291"/>
      <c r="K41" s="292" t="s">
        <v>548</v>
      </c>
      <c r="L41" s="293"/>
      <c r="R41" s="163"/>
      <c r="S41" s="163"/>
      <c r="T41" s="163"/>
      <c r="U41" s="163"/>
      <c r="V41" s="163"/>
      <c r="W41" s="163"/>
      <c r="X41" s="163"/>
      <c r="Y41" s="163"/>
      <c r="Z41" s="163"/>
    </row>
    <row r="42" spans="1:26" s="167" customFormat="1" ht="18.399999999999999" customHeight="1">
      <c r="A42" s="537"/>
      <c r="B42" s="538"/>
      <c r="C42" s="538"/>
      <c r="D42" s="538"/>
      <c r="E42" s="539"/>
      <c r="F42" s="288"/>
      <c r="G42" s="291" t="s">
        <v>549</v>
      </c>
      <c r="H42" s="291"/>
      <c r="I42" s="291"/>
      <c r="J42" s="291"/>
      <c r="K42" s="292"/>
      <c r="L42" s="163"/>
      <c r="M42" s="163"/>
      <c r="N42" s="163"/>
      <c r="O42" s="163"/>
      <c r="P42" s="163"/>
      <c r="Q42" s="163"/>
      <c r="R42" s="163"/>
      <c r="S42" s="163"/>
      <c r="T42" s="163"/>
      <c r="U42" s="163"/>
      <c r="V42" s="163"/>
      <c r="W42" s="163"/>
      <c r="X42" s="163"/>
      <c r="Y42" s="163"/>
      <c r="Z42" s="163"/>
    </row>
    <row r="43" spans="1:26" s="167" customFormat="1" ht="18.399999999999999" customHeight="1">
      <c r="A43" s="537"/>
      <c r="B43" s="538"/>
      <c r="C43" s="538"/>
      <c r="D43" s="538"/>
      <c r="E43" s="539"/>
      <c r="F43" s="288"/>
      <c r="G43" s="291" t="s">
        <v>550</v>
      </c>
      <c r="H43" s="291"/>
      <c r="I43" s="291"/>
      <c r="J43" s="291"/>
      <c r="K43" s="292"/>
      <c r="L43" s="163"/>
      <c r="M43" s="163"/>
      <c r="N43" s="163"/>
      <c r="O43" s="163"/>
      <c r="P43" s="163"/>
      <c r="Q43" s="163"/>
      <c r="R43" s="163"/>
      <c r="S43" s="163"/>
      <c r="T43" s="163"/>
      <c r="U43" s="163"/>
      <c r="V43" s="163"/>
      <c r="W43" s="163"/>
      <c r="X43" s="163"/>
      <c r="Y43" s="163"/>
      <c r="Z43" s="163"/>
    </row>
    <row r="44" spans="1:26" s="167" customFormat="1" ht="17.100000000000001" customHeight="1" thickBot="1">
      <c r="A44" s="540"/>
      <c r="B44" s="541"/>
      <c r="C44" s="541"/>
      <c r="D44" s="541"/>
      <c r="E44" s="542"/>
      <c r="F44" s="288"/>
      <c r="G44" s="307" t="s">
        <v>551</v>
      </c>
      <c r="H44" s="291"/>
      <c r="I44" s="291"/>
      <c r="J44" s="291"/>
      <c r="K44" s="292"/>
      <c r="L44" s="163"/>
      <c r="M44" s="163"/>
      <c r="N44" s="163"/>
      <c r="O44" s="163"/>
      <c r="P44" s="163"/>
      <c r="Q44" s="163"/>
      <c r="R44" s="163"/>
      <c r="S44" s="163"/>
      <c r="T44" s="163"/>
      <c r="U44" s="163"/>
      <c r="V44" s="163"/>
      <c r="W44" s="163"/>
      <c r="X44" s="163"/>
      <c r="Y44" s="163"/>
      <c r="Z44" s="163"/>
    </row>
    <row r="45" spans="1:26" s="167" customFormat="1" ht="17.100000000000001" customHeight="1">
      <c r="A45" s="294" t="s">
        <v>329</v>
      </c>
      <c r="B45" s="550" t="s">
        <v>544</v>
      </c>
      <c r="C45" s="551"/>
      <c r="D45" s="295" t="s">
        <v>330</v>
      </c>
      <c r="E45" s="296" t="s">
        <v>342</v>
      </c>
      <c r="F45" s="297"/>
      <c r="G45" s="291" t="s">
        <v>543</v>
      </c>
      <c r="H45" s="291"/>
      <c r="I45" s="291"/>
      <c r="J45" s="291"/>
      <c r="K45" s="292"/>
      <c r="L45" s="163"/>
      <c r="M45" s="163"/>
      <c r="N45" s="163"/>
      <c r="O45" s="163"/>
      <c r="P45" s="163"/>
      <c r="Q45" s="163"/>
      <c r="R45" s="163"/>
      <c r="S45" s="163"/>
      <c r="T45" s="163"/>
      <c r="U45" s="163"/>
      <c r="V45" s="163"/>
      <c r="W45" s="163"/>
      <c r="X45" s="163"/>
      <c r="Y45" s="163"/>
      <c r="Z45" s="163"/>
    </row>
    <row r="46" spans="1:26" s="167" customFormat="1" ht="17.100000000000001" customHeight="1" thickBot="1">
      <c r="A46" s="298" t="s">
        <v>331</v>
      </c>
      <c r="B46" s="535">
        <v>41807</v>
      </c>
      <c r="C46" s="536"/>
      <c r="D46" s="299" t="s">
        <v>331</v>
      </c>
      <c r="E46" s="300">
        <v>41800</v>
      </c>
      <c r="F46" s="301"/>
      <c r="G46" s="302"/>
      <c r="H46" s="302"/>
      <c r="I46" s="302"/>
      <c r="J46" s="302"/>
      <c r="K46" s="303"/>
      <c r="L46" s="163"/>
      <c r="M46" s="163"/>
      <c r="N46" s="163"/>
      <c r="O46" s="163"/>
      <c r="P46" s="163"/>
      <c r="Q46" s="163"/>
      <c r="R46" s="163"/>
      <c r="S46" s="163"/>
      <c r="T46" s="163"/>
      <c r="U46" s="163"/>
      <c r="V46" s="163"/>
      <c r="W46" s="163"/>
      <c r="X46" s="163"/>
      <c r="Y46" s="163"/>
      <c r="Z46" s="163"/>
    </row>
    <row r="47" spans="1:26" s="167" customFormat="1" ht="17.100000000000001" customHeight="1">
      <c r="F47" s="304"/>
      <c r="G47" s="163" t="s">
        <v>556</v>
      </c>
      <c r="H47" s="163"/>
      <c r="I47" s="163"/>
      <c r="J47" s="163"/>
      <c r="K47" s="163"/>
      <c r="L47" s="163"/>
      <c r="M47" s="163"/>
      <c r="N47" s="163"/>
      <c r="O47" s="163"/>
      <c r="P47" s="163"/>
      <c r="Q47" s="163"/>
      <c r="R47" s="163"/>
      <c r="S47" s="163"/>
      <c r="T47" s="163"/>
      <c r="U47" s="163"/>
    </row>
    <row r="48" spans="1:26" s="167" customFormat="1" ht="17.100000000000001" customHeight="1">
      <c r="F48" s="163"/>
      <c r="G48" s="163"/>
      <c r="H48" s="163"/>
      <c r="I48" s="163"/>
      <c r="J48" s="163"/>
      <c r="K48" s="163"/>
    </row>
    <row r="49" spans="2:26" ht="17.100000000000001" customHeight="1">
      <c r="F49" s="153"/>
      <c r="G49" s="153"/>
      <c r="H49" s="153"/>
      <c r="I49" s="153"/>
      <c r="J49" s="153"/>
      <c r="K49" s="153"/>
      <c r="L49" s="154"/>
      <c r="M49" s="154"/>
      <c r="N49" s="154"/>
      <c r="O49" s="154"/>
      <c r="P49" s="154"/>
      <c r="Q49" s="154"/>
      <c r="R49" s="154"/>
      <c r="S49" s="154"/>
      <c r="T49" s="154"/>
      <c r="U49" s="154"/>
      <c r="V49" s="154"/>
      <c r="W49" s="154"/>
      <c r="X49" s="154"/>
      <c r="Y49" s="154"/>
      <c r="Z49" s="154"/>
    </row>
    <row r="50" spans="2:26">
      <c r="F50" s="153"/>
      <c r="G50" s="153"/>
      <c r="H50" s="153"/>
      <c r="I50" s="153"/>
      <c r="J50" s="153"/>
      <c r="K50" s="153"/>
      <c r="L50" s="154"/>
      <c r="M50" s="154"/>
      <c r="N50" s="154"/>
      <c r="O50" s="154"/>
      <c r="P50" s="154"/>
      <c r="Q50" s="154"/>
      <c r="R50" s="154"/>
      <c r="S50" s="154"/>
      <c r="T50" s="154"/>
      <c r="U50" s="154"/>
      <c r="V50" s="154"/>
      <c r="W50" s="154"/>
      <c r="X50" s="154"/>
      <c r="Y50" s="154"/>
      <c r="Z50" s="154"/>
    </row>
    <row r="51" spans="2:26">
      <c r="F51" s="153"/>
      <c r="G51" s="153"/>
      <c r="H51" s="153"/>
      <c r="I51" s="153"/>
      <c r="J51" s="153"/>
      <c r="K51" s="153"/>
      <c r="L51" s="154"/>
      <c r="M51" s="154"/>
      <c r="N51" s="154"/>
      <c r="O51" s="154"/>
      <c r="P51" s="154"/>
      <c r="Q51" s="154"/>
      <c r="R51" s="154"/>
      <c r="S51" s="154"/>
      <c r="T51" s="154"/>
      <c r="U51" s="154"/>
      <c r="V51" s="154"/>
      <c r="W51" s="154"/>
      <c r="X51" s="154"/>
      <c r="Y51" s="154"/>
      <c r="Z51" s="154"/>
    </row>
    <row r="52" spans="2:26">
      <c r="B52" s="153"/>
      <c r="C52" s="153"/>
      <c r="D52" s="153"/>
      <c r="E52" s="153"/>
      <c r="F52" s="153"/>
      <c r="G52" s="153"/>
      <c r="H52" s="153"/>
      <c r="I52" s="153"/>
      <c r="J52" s="153"/>
      <c r="K52" s="153"/>
      <c r="Q52" s="154"/>
      <c r="R52" s="154"/>
      <c r="S52" s="154"/>
      <c r="T52" s="154"/>
      <c r="U52" s="154"/>
      <c r="V52" s="154"/>
      <c r="W52" s="154"/>
      <c r="X52" s="154"/>
      <c r="Y52" s="154"/>
      <c r="Z52" s="154"/>
    </row>
    <row r="53" spans="2:26">
      <c r="F53" s="153"/>
      <c r="G53" s="153"/>
      <c r="H53" s="153"/>
      <c r="I53" s="153"/>
      <c r="J53" s="153"/>
      <c r="K53" s="153"/>
      <c r="Q53" s="154"/>
      <c r="R53" s="154"/>
      <c r="S53" s="154"/>
      <c r="T53" s="154"/>
      <c r="U53" s="154"/>
      <c r="V53" s="154"/>
      <c r="W53" s="154"/>
      <c r="X53" s="154"/>
      <c r="Y53" s="154"/>
      <c r="Z53" s="154"/>
    </row>
  </sheetData>
  <mergeCells count="49">
    <mergeCell ref="A1:K1"/>
    <mergeCell ref="A2:K2"/>
    <mergeCell ref="J3:K3"/>
    <mergeCell ref="A5:C5"/>
    <mergeCell ref="A6:C6"/>
    <mergeCell ref="D6:E6"/>
    <mergeCell ref="F6:K6"/>
    <mergeCell ref="F12:K12"/>
    <mergeCell ref="A7:C7"/>
    <mergeCell ref="D7:E7"/>
    <mergeCell ref="A8:C8"/>
    <mergeCell ref="D8:E8"/>
    <mergeCell ref="A9:C9"/>
    <mergeCell ref="D9:E9"/>
    <mergeCell ref="A10:C10"/>
    <mergeCell ref="D10:E10"/>
    <mergeCell ref="A11:C11"/>
    <mergeCell ref="D11:E11"/>
    <mergeCell ref="D12:E12"/>
    <mergeCell ref="A13:C13"/>
    <mergeCell ref="D13:E13"/>
    <mergeCell ref="A14:C14"/>
    <mergeCell ref="D14:E14"/>
    <mergeCell ref="A15:C15"/>
    <mergeCell ref="D15:E15"/>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A27:E27"/>
    <mergeCell ref="F27:K27"/>
    <mergeCell ref="B46:C46"/>
    <mergeCell ref="A40:E44"/>
    <mergeCell ref="A28:E32"/>
    <mergeCell ref="A33:E33"/>
    <mergeCell ref="A34:E38"/>
    <mergeCell ref="A39:E39"/>
    <mergeCell ref="B45:C45"/>
  </mergeCells>
  <dataValidations count="3">
    <dataValidation type="list" allowBlank="1" showInputMessage="1" sqref="D6:E6">
      <formula1>$T$5:$T$10</formula1>
    </dataValidation>
    <dataValidation type="list" allowBlank="1" showErrorMessage="1" error="Choose from list!" sqref="D21">
      <formula1>$Q$22:$Q$24</formula1>
    </dataValidation>
    <dataValidation type="list" allowBlank="1" showInputMessage="1" errorTitle="Hold on!" error="Enter a valid motor type!" prompt="Motor Type  Select one from the list or input name" sqref="K4">
      <formula1>$Q$5:$Q$11</formula1>
    </dataValidation>
  </dataValidations>
  <printOptions horizontalCentered="1" verticalCentered="1"/>
  <pageMargins left="0.25" right="0.25" top="0.5" bottom="0.5" header="0.5" footer="0.5"/>
  <pageSetup scale="88" orientation="portrait" blackAndWhite="1" horizont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61"/>
  <sheetViews>
    <sheetView zoomScaleNormal="100" workbookViewId="0">
      <selection activeCell="N13" sqref="N13"/>
    </sheetView>
  </sheetViews>
  <sheetFormatPr defaultColWidth="10.85546875" defaultRowHeight="15.75"/>
  <cols>
    <col min="1" max="1" width="11.5703125" style="304" customWidth="1"/>
    <col min="2" max="2" width="5.85546875" style="304" customWidth="1"/>
    <col min="3" max="3" width="7.28515625" style="304" customWidth="1"/>
    <col min="4" max="5" width="12.42578125" style="304" customWidth="1"/>
    <col min="6" max="6" width="9" style="304" customWidth="1"/>
    <col min="7" max="7" width="5.42578125" style="304" customWidth="1"/>
    <col min="8" max="8" width="7.42578125" style="304" customWidth="1"/>
    <col min="9" max="9" width="6.28515625" style="304" customWidth="1"/>
    <col min="10" max="10" width="11.42578125" style="305" customWidth="1"/>
    <col min="11" max="11" width="11.42578125" style="304" customWidth="1"/>
    <col min="12" max="12" width="15.28515625" style="153" customWidth="1"/>
    <col min="13" max="26" width="10.85546875" style="153"/>
    <col min="27" max="16384" width="10.85546875" style="154"/>
  </cols>
  <sheetData>
    <row r="1" spans="1:26" ht="20.25" customHeight="1">
      <c r="A1" s="597" t="s">
        <v>250</v>
      </c>
      <c r="B1" s="597"/>
      <c r="C1" s="597"/>
      <c r="D1" s="597"/>
      <c r="E1" s="597"/>
      <c r="F1" s="597"/>
      <c r="G1" s="597"/>
      <c r="H1" s="597"/>
      <c r="I1" s="597"/>
      <c r="J1" s="597"/>
      <c r="K1" s="597"/>
    </row>
    <row r="2" spans="1:26" ht="20.25" customHeight="1">
      <c r="A2" s="598" t="s">
        <v>251</v>
      </c>
      <c r="B2" s="598"/>
      <c r="C2" s="598"/>
      <c r="D2" s="598"/>
      <c r="E2" s="598"/>
      <c r="F2" s="598"/>
      <c r="G2" s="598"/>
      <c r="H2" s="598"/>
      <c r="I2" s="598"/>
      <c r="J2" s="598"/>
      <c r="K2" s="598"/>
    </row>
    <row r="3" spans="1:26" ht="18.75" customHeight="1" thickBot="1">
      <c r="A3" s="155" t="s">
        <v>1</v>
      </c>
      <c r="B3" s="156" t="s">
        <v>335</v>
      </c>
      <c r="C3" s="157"/>
      <c r="D3" s="157"/>
      <c r="E3" s="157"/>
      <c r="F3" s="525"/>
      <c r="G3" s="157"/>
      <c r="H3" s="157"/>
      <c r="I3" s="155" t="s">
        <v>252</v>
      </c>
      <c r="J3" s="599"/>
      <c r="K3" s="599"/>
    </row>
    <row r="4" spans="1:26" s="167" customFormat="1" ht="18.399999999999999" customHeight="1" thickBot="1">
      <c r="A4" s="159" t="s">
        <v>675</v>
      </c>
      <c r="B4" s="160"/>
      <c r="C4" s="161"/>
      <c r="D4" s="161"/>
      <c r="E4" s="161"/>
      <c r="F4" s="161"/>
      <c r="G4" s="161"/>
      <c r="H4" s="161"/>
      <c r="I4" s="161"/>
      <c r="J4" s="161"/>
      <c r="K4" s="162"/>
      <c r="L4" s="163"/>
      <c r="M4" s="163"/>
      <c r="N4" s="163"/>
      <c r="O4" s="163"/>
      <c r="P4" s="163"/>
      <c r="Q4" s="164" t="s">
        <v>253</v>
      </c>
      <c r="R4" s="165"/>
      <c r="S4" s="163"/>
      <c r="T4" s="164" t="s">
        <v>254</v>
      </c>
      <c r="U4" s="166"/>
      <c r="V4" s="163"/>
      <c r="W4" s="163"/>
      <c r="X4" s="163"/>
      <c r="Y4" s="163"/>
      <c r="Z4" s="163"/>
    </row>
    <row r="5" spans="1:26" s="167" customFormat="1" ht="18.399999999999999" customHeight="1">
      <c r="A5" s="600" t="s">
        <v>255</v>
      </c>
      <c r="B5" s="601"/>
      <c r="C5" s="601"/>
      <c r="D5" s="168"/>
      <c r="E5" s="169"/>
      <c r="F5" s="170" t="s">
        <v>256</v>
      </c>
      <c r="G5" s="171"/>
      <c r="H5" s="171"/>
      <c r="I5" s="172"/>
      <c r="J5" s="173" t="s">
        <v>257</v>
      </c>
      <c r="K5" s="174" t="s">
        <v>258</v>
      </c>
      <c r="L5" s="163"/>
      <c r="M5" s="163"/>
      <c r="N5" s="163"/>
      <c r="O5" s="163"/>
      <c r="P5" s="163"/>
      <c r="Q5" s="175" t="s">
        <v>259</v>
      </c>
      <c r="R5" s="176"/>
      <c r="S5" s="163"/>
      <c r="T5" s="175" t="s">
        <v>260</v>
      </c>
      <c r="U5" s="177"/>
      <c r="V5" s="163"/>
      <c r="W5" s="163"/>
      <c r="X5" s="163"/>
      <c r="Y5" s="163"/>
      <c r="Z5" s="163"/>
    </row>
    <row r="6" spans="1:26" s="167" customFormat="1" ht="18.399999999999999" customHeight="1">
      <c r="A6" s="602" t="s">
        <v>67</v>
      </c>
      <c r="B6" s="603"/>
      <c r="C6" s="603"/>
      <c r="D6" s="604" t="s">
        <v>264</v>
      </c>
      <c r="E6" s="605"/>
      <c r="F6" s="532" t="s">
        <v>262</v>
      </c>
      <c r="G6" s="533"/>
      <c r="H6" s="533"/>
      <c r="I6" s="533"/>
      <c r="J6" s="533"/>
      <c r="K6" s="534"/>
      <c r="L6" s="163"/>
      <c r="M6" s="163"/>
      <c r="N6" s="163"/>
      <c r="O6" s="163"/>
      <c r="P6" s="163"/>
      <c r="Q6" s="175" t="s">
        <v>263</v>
      </c>
      <c r="R6" s="176"/>
      <c r="S6" s="163"/>
      <c r="T6" s="175" t="s">
        <v>264</v>
      </c>
      <c r="U6" s="177"/>
      <c r="V6" s="163"/>
      <c r="W6" s="163"/>
      <c r="X6" s="163"/>
      <c r="Y6" s="163"/>
      <c r="Z6" s="163"/>
    </row>
    <row r="7" spans="1:26" s="167" customFormat="1" ht="18.399999999999999" customHeight="1">
      <c r="A7" s="593" t="s">
        <v>20</v>
      </c>
      <c r="B7" s="594"/>
      <c r="C7" s="594"/>
      <c r="D7" s="595">
        <v>3</v>
      </c>
      <c r="E7" s="596"/>
      <c r="F7" s="178" t="s">
        <v>265</v>
      </c>
      <c r="G7" s="179"/>
      <c r="H7" s="180"/>
      <c r="I7" s="181"/>
      <c r="J7" s="182">
        <v>46</v>
      </c>
      <c r="K7" s="183">
        <v>45.4</v>
      </c>
      <c r="L7" s="163"/>
      <c r="M7" s="163">
        <f>O7/N7*J7</f>
        <v>47.11515151515151</v>
      </c>
      <c r="N7" s="163">
        <v>33</v>
      </c>
      <c r="O7" s="163">
        <v>33.799999999999997</v>
      </c>
      <c r="P7" s="163"/>
      <c r="Q7" s="175" t="s">
        <v>266</v>
      </c>
      <c r="R7" s="176"/>
      <c r="S7" s="163"/>
      <c r="T7" s="175" t="s">
        <v>261</v>
      </c>
      <c r="U7" s="177"/>
      <c r="V7" s="163"/>
      <c r="W7" s="163"/>
      <c r="X7" s="163"/>
      <c r="Y7" s="163"/>
      <c r="Z7" s="163"/>
    </row>
    <row r="8" spans="1:26" s="167" customFormat="1" ht="18.399999999999999" customHeight="1">
      <c r="A8" s="593" t="s">
        <v>267</v>
      </c>
      <c r="B8" s="594"/>
      <c r="C8" s="594"/>
      <c r="D8" s="579">
        <v>580</v>
      </c>
      <c r="E8" s="575"/>
      <c r="F8" s="184" t="s">
        <v>268</v>
      </c>
      <c r="G8" s="185"/>
      <c r="H8" s="186"/>
      <c r="I8" s="187"/>
      <c r="J8" s="188">
        <v>13588</v>
      </c>
      <c r="K8" s="189">
        <v>17122</v>
      </c>
      <c r="L8" s="163"/>
      <c r="M8" s="163">
        <f>O8/N8*J8</f>
        <v>16788.137602540355</v>
      </c>
      <c r="N8" s="163">
        <v>11337</v>
      </c>
      <c r="O8" s="163">
        <v>14007</v>
      </c>
      <c r="P8" s="163"/>
      <c r="Q8" s="175" t="s">
        <v>269</v>
      </c>
      <c r="R8" s="176"/>
      <c r="S8" s="163"/>
      <c r="T8" s="175" t="s">
        <v>270</v>
      </c>
      <c r="U8" s="177"/>
      <c r="V8" s="163"/>
      <c r="W8" s="163"/>
      <c r="X8" s="163"/>
      <c r="Y8" s="163"/>
      <c r="Z8" s="163"/>
    </row>
    <row r="9" spans="1:26" s="167" customFormat="1" ht="18.399999999999999" customHeight="1">
      <c r="A9" s="588" t="s">
        <v>271</v>
      </c>
      <c r="B9" s="589"/>
      <c r="C9" s="590"/>
      <c r="D9" s="579">
        <v>11</v>
      </c>
      <c r="E9" s="575"/>
      <c r="F9" s="178" t="s">
        <v>272</v>
      </c>
      <c r="G9" s="179"/>
      <c r="H9" s="190">
        <v>3</v>
      </c>
      <c r="I9" s="191" t="s">
        <v>273</v>
      </c>
      <c r="J9" s="192">
        <v>503</v>
      </c>
      <c r="K9" s="189">
        <v>169.6</v>
      </c>
      <c r="L9" s="163"/>
      <c r="M9" s="163">
        <f>O9/N9*J9</f>
        <v>170.27392344497608</v>
      </c>
      <c r="N9" s="163">
        <v>418</v>
      </c>
      <c r="O9" s="163">
        <v>141.5</v>
      </c>
      <c r="P9" s="163"/>
      <c r="Q9" s="175" t="s">
        <v>274</v>
      </c>
      <c r="R9" s="176"/>
      <c r="S9" s="163"/>
      <c r="T9" s="175" t="s">
        <v>275</v>
      </c>
      <c r="U9" s="177"/>
      <c r="V9" s="163"/>
      <c r="W9" s="163"/>
      <c r="X9" s="163"/>
      <c r="Y9" s="163"/>
      <c r="Z9" s="163"/>
    </row>
    <row r="10" spans="1:26" s="167" customFormat="1" ht="18.399999999999999" customHeight="1" thickBot="1">
      <c r="A10" s="588" t="s">
        <v>276</v>
      </c>
      <c r="B10" s="589"/>
      <c r="C10" s="590"/>
      <c r="D10" s="562" t="s">
        <v>185</v>
      </c>
      <c r="E10" s="563"/>
      <c r="F10" s="178" t="s">
        <v>277</v>
      </c>
      <c r="G10" s="179"/>
      <c r="H10" s="190">
        <v>3</v>
      </c>
      <c r="I10" s="191" t="s">
        <v>273</v>
      </c>
      <c r="J10" s="192">
        <v>460</v>
      </c>
      <c r="K10" s="189">
        <v>460</v>
      </c>
      <c r="L10" s="163"/>
      <c r="M10" s="163">
        <f>O10/N10*J10</f>
        <v>460</v>
      </c>
      <c r="N10" s="163">
        <v>460</v>
      </c>
      <c r="O10" s="163">
        <v>460</v>
      </c>
      <c r="P10" s="163"/>
      <c r="Q10" s="175" t="s">
        <v>674</v>
      </c>
      <c r="R10" s="176"/>
      <c r="S10" s="163"/>
      <c r="T10" s="193" t="s">
        <v>279</v>
      </c>
      <c r="U10" s="194"/>
      <c r="V10" s="163"/>
      <c r="W10" s="163"/>
      <c r="X10" s="163"/>
      <c r="Y10" s="163"/>
      <c r="Z10" s="163"/>
    </row>
    <row r="11" spans="1:26" s="167" customFormat="1" ht="18.399999999999999" customHeight="1" thickBot="1">
      <c r="A11" s="588" t="s">
        <v>280</v>
      </c>
      <c r="B11" s="589"/>
      <c r="C11" s="590"/>
      <c r="D11" s="557" t="s">
        <v>175</v>
      </c>
      <c r="E11" s="558"/>
      <c r="F11" s="195" t="s">
        <v>281</v>
      </c>
      <c r="G11" s="196"/>
      <c r="H11" s="197">
        <v>3</v>
      </c>
      <c r="I11" s="191" t="s">
        <v>273</v>
      </c>
      <c r="J11" s="198">
        <v>19874</v>
      </c>
      <c r="K11" s="529">
        <v>13327</v>
      </c>
      <c r="L11" s="163"/>
      <c r="M11" s="163">
        <f>O11/N11*J11</f>
        <v>16796.773884396523</v>
      </c>
      <c r="N11" s="163">
        <v>20034</v>
      </c>
      <c r="O11" s="163">
        <v>16932</v>
      </c>
      <c r="P11" s="163"/>
      <c r="Q11" s="175" t="s">
        <v>278</v>
      </c>
      <c r="R11" s="176"/>
      <c r="S11" s="163"/>
      <c r="T11" s="164" t="s">
        <v>673</v>
      </c>
      <c r="U11" s="166"/>
      <c r="V11" s="163"/>
      <c r="W11" s="163"/>
      <c r="X11" s="163"/>
      <c r="Y11" s="163"/>
      <c r="Z11" s="163"/>
    </row>
    <row r="12" spans="1:26" s="167" customFormat="1" ht="18.399999999999999" customHeight="1" thickBot="1">
      <c r="A12" s="201" t="s">
        <v>283</v>
      </c>
      <c r="C12" s="202"/>
      <c r="D12" s="591" t="s">
        <v>175</v>
      </c>
      <c r="E12" s="592"/>
      <c r="F12" s="559" t="s">
        <v>284</v>
      </c>
      <c r="G12" s="560"/>
      <c r="H12" s="560"/>
      <c r="I12" s="560"/>
      <c r="J12" s="560"/>
      <c r="K12" s="561"/>
      <c r="L12" s="163"/>
      <c r="M12" s="163"/>
      <c r="N12" s="163"/>
      <c r="O12" s="163"/>
      <c r="P12" s="163"/>
      <c r="Q12" s="193" t="s">
        <v>282</v>
      </c>
      <c r="R12" s="200"/>
      <c r="S12" s="163"/>
      <c r="T12" s="163"/>
      <c r="U12" s="163"/>
      <c r="V12" s="163"/>
      <c r="W12" s="163"/>
      <c r="X12" s="163"/>
      <c r="Y12" s="163"/>
      <c r="Z12" s="163"/>
    </row>
    <row r="13" spans="1:26" s="167" customFormat="1" ht="18.399999999999999" customHeight="1">
      <c r="A13" s="588" t="s">
        <v>53</v>
      </c>
      <c r="B13" s="589"/>
      <c r="C13" s="590"/>
      <c r="D13" s="582" t="s">
        <v>672</v>
      </c>
      <c r="E13" s="583"/>
      <c r="F13" s="203"/>
      <c r="G13" s="204" t="s">
        <v>285</v>
      </c>
      <c r="H13" s="205"/>
      <c r="I13" s="206" t="s">
        <v>286</v>
      </c>
      <c r="J13" s="207" t="s">
        <v>671</v>
      </c>
      <c r="K13" s="208" t="s">
        <v>175</v>
      </c>
      <c r="L13" s="163"/>
      <c r="M13" s="163"/>
      <c r="N13" s="163"/>
      <c r="O13" s="163"/>
      <c r="P13" s="163"/>
      <c r="Q13" s="163"/>
      <c r="R13" s="163"/>
      <c r="S13" s="163"/>
      <c r="T13" s="163"/>
      <c r="U13" s="163"/>
      <c r="V13" s="163"/>
      <c r="W13" s="163"/>
      <c r="X13" s="163"/>
      <c r="Y13" s="163"/>
      <c r="Z13" s="163"/>
    </row>
    <row r="14" spans="1:26" s="167" customFormat="1" ht="18.399999999999999" customHeight="1">
      <c r="A14" s="588" t="s">
        <v>56</v>
      </c>
      <c r="B14" s="589"/>
      <c r="C14" s="590"/>
      <c r="D14" s="591">
        <v>1296</v>
      </c>
      <c r="E14" s="592"/>
      <c r="F14" s="203"/>
      <c r="G14" s="209" t="s">
        <v>10</v>
      </c>
      <c r="H14" s="210"/>
      <c r="I14" s="210"/>
      <c r="J14" s="192" t="s">
        <v>175</v>
      </c>
      <c r="K14" s="189" t="s">
        <v>175</v>
      </c>
      <c r="L14" s="163"/>
      <c r="M14" s="163"/>
      <c r="N14" s="163"/>
      <c r="O14" s="163"/>
      <c r="P14" s="163"/>
      <c r="Q14" s="163"/>
      <c r="R14" s="163"/>
      <c r="S14" s="163"/>
      <c r="T14" s="163"/>
      <c r="U14" s="163"/>
      <c r="V14" s="163"/>
      <c r="W14" s="163"/>
      <c r="X14" s="163"/>
      <c r="Y14" s="163"/>
      <c r="Z14" s="163"/>
    </row>
    <row r="15" spans="1:26" s="167" customFormat="1" ht="18.399999999999999" customHeight="1">
      <c r="A15" s="576" t="s">
        <v>287</v>
      </c>
      <c r="B15" s="577"/>
      <c r="C15" s="578"/>
      <c r="D15" s="555">
        <v>11.687199592590332</v>
      </c>
      <c r="E15" s="556"/>
      <c r="F15" s="203"/>
      <c r="G15" s="209" t="s">
        <v>288</v>
      </c>
      <c r="H15" s="210"/>
      <c r="I15" s="210"/>
      <c r="J15" s="192" t="s">
        <v>175</v>
      </c>
      <c r="K15" s="189" t="s">
        <v>175</v>
      </c>
      <c r="L15" s="163"/>
      <c r="M15" s="163"/>
      <c r="N15" s="163"/>
      <c r="O15" s="163"/>
      <c r="P15" s="163"/>
      <c r="Q15" s="163"/>
      <c r="R15" s="163"/>
      <c r="S15" s="163"/>
      <c r="T15" s="163"/>
      <c r="U15" s="163"/>
      <c r="V15" s="163"/>
      <c r="W15" s="163"/>
      <c r="X15" s="163"/>
      <c r="Y15" s="163"/>
      <c r="Z15" s="163"/>
    </row>
    <row r="16" spans="1:26" s="167" customFormat="1" ht="18.399999999999999" customHeight="1">
      <c r="A16" s="552" t="s">
        <v>289</v>
      </c>
      <c r="B16" s="553"/>
      <c r="C16" s="554"/>
      <c r="D16" s="555">
        <v>3.4935998916625977</v>
      </c>
      <c r="E16" s="556"/>
      <c r="F16" s="211"/>
      <c r="G16" s="212" t="s">
        <v>17</v>
      </c>
      <c r="H16" s="213"/>
      <c r="I16" s="213"/>
      <c r="J16" s="198" t="s">
        <v>175</v>
      </c>
      <c r="K16" s="199" t="s">
        <v>175</v>
      </c>
      <c r="L16" s="163"/>
      <c r="M16" s="163"/>
      <c r="N16" s="163"/>
      <c r="O16" s="163"/>
      <c r="P16" s="163"/>
      <c r="Q16" s="163"/>
      <c r="R16" s="163"/>
      <c r="S16" s="163"/>
      <c r="T16" s="163"/>
      <c r="U16" s="163"/>
      <c r="V16" s="163"/>
      <c r="W16" s="163"/>
      <c r="X16" s="163"/>
      <c r="Y16" s="163"/>
      <c r="Z16" s="163"/>
    </row>
    <row r="17" spans="1:26" s="167" customFormat="1" ht="18.399999999999999" customHeight="1">
      <c r="A17" s="214" t="s">
        <v>290</v>
      </c>
      <c r="B17" s="215"/>
      <c r="C17" s="216"/>
      <c r="D17" s="557" t="s">
        <v>336</v>
      </c>
      <c r="E17" s="558"/>
      <c r="F17" s="559" t="s">
        <v>291</v>
      </c>
      <c r="G17" s="560"/>
      <c r="H17" s="560"/>
      <c r="I17" s="560"/>
      <c r="J17" s="560"/>
      <c r="K17" s="561"/>
      <c r="L17" s="163"/>
      <c r="M17" s="163"/>
      <c r="N17" s="163"/>
      <c r="O17" s="163"/>
      <c r="P17" s="163"/>
      <c r="Q17" s="163"/>
      <c r="R17" s="163"/>
      <c r="S17" s="163"/>
      <c r="T17" s="163"/>
      <c r="U17" s="163"/>
      <c r="V17" s="163"/>
      <c r="W17" s="163"/>
      <c r="X17" s="163"/>
      <c r="Y17" s="163"/>
      <c r="Z17" s="163"/>
    </row>
    <row r="18" spans="1:26" s="167" customFormat="1" ht="18.399999999999999" customHeight="1">
      <c r="A18" s="217" t="s">
        <v>292</v>
      </c>
      <c r="B18" s="218"/>
      <c r="C18" s="216"/>
      <c r="D18" s="562" t="s">
        <v>175</v>
      </c>
      <c r="E18" s="563"/>
      <c r="F18" s="564"/>
      <c r="G18" s="565"/>
      <c r="H18" s="219" t="s">
        <v>293</v>
      </c>
      <c r="I18" s="220"/>
      <c r="J18" s="188">
        <v>199</v>
      </c>
      <c r="K18" s="189"/>
      <c r="L18" s="163"/>
      <c r="M18" s="163">
        <f>J18*6.5</f>
        <v>1293.5</v>
      </c>
      <c r="N18" s="163"/>
      <c r="O18" s="163"/>
      <c r="P18" s="163"/>
      <c r="Q18" s="163"/>
      <c r="R18" s="163"/>
      <c r="S18" s="163"/>
      <c r="T18" s="163"/>
      <c r="U18" s="163"/>
      <c r="V18" s="163"/>
      <c r="W18" s="163"/>
      <c r="X18" s="163"/>
      <c r="Y18" s="163"/>
      <c r="Z18" s="163"/>
    </row>
    <row r="19" spans="1:26" s="167" customFormat="1" ht="18.399999999999999" customHeight="1">
      <c r="A19" s="570" t="s">
        <v>294</v>
      </c>
      <c r="B19" s="571"/>
      <c r="C19" s="572"/>
      <c r="D19" s="573" t="s">
        <v>175</v>
      </c>
      <c r="E19" s="558"/>
      <c r="F19" s="566"/>
      <c r="G19" s="567"/>
      <c r="H19" s="219" t="s">
        <v>5</v>
      </c>
      <c r="I19" s="181"/>
      <c r="J19" s="188">
        <v>1785</v>
      </c>
      <c r="K19" s="189"/>
      <c r="L19" s="163"/>
      <c r="M19" s="163"/>
      <c r="N19" s="163"/>
      <c r="O19" s="163"/>
      <c r="P19" s="163"/>
      <c r="Q19" s="163"/>
      <c r="R19" s="163"/>
      <c r="S19" s="163"/>
      <c r="T19" s="163"/>
      <c r="U19" s="163"/>
      <c r="V19" s="163"/>
      <c r="W19" s="163"/>
      <c r="X19" s="163"/>
      <c r="Y19" s="163"/>
      <c r="Z19" s="163"/>
    </row>
    <row r="20" spans="1:26" s="167" customFormat="1" ht="18.399999999999999" customHeight="1" thickBot="1">
      <c r="A20" s="221" t="s">
        <v>295</v>
      </c>
      <c r="C20" s="222"/>
      <c r="D20" s="574" t="s">
        <v>184</v>
      </c>
      <c r="E20" s="575"/>
      <c r="F20" s="566"/>
      <c r="G20" s="567"/>
      <c r="H20" s="219" t="s">
        <v>296</v>
      </c>
      <c r="I20" s="181"/>
      <c r="J20" s="192" t="s">
        <v>340</v>
      </c>
      <c r="K20" s="189"/>
      <c r="L20" s="163"/>
      <c r="M20" s="163"/>
      <c r="N20" s="163"/>
      <c r="O20" s="163"/>
      <c r="P20" s="163"/>
      <c r="Q20" s="163"/>
      <c r="R20" s="163"/>
      <c r="S20" s="163"/>
      <c r="T20" s="163"/>
      <c r="U20" s="163"/>
      <c r="V20" s="163"/>
      <c r="W20" s="163"/>
      <c r="X20" s="163"/>
      <c r="Y20" s="163"/>
      <c r="Z20" s="163"/>
    </row>
    <row r="21" spans="1:26" s="167" customFormat="1" ht="18.399999999999999" customHeight="1" thickBot="1">
      <c r="A21" s="576" t="s">
        <v>297</v>
      </c>
      <c r="B21" s="577"/>
      <c r="C21" s="578"/>
      <c r="D21" s="579" t="s">
        <v>175</v>
      </c>
      <c r="E21" s="575"/>
      <c r="F21" s="566"/>
      <c r="G21" s="567"/>
      <c r="H21" s="223" t="s">
        <v>298</v>
      </c>
      <c r="I21" s="181"/>
      <c r="J21" s="192">
        <v>1.1499999999999999</v>
      </c>
      <c r="K21" s="189"/>
      <c r="L21" s="163"/>
      <c r="M21" s="163"/>
      <c r="N21" s="163"/>
      <c r="O21" s="163"/>
      <c r="P21" s="163"/>
      <c r="Q21" s="164" t="s">
        <v>299</v>
      </c>
      <c r="R21" s="166"/>
      <c r="S21" s="163"/>
      <c r="T21" s="163"/>
      <c r="U21" s="163"/>
      <c r="V21" s="163"/>
      <c r="W21" s="163"/>
      <c r="X21" s="163"/>
      <c r="Y21" s="163"/>
      <c r="Z21" s="163"/>
    </row>
    <row r="22" spans="1:26" s="167" customFormat="1" ht="18.399999999999999" customHeight="1">
      <c r="A22" s="217" t="s">
        <v>300</v>
      </c>
      <c r="B22" s="224"/>
      <c r="C22" s="224"/>
      <c r="D22" s="580">
        <v>9.4300001859664917E-2</v>
      </c>
      <c r="E22" s="581"/>
      <c r="F22" s="566"/>
      <c r="G22" s="567"/>
      <c r="H22" s="219" t="s">
        <v>257</v>
      </c>
      <c r="I22" s="181"/>
      <c r="J22" s="306" t="s">
        <v>175</v>
      </c>
      <c r="K22" s="189"/>
      <c r="L22" s="163"/>
      <c r="M22" s="163"/>
      <c r="N22" s="163"/>
      <c r="O22" s="163"/>
      <c r="P22" s="163"/>
      <c r="Q22" s="175" t="s">
        <v>301</v>
      </c>
      <c r="R22" s="177"/>
      <c r="S22" s="163"/>
      <c r="T22" s="163"/>
      <c r="U22" s="163"/>
      <c r="V22" s="163"/>
      <c r="W22" s="163"/>
      <c r="X22" s="163"/>
      <c r="Y22" s="163"/>
      <c r="Z22" s="163"/>
    </row>
    <row r="23" spans="1:26" s="167" customFormat="1" ht="18.399999999999999" customHeight="1">
      <c r="A23" s="225" t="s">
        <v>302</v>
      </c>
      <c r="B23" s="226" t="s">
        <v>303</v>
      </c>
      <c r="C23" s="227"/>
      <c r="D23" s="582">
        <v>881.5</v>
      </c>
      <c r="E23" s="583"/>
      <c r="F23" s="566"/>
      <c r="G23" s="567"/>
      <c r="H23" s="228" t="s">
        <v>304</v>
      </c>
      <c r="I23" s="229"/>
      <c r="J23" s="230"/>
      <c r="K23" s="231"/>
      <c r="L23" s="163"/>
      <c r="Q23" s="175" t="s">
        <v>305</v>
      </c>
      <c r="R23" s="177"/>
      <c r="S23" s="163"/>
      <c r="T23" s="163"/>
      <c r="U23" s="163"/>
      <c r="V23" s="163"/>
      <c r="W23" s="163"/>
      <c r="X23" s="163"/>
      <c r="Y23" s="163"/>
      <c r="Z23" s="163"/>
    </row>
    <row r="24" spans="1:26" s="167" customFormat="1" ht="18.399999999999999" customHeight="1" thickBot="1">
      <c r="A24" s="232" t="s">
        <v>306</v>
      </c>
      <c r="B24" s="233" t="s">
        <v>307</v>
      </c>
      <c r="C24" s="234"/>
      <c r="D24" s="584" t="s">
        <v>175</v>
      </c>
      <c r="E24" s="585"/>
      <c r="F24" s="566"/>
      <c r="G24" s="567"/>
      <c r="H24" s="219" t="s">
        <v>308</v>
      </c>
      <c r="I24" s="202"/>
      <c r="J24" s="235"/>
      <c r="K24" s="236"/>
      <c r="Q24" s="237" t="s">
        <v>175</v>
      </c>
      <c r="R24" s="238"/>
      <c r="S24" s="163"/>
      <c r="T24" s="163"/>
      <c r="U24" s="163"/>
      <c r="V24" s="163"/>
      <c r="W24" s="163"/>
      <c r="X24" s="163"/>
      <c r="Y24" s="163"/>
      <c r="Z24" s="163"/>
    </row>
    <row r="25" spans="1:26" s="167" customFormat="1" ht="18.399999999999999" customHeight="1">
      <c r="A25" s="527" t="s">
        <v>309</v>
      </c>
      <c r="B25" s="528"/>
      <c r="C25" s="528"/>
      <c r="D25" s="241"/>
      <c r="E25" s="241" t="s">
        <v>310</v>
      </c>
      <c r="F25" s="566"/>
      <c r="G25" s="567"/>
      <c r="H25" s="219" t="s">
        <v>311</v>
      </c>
      <c r="I25" s="202"/>
      <c r="J25" s="242"/>
      <c r="K25" s="236"/>
      <c r="R25" s="163"/>
      <c r="S25" s="163"/>
      <c r="T25" s="163"/>
      <c r="U25" s="163"/>
      <c r="V25" s="163"/>
      <c r="W25" s="163"/>
      <c r="X25" s="163"/>
      <c r="Y25" s="163"/>
      <c r="Z25" s="163"/>
    </row>
    <row r="26" spans="1:26" s="167" customFormat="1" ht="18.399999999999999" customHeight="1">
      <c r="A26" s="243" t="s">
        <v>312</v>
      </c>
      <c r="B26" s="244"/>
      <c r="C26" s="245"/>
      <c r="D26" s="246" t="s">
        <v>670</v>
      </c>
      <c r="E26" s="246" t="s">
        <v>669</v>
      </c>
      <c r="F26" s="568"/>
      <c r="G26" s="569"/>
      <c r="H26" s="586"/>
      <c r="I26" s="587"/>
      <c r="J26" s="247"/>
      <c r="K26" s="248"/>
      <c r="R26" s="163"/>
      <c r="S26" s="163"/>
      <c r="T26" s="163"/>
      <c r="U26" s="163"/>
      <c r="V26" s="163"/>
      <c r="W26" s="163"/>
      <c r="X26" s="163"/>
      <c r="Y26" s="163"/>
      <c r="Z26" s="163"/>
    </row>
    <row r="27" spans="1:26" s="167" customFormat="1" ht="18.399999999999999" customHeight="1">
      <c r="A27" s="530" t="s">
        <v>313</v>
      </c>
      <c r="B27" s="531"/>
      <c r="C27" s="531"/>
      <c r="D27" s="531"/>
      <c r="E27" s="531"/>
      <c r="F27" s="532" t="s">
        <v>314</v>
      </c>
      <c r="G27" s="533"/>
      <c r="H27" s="533"/>
      <c r="I27" s="533"/>
      <c r="J27" s="533"/>
      <c r="K27" s="534"/>
      <c r="R27" s="163"/>
      <c r="S27" s="163"/>
      <c r="T27" s="163"/>
      <c r="U27" s="163"/>
      <c r="V27" s="163"/>
      <c r="W27" s="163"/>
      <c r="X27" s="163"/>
      <c r="Y27" s="163"/>
      <c r="Z27" s="163"/>
    </row>
    <row r="28" spans="1:26" s="167" customFormat="1" ht="18.399999999999999" customHeight="1">
      <c r="A28" s="543"/>
      <c r="B28" s="544"/>
      <c r="C28" s="544"/>
      <c r="D28" s="544"/>
      <c r="E28" s="545"/>
      <c r="F28" s="249"/>
      <c r="G28" s="250"/>
      <c r="H28" s="209" t="s">
        <v>315</v>
      </c>
      <c r="I28" s="251" t="s">
        <v>337</v>
      </c>
      <c r="J28" s="188">
        <v>1280</v>
      </c>
      <c r="K28" s="252" t="s">
        <v>175</v>
      </c>
      <c r="M28" s="167">
        <f>(J28/J18)*100</f>
        <v>643.21608040201011</v>
      </c>
      <c r="N28" s="253"/>
      <c r="O28" s="253"/>
      <c r="R28" s="163"/>
      <c r="S28" s="163"/>
      <c r="T28" s="163"/>
      <c r="U28" s="163"/>
      <c r="V28" s="163"/>
      <c r="W28" s="163"/>
      <c r="X28" s="163"/>
      <c r="Y28" s="163"/>
      <c r="Z28" s="163"/>
    </row>
    <row r="29" spans="1:26" s="167" customFormat="1" ht="18.399999999999999" customHeight="1">
      <c r="A29" s="543"/>
      <c r="B29" s="544"/>
      <c r="C29" s="544"/>
      <c r="D29" s="544"/>
      <c r="E29" s="545"/>
      <c r="F29" s="254"/>
      <c r="G29" s="255"/>
      <c r="H29" s="209" t="s">
        <v>316</v>
      </c>
      <c r="I29" s="256">
        <v>60</v>
      </c>
      <c r="J29" s="188">
        <v>113</v>
      </c>
      <c r="K29" s="257" t="s">
        <v>175</v>
      </c>
      <c r="Q29" s="163"/>
      <c r="R29" s="163"/>
      <c r="S29" s="163"/>
      <c r="T29" s="163"/>
      <c r="U29" s="163"/>
      <c r="V29" s="163"/>
      <c r="W29" s="163"/>
      <c r="X29" s="163"/>
      <c r="Y29" s="163"/>
      <c r="Z29" s="163"/>
    </row>
    <row r="30" spans="1:26" s="167" customFormat="1" ht="18.399999999999999" customHeight="1">
      <c r="A30" s="543"/>
      <c r="B30" s="544"/>
      <c r="C30" s="544"/>
      <c r="D30" s="544"/>
      <c r="E30" s="545"/>
      <c r="F30" s="254"/>
      <c r="G30" s="255"/>
      <c r="H30" s="209" t="s">
        <v>317</v>
      </c>
      <c r="I30" s="256">
        <v>175</v>
      </c>
      <c r="J30" s="188">
        <v>220</v>
      </c>
      <c r="K30" s="258" t="s">
        <v>175</v>
      </c>
      <c r="L30" s="163"/>
      <c r="R30" s="163"/>
      <c r="S30" s="163"/>
      <c r="T30" s="163"/>
      <c r="U30" s="163"/>
      <c r="V30" s="163"/>
      <c r="W30" s="163"/>
      <c r="X30" s="163"/>
      <c r="Y30" s="163"/>
      <c r="Z30" s="163"/>
    </row>
    <row r="31" spans="1:26" s="167" customFormat="1" ht="18.399999999999999" customHeight="1">
      <c r="A31" s="543"/>
      <c r="B31" s="544"/>
      <c r="C31" s="544"/>
      <c r="D31" s="544"/>
      <c r="E31" s="545"/>
      <c r="F31" s="254"/>
      <c r="G31" s="255"/>
      <c r="H31" s="209" t="s">
        <v>318</v>
      </c>
      <c r="I31" s="210"/>
      <c r="J31" s="259">
        <v>0.62</v>
      </c>
      <c r="K31" s="183" t="s">
        <v>175</v>
      </c>
      <c r="L31" s="163"/>
      <c r="R31" s="163"/>
      <c r="S31" s="163"/>
      <c r="T31" s="163"/>
      <c r="U31" s="163"/>
      <c r="V31" s="163"/>
      <c r="W31" s="163"/>
      <c r="X31" s="163"/>
      <c r="Y31" s="163"/>
      <c r="Z31" s="163"/>
    </row>
    <row r="32" spans="1:26" s="167" customFormat="1" ht="18.399999999999999" customHeight="1">
      <c r="A32" s="546"/>
      <c r="B32" s="547"/>
      <c r="C32" s="547"/>
      <c r="D32" s="547"/>
      <c r="E32" s="548"/>
      <c r="F32" s="254"/>
      <c r="G32" s="260" t="s">
        <v>319</v>
      </c>
      <c r="H32" s="209" t="s">
        <v>320</v>
      </c>
      <c r="I32" s="261"/>
      <c r="J32" s="182">
        <v>94.6</v>
      </c>
      <c r="K32" s="257" t="s">
        <v>175</v>
      </c>
      <c r="L32" s="163"/>
      <c r="N32" s="262"/>
      <c r="R32" s="163"/>
      <c r="S32" s="163"/>
      <c r="T32" s="163"/>
      <c r="U32" s="163"/>
      <c r="V32" s="163"/>
      <c r="W32" s="163"/>
      <c r="X32" s="163"/>
      <c r="Y32" s="163"/>
      <c r="Z32" s="163"/>
    </row>
    <row r="33" spans="1:26" s="167" customFormat="1" ht="18.399999999999999" customHeight="1">
      <c r="A33" s="530" t="s">
        <v>321</v>
      </c>
      <c r="B33" s="531"/>
      <c r="C33" s="531"/>
      <c r="D33" s="531"/>
      <c r="E33" s="549"/>
      <c r="F33" s="263"/>
      <c r="G33" s="264"/>
      <c r="H33" s="265" t="s">
        <v>322</v>
      </c>
      <c r="I33" s="266"/>
      <c r="J33" s="267">
        <v>89.4</v>
      </c>
      <c r="K33" s="268" t="s">
        <v>175</v>
      </c>
      <c r="L33" s="163"/>
      <c r="R33" s="163"/>
      <c r="S33" s="163"/>
      <c r="T33" s="163"/>
      <c r="U33" s="163"/>
      <c r="V33" s="163"/>
      <c r="W33" s="163"/>
      <c r="X33" s="163"/>
      <c r="Y33" s="163"/>
      <c r="Z33" s="163"/>
    </row>
    <row r="34" spans="1:26" s="167" customFormat="1" ht="18.399999999999999" customHeight="1">
      <c r="A34" s="543"/>
      <c r="B34" s="544"/>
      <c r="C34" s="544"/>
      <c r="D34" s="544"/>
      <c r="E34" s="545"/>
      <c r="F34" s="184" t="s">
        <v>323</v>
      </c>
      <c r="G34" s="269"/>
      <c r="H34" s="270" t="s">
        <v>14</v>
      </c>
      <c r="I34" s="271"/>
      <c r="J34" s="272">
        <v>4794</v>
      </c>
      <c r="K34" s="273" t="s">
        <v>175</v>
      </c>
      <c r="L34" s="274"/>
      <c r="M34" s="275"/>
      <c r="R34" s="163"/>
      <c r="S34" s="163"/>
      <c r="T34" s="163"/>
      <c r="U34" s="163"/>
      <c r="V34" s="163"/>
      <c r="W34" s="163"/>
      <c r="X34" s="163"/>
      <c r="Y34" s="163"/>
      <c r="Z34" s="163"/>
    </row>
    <row r="35" spans="1:26" s="167" customFormat="1" ht="18.399999999999999" customHeight="1">
      <c r="A35" s="543"/>
      <c r="B35" s="544"/>
      <c r="C35" s="544"/>
      <c r="D35" s="544"/>
      <c r="E35" s="545"/>
      <c r="F35" s="203"/>
      <c r="G35" s="276"/>
      <c r="H35" s="277" t="s">
        <v>15</v>
      </c>
      <c r="I35" s="526"/>
      <c r="J35" s="188">
        <v>4431</v>
      </c>
      <c r="K35" s="183" t="s">
        <v>175</v>
      </c>
      <c r="L35" s="279"/>
      <c r="M35" s="275"/>
      <c r="R35" s="163"/>
      <c r="S35" s="163"/>
      <c r="T35" s="163"/>
      <c r="U35" s="163"/>
      <c r="V35" s="163"/>
      <c r="W35" s="163"/>
      <c r="X35" s="163"/>
      <c r="Y35" s="163"/>
      <c r="Z35" s="163"/>
    </row>
    <row r="36" spans="1:26" s="167" customFormat="1" ht="18.399999999999999" customHeight="1">
      <c r="A36" s="543"/>
      <c r="B36" s="544"/>
      <c r="C36" s="544"/>
      <c r="D36" s="544"/>
      <c r="E36" s="545"/>
      <c r="F36" s="203"/>
      <c r="G36" s="276"/>
      <c r="H36" s="277" t="s">
        <v>324</v>
      </c>
      <c r="I36" s="526"/>
      <c r="J36" s="188">
        <v>3692</v>
      </c>
      <c r="K36" s="183" t="s">
        <v>175</v>
      </c>
      <c r="L36" s="279"/>
      <c r="M36" s="253"/>
      <c r="Q36" s="163"/>
      <c r="R36" s="163"/>
      <c r="S36" s="163"/>
      <c r="T36" s="163"/>
      <c r="U36" s="163"/>
      <c r="V36" s="163"/>
      <c r="W36" s="163"/>
      <c r="X36" s="163"/>
      <c r="Y36" s="163"/>
      <c r="Z36" s="163"/>
    </row>
    <row r="37" spans="1:26" s="167" customFormat="1" ht="18.399999999999999" customHeight="1">
      <c r="A37" s="543"/>
      <c r="B37" s="544"/>
      <c r="C37" s="544"/>
      <c r="D37" s="544"/>
      <c r="E37" s="545"/>
      <c r="F37" s="254"/>
      <c r="G37" s="276"/>
      <c r="H37" s="277" t="s">
        <v>325</v>
      </c>
      <c r="I37" s="526"/>
      <c r="J37" s="188">
        <v>10813</v>
      </c>
      <c r="K37" s="183" t="s">
        <v>175</v>
      </c>
      <c r="L37" s="279"/>
      <c r="M37" s="253"/>
      <c r="N37" s="279"/>
      <c r="R37" s="163"/>
      <c r="S37" s="163"/>
      <c r="T37" s="163"/>
      <c r="U37" s="163"/>
      <c r="V37" s="163"/>
      <c r="W37" s="163"/>
      <c r="X37" s="163"/>
      <c r="Y37" s="163"/>
      <c r="Z37" s="163"/>
    </row>
    <row r="38" spans="1:26" s="167" customFormat="1" ht="18.399999999999999" customHeight="1">
      <c r="A38" s="546"/>
      <c r="B38" s="547"/>
      <c r="C38" s="547"/>
      <c r="D38" s="547"/>
      <c r="E38" s="548"/>
      <c r="F38" s="211"/>
      <c r="G38" s="280"/>
      <c r="H38" s="281" t="s">
        <v>326</v>
      </c>
      <c r="I38" s="282"/>
      <c r="J38" s="283">
        <v>14415</v>
      </c>
      <c r="K38" s="284" t="s">
        <v>175</v>
      </c>
      <c r="R38" s="163"/>
      <c r="S38" s="163"/>
      <c r="T38" s="163"/>
      <c r="U38" s="163"/>
      <c r="V38" s="163"/>
      <c r="W38" s="163"/>
      <c r="X38" s="163"/>
      <c r="Y38" s="163"/>
      <c r="Z38" s="163"/>
    </row>
    <row r="39" spans="1:26" s="167" customFormat="1" ht="18.399999999999999" customHeight="1">
      <c r="A39" s="530" t="s">
        <v>327</v>
      </c>
      <c r="B39" s="531"/>
      <c r="C39" s="531"/>
      <c r="D39" s="531"/>
      <c r="E39" s="531"/>
      <c r="F39" s="285" t="s">
        <v>328</v>
      </c>
      <c r="G39" s="286"/>
      <c r="H39" s="286"/>
      <c r="I39" s="286"/>
      <c r="J39" s="286"/>
      <c r="K39" s="287"/>
      <c r="R39" s="163"/>
      <c r="S39" s="163"/>
      <c r="T39" s="163"/>
      <c r="U39" s="163"/>
      <c r="V39" s="163"/>
      <c r="W39" s="163"/>
      <c r="X39" s="163"/>
      <c r="Y39" s="163"/>
      <c r="Z39" s="163"/>
    </row>
    <row r="40" spans="1:26" s="167" customFormat="1" ht="18.399999999999999" customHeight="1">
      <c r="A40" s="543"/>
      <c r="B40" s="544"/>
      <c r="C40" s="544"/>
      <c r="D40" s="544"/>
      <c r="E40" s="545"/>
      <c r="F40" s="288" t="s">
        <v>545</v>
      </c>
      <c r="G40" s="167" t="s">
        <v>546</v>
      </c>
      <c r="H40" s="307"/>
      <c r="I40" s="307"/>
      <c r="J40" s="307"/>
      <c r="K40" s="290"/>
      <c r="R40" s="163"/>
      <c r="S40" s="163"/>
      <c r="T40" s="163"/>
      <c r="U40" s="163"/>
      <c r="V40" s="163"/>
      <c r="W40" s="163"/>
      <c r="X40" s="163"/>
      <c r="Y40" s="163"/>
      <c r="Z40" s="163"/>
    </row>
    <row r="41" spans="1:26" s="167" customFormat="1" ht="18.399999999999999" customHeight="1">
      <c r="A41" s="543"/>
      <c r="B41" s="544"/>
      <c r="C41" s="544"/>
      <c r="D41" s="544"/>
      <c r="E41" s="545"/>
      <c r="F41" s="288"/>
      <c r="G41" s="291" t="s">
        <v>547</v>
      </c>
      <c r="H41" s="291"/>
      <c r="I41" s="291"/>
      <c r="J41" s="291"/>
      <c r="K41" s="292"/>
      <c r="L41" s="293"/>
      <c r="R41" s="163"/>
      <c r="S41" s="163"/>
      <c r="T41" s="163"/>
      <c r="U41" s="163"/>
      <c r="V41" s="163"/>
      <c r="W41" s="163"/>
      <c r="X41" s="163"/>
      <c r="Y41" s="163"/>
      <c r="Z41" s="163"/>
    </row>
    <row r="42" spans="1:26" s="167" customFormat="1" ht="18.399999999999999" customHeight="1">
      <c r="A42" s="543"/>
      <c r="B42" s="544"/>
      <c r="C42" s="544"/>
      <c r="D42" s="544"/>
      <c r="E42" s="545"/>
      <c r="F42" s="288"/>
      <c r="G42" s="291" t="s">
        <v>549</v>
      </c>
      <c r="H42" s="291"/>
      <c r="I42" s="291"/>
      <c r="J42" s="291"/>
      <c r="K42" s="292"/>
      <c r="L42" s="163"/>
      <c r="M42" s="163"/>
      <c r="N42" s="163"/>
      <c r="O42" s="163"/>
      <c r="P42" s="163"/>
      <c r="Q42" s="163"/>
      <c r="R42" s="163"/>
      <c r="S42" s="163"/>
      <c r="T42" s="163"/>
      <c r="U42" s="163"/>
      <c r="V42" s="163"/>
      <c r="W42" s="163"/>
      <c r="X42" s="163"/>
      <c r="Y42" s="163"/>
      <c r="Z42" s="163"/>
    </row>
    <row r="43" spans="1:26" s="167" customFormat="1" ht="18.399999999999999" customHeight="1">
      <c r="A43" s="543"/>
      <c r="B43" s="544"/>
      <c r="C43" s="544"/>
      <c r="D43" s="544"/>
      <c r="E43" s="545"/>
      <c r="F43" s="288"/>
      <c r="G43" s="291" t="s">
        <v>550</v>
      </c>
      <c r="H43" s="291"/>
      <c r="I43" s="291"/>
      <c r="J43" s="291"/>
      <c r="K43" s="292"/>
      <c r="L43" s="163"/>
      <c r="M43" s="163"/>
      <c r="N43" s="163"/>
      <c r="O43" s="163"/>
      <c r="P43" s="163"/>
      <c r="Q43" s="163"/>
      <c r="R43" s="163"/>
      <c r="S43" s="163"/>
      <c r="T43" s="163"/>
      <c r="U43" s="163"/>
      <c r="V43" s="163"/>
      <c r="W43" s="163"/>
      <c r="X43" s="163"/>
      <c r="Y43" s="163"/>
      <c r="Z43" s="163"/>
    </row>
    <row r="44" spans="1:26" s="167" customFormat="1" ht="17.100000000000001" customHeight="1" thickBot="1">
      <c r="A44" s="606"/>
      <c r="B44" s="607"/>
      <c r="C44" s="607"/>
      <c r="D44" s="607"/>
      <c r="E44" s="608"/>
      <c r="F44" s="288"/>
      <c r="G44" s="307" t="s">
        <v>551</v>
      </c>
      <c r="H44" s="291"/>
      <c r="I44" s="291"/>
      <c r="J44" s="291"/>
      <c r="K44" s="292"/>
      <c r="L44" s="163"/>
      <c r="M44" s="163"/>
      <c r="N44" s="163"/>
      <c r="O44" s="163"/>
      <c r="P44" s="163"/>
      <c r="Q44" s="163"/>
      <c r="R44" s="163"/>
      <c r="S44" s="163"/>
      <c r="T44" s="163"/>
      <c r="U44" s="163"/>
      <c r="V44" s="163"/>
      <c r="W44" s="163"/>
      <c r="X44" s="163"/>
      <c r="Y44" s="163"/>
      <c r="Z44" s="163"/>
    </row>
    <row r="45" spans="1:26" s="167" customFormat="1" ht="17.100000000000001" customHeight="1">
      <c r="A45" s="294" t="s">
        <v>329</v>
      </c>
      <c r="B45" s="550" t="s">
        <v>544</v>
      </c>
      <c r="C45" s="551"/>
      <c r="D45" s="295" t="s">
        <v>330</v>
      </c>
      <c r="E45" s="296" t="s">
        <v>342</v>
      </c>
      <c r="F45" s="297"/>
      <c r="G45" s="291" t="s">
        <v>543</v>
      </c>
      <c r="H45" s="291"/>
      <c r="I45" s="291"/>
      <c r="J45" s="291"/>
      <c r="K45" s="292"/>
      <c r="L45" s="163"/>
      <c r="M45" s="163"/>
      <c r="N45" s="163"/>
      <c r="O45" s="163"/>
      <c r="P45" s="163"/>
      <c r="Q45" s="163"/>
      <c r="R45" s="163"/>
      <c r="S45" s="163"/>
      <c r="T45" s="163"/>
      <c r="U45" s="163"/>
      <c r="V45" s="163"/>
      <c r="W45" s="163"/>
      <c r="X45" s="163"/>
      <c r="Y45" s="163"/>
      <c r="Z45" s="163"/>
    </row>
    <row r="46" spans="1:26" s="167" customFormat="1" ht="17.100000000000001" customHeight="1" thickBot="1">
      <c r="A46" s="298" t="s">
        <v>331</v>
      </c>
      <c r="B46" s="535">
        <v>41807</v>
      </c>
      <c r="C46" s="536"/>
      <c r="D46" s="299" t="s">
        <v>331</v>
      </c>
      <c r="E46" s="300">
        <v>41800</v>
      </c>
      <c r="F46" s="301"/>
      <c r="G46" s="302"/>
      <c r="H46" s="302"/>
      <c r="I46" s="302"/>
      <c r="J46" s="302"/>
      <c r="K46" s="303"/>
      <c r="L46" s="163"/>
      <c r="M46" s="163"/>
      <c r="N46" s="163"/>
      <c r="O46" s="163"/>
      <c r="P46" s="163"/>
      <c r="Q46" s="163"/>
      <c r="R46" s="163"/>
      <c r="S46" s="163"/>
      <c r="T46" s="163"/>
      <c r="U46" s="163"/>
      <c r="V46" s="163"/>
      <c r="W46" s="163"/>
      <c r="X46" s="163"/>
      <c r="Y46" s="163"/>
      <c r="Z46" s="163"/>
    </row>
    <row r="47" spans="1:26" s="167" customFormat="1" ht="17.100000000000001" customHeight="1">
      <c r="F47" s="304"/>
      <c r="G47" s="163"/>
      <c r="H47" s="163"/>
      <c r="I47" s="163"/>
      <c r="J47" s="163"/>
      <c r="K47" s="163"/>
      <c r="L47" s="163"/>
      <c r="M47" s="163"/>
      <c r="N47" s="163"/>
      <c r="O47" s="163"/>
      <c r="P47" s="163"/>
      <c r="Q47" s="163"/>
      <c r="R47" s="163"/>
      <c r="S47" s="163"/>
      <c r="T47" s="163"/>
      <c r="U47" s="163"/>
    </row>
    <row r="48" spans="1:26" s="167" customFormat="1" ht="17.100000000000001" customHeight="1">
      <c r="F48" s="163"/>
      <c r="G48" s="163"/>
      <c r="H48" s="163"/>
      <c r="I48" s="163"/>
      <c r="J48" s="163"/>
      <c r="K48" s="163"/>
    </row>
    <row r="49" spans="2:26" ht="17.100000000000001" customHeight="1">
      <c r="F49" s="153"/>
      <c r="G49" s="153"/>
      <c r="H49" s="153"/>
      <c r="I49" s="153"/>
      <c r="J49" s="153"/>
      <c r="K49" s="153"/>
      <c r="L49" s="154"/>
      <c r="M49" s="154"/>
      <c r="N49" s="154"/>
      <c r="O49" s="154"/>
      <c r="P49" s="154"/>
      <c r="Q49" s="154"/>
      <c r="R49" s="154"/>
      <c r="S49" s="154"/>
      <c r="T49" s="154"/>
      <c r="U49" s="154"/>
      <c r="V49" s="154"/>
      <c r="W49" s="154"/>
      <c r="X49" s="154"/>
      <c r="Y49" s="154"/>
      <c r="Z49" s="154"/>
    </row>
    <row r="50" spans="2:26">
      <c r="D50" s="305"/>
      <c r="F50" s="305"/>
      <c r="H50" s="305"/>
      <c r="I50" s="153"/>
      <c r="J50" s="153"/>
      <c r="K50" s="153"/>
      <c r="L50" s="154"/>
      <c r="M50" s="154"/>
      <c r="N50" s="154"/>
      <c r="O50" s="154"/>
      <c r="P50" s="154"/>
      <c r="Q50" s="154"/>
      <c r="R50" s="154"/>
      <c r="S50" s="154"/>
      <c r="T50" s="154"/>
      <c r="U50" s="154"/>
      <c r="V50" s="154"/>
      <c r="W50" s="154"/>
      <c r="X50" s="154"/>
      <c r="Y50" s="154"/>
      <c r="Z50" s="154"/>
    </row>
    <row r="51" spans="2:26">
      <c r="D51" s="305"/>
      <c r="F51" s="305"/>
      <c r="H51" s="305"/>
      <c r="I51" s="153"/>
      <c r="J51" s="153"/>
      <c r="K51" s="153"/>
      <c r="L51" s="154"/>
      <c r="M51" s="154"/>
      <c r="N51" s="154"/>
      <c r="O51" s="154"/>
      <c r="P51" s="154"/>
      <c r="Q51" s="154"/>
      <c r="R51" s="154"/>
      <c r="S51" s="154"/>
      <c r="T51" s="154"/>
      <c r="U51" s="154"/>
      <c r="V51" s="154"/>
      <c r="W51" s="154"/>
      <c r="X51" s="154"/>
      <c r="Y51" s="154"/>
      <c r="Z51" s="154"/>
    </row>
    <row r="52" spans="2:26">
      <c r="B52" s="153"/>
      <c r="C52" s="153"/>
      <c r="D52" s="305"/>
      <c r="F52" s="305"/>
      <c r="H52" s="305"/>
      <c r="I52" s="153"/>
      <c r="J52" s="153"/>
      <c r="K52" s="153"/>
      <c r="Q52" s="154"/>
      <c r="R52" s="154"/>
      <c r="S52" s="154"/>
      <c r="T52" s="154"/>
      <c r="U52" s="154"/>
      <c r="V52" s="154"/>
      <c r="W52" s="154"/>
      <c r="X52" s="154"/>
      <c r="Y52" s="154"/>
      <c r="Z52" s="154"/>
    </row>
    <row r="53" spans="2:26">
      <c r="D53" s="305"/>
      <c r="F53" s="305"/>
      <c r="H53" s="305"/>
      <c r="I53" s="153"/>
      <c r="J53" s="153"/>
      <c r="K53" s="153"/>
      <c r="Q53" s="154"/>
      <c r="R53" s="154"/>
      <c r="S53" s="154"/>
      <c r="T53" s="154"/>
      <c r="U53" s="154"/>
      <c r="V53" s="154"/>
      <c r="W53" s="154"/>
      <c r="X53" s="154"/>
      <c r="Y53" s="154"/>
      <c r="Z53" s="154"/>
    </row>
    <row r="54" spans="2:26">
      <c r="D54" s="305"/>
      <c r="F54" s="305"/>
      <c r="H54" s="305"/>
    </row>
    <row r="56" spans="2:26">
      <c r="D56" s="305"/>
    </row>
    <row r="57" spans="2:26">
      <c r="D57" s="305"/>
    </row>
    <row r="58" spans="2:26">
      <c r="D58" s="305"/>
    </row>
    <row r="59" spans="2:26">
      <c r="D59" s="305"/>
    </row>
    <row r="60" spans="2:26">
      <c r="D60" s="305"/>
    </row>
    <row r="61" spans="2:26">
      <c r="D61" s="305"/>
    </row>
  </sheetData>
  <mergeCells count="49">
    <mergeCell ref="A1:K1"/>
    <mergeCell ref="A2:K2"/>
    <mergeCell ref="J3:K3"/>
    <mergeCell ref="A5:C5"/>
    <mergeCell ref="A6:C6"/>
    <mergeCell ref="D6:E6"/>
    <mergeCell ref="F6:K6"/>
    <mergeCell ref="A7:C7"/>
    <mergeCell ref="D7:E7"/>
    <mergeCell ref="A8:C8"/>
    <mergeCell ref="D8:E8"/>
    <mergeCell ref="A9:C9"/>
    <mergeCell ref="D9:E9"/>
    <mergeCell ref="A10:C10"/>
    <mergeCell ref="D10:E10"/>
    <mergeCell ref="A11:C11"/>
    <mergeCell ref="D11:E11"/>
    <mergeCell ref="D12:E12"/>
    <mergeCell ref="F12:K12"/>
    <mergeCell ref="A13:C13"/>
    <mergeCell ref="D13:E13"/>
    <mergeCell ref="A14:C14"/>
    <mergeCell ref="D14:E14"/>
    <mergeCell ref="A15:C15"/>
    <mergeCell ref="D15:E15"/>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A27:E27"/>
    <mergeCell ref="F27:K27"/>
    <mergeCell ref="B46:C46"/>
    <mergeCell ref="A28:E32"/>
    <mergeCell ref="A33:E33"/>
    <mergeCell ref="A34:E38"/>
    <mergeCell ref="A39:E39"/>
    <mergeCell ref="A40:E44"/>
    <mergeCell ref="B45:C45"/>
  </mergeCells>
  <dataValidations count="4">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formula1>$Q$5:$Q$12</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formula1>$Q$22:$Q$24</formula1>
    </dataValidation>
    <dataValidation type="list" allowBlank="1" showInputMessage="1" sqref="WVL983046:WVM98304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formula1>$T$5:$T$11</formula1>
    </dataValidation>
    <dataValidation type="list" allowBlank="1" showInputMessage="1" sqref="D6:E6">
      <formula1>$T$5:$T$10</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workbookViewId="0"/>
  </sheetViews>
  <sheetFormatPr defaultColWidth="9.140625" defaultRowHeight="12.75"/>
  <cols>
    <col min="1" max="1" width="19.7109375" style="319" customWidth="1"/>
    <col min="2" max="7" width="10.7109375" style="319" customWidth="1"/>
    <col min="8" max="16384" width="9.140625" style="319"/>
  </cols>
  <sheetData>
    <row r="1" spans="1:12" ht="21" customHeight="1">
      <c r="A1" s="321" t="s">
        <v>380</v>
      </c>
      <c r="B1" s="618" t="s">
        <v>419</v>
      </c>
      <c r="C1" s="618"/>
      <c r="D1" s="618"/>
      <c r="E1" s="618"/>
      <c r="F1" s="618"/>
      <c r="G1" s="618"/>
    </row>
    <row r="2" spans="1:12" ht="15" customHeight="1"/>
    <row r="3" spans="1:12" ht="20.25">
      <c r="A3" s="322" t="s">
        <v>381</v>
      </c>
    </row>
    <row r="4" spans="1:12" ht="12" customHeight="1">
      <c r="A4" s="320"/>
      <c r="B4" s="320"/>
      <c r="C4" s="320"/>
      <c r="D4" s="320" t="s">
        <v>433</v>
      </c>
      <c r="E4" s="320"/>
      <c r="F4" s="320"/>
      <c r="G4" s="320"/>
      <c r="H4" s="320"/>
      <c r="I4" s="320"/>
      <c r="J4" s="320"/>
      <c r="K4" s="320"/>
      <c r="L4" s="320"/>
    </row>
    <row r="5" spans="1:12" ht="15.6" customHeight="1">
      <c r="A5" s="323" t="s">
        <v>5</v>
      </c>
      <c r="B5" s="323" t="s">
        <v>382</v>
      </c>
      <c r="C5" s="323" t="s">
        <v>383</v>
      </c>
      <c r="D5" s="323" t="s">
        <v>384</v>
      </c>
      <c r="E5" s="323" t="s">
        <v>385</v>
      </c>
      <c r="F5" s="323" t="s">
        <v>386</v>
      </c>
      <c r="G5" s="323" t="s">
        <v>387</v>
      </c>
      <c r="H5" s="320"/>
      <c r="I5" s="320"/>
      <c r="J5" s="320"/>
      <c r="K5" s="320"/>
      <c r="L5" s="320"/>
    </row>
    <row r="6" spans="1:12" ht="15.6" customHeight="1">
      <c r="A6" s="324" t="s">
        <v>388</v>
      </c>
      <c r="B6" s="324" t="s">
        <v>165</v>
      </c>
      <c r="C6" s="324" t="s">
        <v>165</v>
      </c>
      <c r="D6" s="324" t="s">
        <v>389</v>
      </c>
      <c r="E6" s="324" t="s">
        <v>135</v>
      </c>
      <c r="F6" s="324" t="s">
        <v>390</v>
      </c>
      <c r="G6" s="324" t="s">
        <v>390</v>
      </c>
      <c r="H6" s="320"/>
      <c r="I6" s="320"/>
      <c r="J6" s="320"/>
      <c r="K6" s="320"/>
      <c r="L6" s="320"/>
    </row>
    <row r="7" spans="1:12" ht="15.95" customHeight="1">
      <c r="A7" s="325" t="s">
        <v>420</v>
      </c>
      <c r="B7" s="325" t="s">
        <v>434</v>
      </c>
      <c r="C7" s="325" t="s">
        <v>443</v>
      </c>
      <c r="D7" s="325" t="s">
        <v>456</v>
      </c>
      <c r="E7" s="325" t="s">
        <v>469</v>
      </c>
      <c r="F7" s="325" t="s">
        <v>482</v>
      </c>
      <c r="G7" s="325" t="s">
        <v>495</v>
      </c>
      <c r="H7" s="320"/>
      <c r="I7" s="320"/>
      <c r="J7" s="320"/>
      <c r="K7" s="320"/>
      <c r="L7" s="320"/>
    </row>
    <row r="8" spans="1:12" ht="15.95" customHeight="1">
      <c r="A8" s="325" t="s">
        <v>421</v>
      </c>
      <c r="B8" s="325" t="s">
        <v>434</v>
      </c>
      <c r="C8" s="325" t="s">
        <v>444</v>
      </c>
      <c r="D8" s="325" t="s">
        <v>457</v>
      </c>
      <c r="E8" s="325" t="s">
        <v>470</v>
      </c>
      <c r="F8" s="325" t="s">
        <v>483</v>
      </c>
      <c r="G8" s="325" t="s">
        <v>496</v>
      </c>
      <c r="H8" s="320"/>
      <c r="I8" s="320"/>
      <c r="J8" s="320"/>
      <c r="K8" s="320"/>
      <c r="L8" s="320"/>
    </row>
    <row r="9" spans="1:12" ht="15.95" customHeight="1">
      <c r="A9" s="325" t="s">
        <v>422</v>
      </c>
      <c r="B9" s="325" t="s">
        <v>434</v>
      </c>
      <c r="C9" s="325" t="s">
        <v>445</v>
      </c>
      <c r="D9" s="325" t="s">
        <v>458</v>
      </c>
      <c r="E9" s="325" t="s">
        <v>471</v>
      </c>
      <c r="F9" s="325" t="s">
        <v>484</v>
      </c>
      <c r="G9" s="325" t="s">
        <v>497</v>
      </c>
      <c r="H9" s="320"/>
      <c r="I9" s="320"/>
      <c r="J9" s="320"/>
      <c r="K9" s="320"/>
      <c r="L9" s="320"/>
    </row>
    <row r="10" spans="1:12" ht="15.95" customHeight="1">
      <c r="A10" s="325" t="s">
        <v>423</v>
      </c>
      <c r="B10" s="325" t="s">
        <v>435</v>
      </c>
      <c r="C10" s="325" t="s">
        <v>446</v>
      </c>
      <c r="D10" s="325" t="s">
        <v>459</v>
      </c>
      <c r="E10" s="325" t="s">
        <v>472</v>
      </c>
      <c r="F10" s="325" t="s">
        <v>485</v>
      </c>
      <c r="G10" s="325" t="s">
        <v>498</v>
      </c>
      <c r="H10" s="320"/>
      <c r="I10" s="320"/>
      <c r="J10" s="320"/>
      <c r="K10" s="320"/>
      <c r="L10" s="320"/>
    </row>
    <row r="11" spans="1:12" ht="15.95" customHeight="1">
      <c r="A11" s="325" t="s">
        <v>424</v>
      </c>
      <c r="B11" s="325" t="s">
        <v>435</v>
      </c>
      <c r="C11" s="325" t="s">
        <v>447</v>
      </c>
      <c r="D11" s="325" t="s">
        <v>460</v>
      </c>
      <c r="E11" s="325" t="s">
        <v>473</v>
      </c>
      <c r="F11" s="325" t="s">
        <v>486</v>
      </c>
      <c r="G11" s="325" t="s">
        <v>499</v>
      </c>
      <c r="H11" s="320"/>
      <c r="I11" s="320"/>
      <c r="J11" s="320"/>
      <c r="K11" s="320"/>
      <c r="L11" s="320"/>
    </row>
    <row r="12" spans="1:12" ht="15.95" customHeight="1">
      <c r="A12" s="325" t="s">
        <v>425</v>
      </c>
      <c r="B12" s="325" t="s">
        <v>435</v>
      </c>
      <c r="C12" s="325" t="s">
        <v>448</v>
      </c>
      <c r="D12" s="325" t="s">
        <v>461</v>
      </c>
      <c r="E12" s="325" t="s">
        <v>474</v>
      </c>
      <c r="F12" s="325" t="s">
        <v>487</v>
      </c>
      <c r="G12" s="325" t="s">
        <v>500</v>
      </c>
      <c r="H12" s="320"/>
      <c r="I12" s="320"/>
      <c r="J12" s="320"/>
      <c r="K12" s="320"/>
      <c r="L12" s="320"/>
    </row>
    <row r="13" spans="1:12" ht="15.95" customHeight="1">
      <c r="A13" s="325" t="s">
        <v>426</v>
      </c>
      <c r="B13" s="325" t="s">
        <v>436</v>
      </c>
      <c r="C13" s="325" t="s">
        <v>449</v>
      </c>
      <c r="D13" s="325" t="s">
        <v>462</v>
      </c>
      <c r="E13" s="325" t="s">
        <v>475</v>
      </c>
      <c r="F13" s="325" t="s">
        <v>488</v>
      </c>
      <c r="G13" s="325" t="s">
        <v>501</v>
      </c>
      <c r="H13" s="320"/>
      <c r="I13" s="320"/>
      <c r="J13" s="320"/>
      <c r="K13" s="320"/>
      <c r="L13" s="320"/>
    </row>
    <row r="14" spans="1:12" ht="15.95" customHeight="1">
      <c r="A14" s="325" t="s">
        <v>427</v>
      </c>
      <c r="B14" s="325" t="s">
        <v>437</v>
      </c>
      <c r="C14" s="325" t="s">
        <v>450</v>
      </c>
      <c r="D14" s="325" t="s">
        <v>463</v>
      </c>
      <c r="E14" s="325" t="s">
        <v>476</v>
      </c>
      <c r="F14" s="325" t="s">
        <v>489</v>
      </c>
      <c r="G14" s="325" t="s">
        <v>502</v>
      </c>
      <c r="H14" s="320"/>
      <c r="I14" s="320"/>
      <c r="J14" s="320"/>
      <c r="K14" s="320"/>
      <c r="L14" s="320"/>
    </row>
    <row r="15" spans="1:12" ht="15.95" customHeight="1">
      <c r="A15" s="325" t="s">
        <v>428</v>
      </c>
      <c r="B15" s="325" t="s">
        <v>438</v>
      </c>
      <c r="C15" s="325" t="s">
        <v>451</v>
      </c>
      <c r="D15" s="325" t="s">
        <v>464</v>
      </c>
      <c r="E15" s="325" t="s">
        <v>477</v>
      </c>
      <c r="F15" s="325" t="s">
        <v>490</v>
      </c>
      <c r="G15" s="325" t="s">
        <v>503</v>
      </c>
      <c r="H15" s="320"/>
      <c r="I15" s="320"/>
      <c r="J15" s="320"/>
      <c r="K15" s="320"/>
      <c r="L15" s="320"/>
    </row>
    <row r="16" spans="1:12" ht="15.95" customHeight="1">
      <c r="A16" s="325" t="s">
        <v>429</v>
      </c>
      <c r="B16" s="325" t="s">
        <v>439</v>
      </c>
      <c r="C16" s="325" t="s">
        <v>452</v>
      </c>
      <c r="D16" s="325" t="s">
        <v>465</v>
      </c>
      <c r="E16" s="325" t="s">
        <v>478</v>
      </c>
      <c r="F16" s="325" t="s">
        <v>491</v>
      </c>
      <c r="G16" s="325" t="s">
        <v>504</v>
      </c>
      <c r="H16" s="320"/>
      <c r="I16" s="320"/>
      <c r="J16" s="320"/>
      <c r="K16" s="320"/>
      <c r="L16" s="320"/>
    </row>
    <row r="17" spans="1:12" ht="15.95" customHeight="1">
      <c r="A17" s="325" t="s">
        <v>430</v>
      </c>
      <c r="B17" s="325" t="s">
        <v>440</v>
      </c>
      <c r="C17" s="325" t="s">
        <v>453</v>
      </c>
      <c r="D17" s="325" t="s">
        <v>466</v>
      </c>
      <c r="E17" s="325" t="s">
        <v>479</v>
      </c>
      <c r="F17" s="325" t="s">
        <v>492</v>
      </c>
      <c r="G17" s="325" t="s">
        <v>505</v>
      </c>
      <c r="H17" s="320"/>
      <c r="I17" s="320"/>
      <c r="J17" s="320"/>
      <c r="K17" s="320"/>
      <c r="L17" s="320"/>
    </row>
    <row r="18" spans="1:12" ht="15.95" customHeight="1">
      <c r="A18" s="325" t="s">
        <v>431</v>
      </c>
      <c r="B18" s="325" t="s">
        <v>441</v>
      </c>
      <c r="C18" s="325" t="s">
        <v>454</v>
      </c>
      <c r="D18" s="325" t="s">
        <v>467</v>
      </c>
      <c r="E18" s="325" t="s">
        <v>480</v>
      </c>
      <c r="F18" s="325" t="s">
        <v>493</v>
      </c>
      <c r="G18" s="325" t="s">
        <v>506</v>
      </c>
      <c r="H18" s="320"/>
      <c r="I18" s="320"/>
      <c r="J18" s="320"/>
      <c r="K18" s="320"/>
      <c r="L18" s="320"/>
    </row>
    <row r="19" spans="1:12" ht="15.95" customHeight="1">
      <c r="A19" s="325" t="s">
        <v>432</v>
      </c>
      <c r="B19" s="325" t="s">
        <v>442</v>
      </c>
      <c r="C19" s="325" t="s">
        <v>455</v>
      </c>
      <c r="D19" s="325" t="s">
        <v>468</v>
      </c>
      <c r="E19" s="325" t="s">
        <v>481</v>
      </c>
      <c r="F19" s="325" t="s">
        <v>494</v>
      </c>
      <c r="G19" s="325" t="s">
        <v>507</v>
      </c>
      <c r="H19" s="320"/>
      <c r="I19" s="320"/>
      <c r="J19" s="320"/>
      <c r="K19" s="320"/>
      <c r="L19" s="320"/>
    </row>
    <row r="20" spans="1:12" ht="15.75">
      <c r="A20" s="320"/>
      <c r="B20" s="320"/>
      <c r="C20" s="320"/>
      <c r="D20" s="320"/>
      <c r="E20" s="320"/>
      <c r="F20" s="320"/>
      <c r="G20" s="320"/>
      <c r="H20" s="320"/>
      <c r="I20" s="320"/>
      <c r="J20" s="320"/>
      <c r="K20" s="320"/>
      <c r="L20" s="320"/>
    </row>
    <row r="21" spans="1:12" ht="15.75">
      <c r="A21" s="320"/>
      <c r="B21" s="320"/>
      <c r="C21" s="320"/>
      <c r="D21" s="619" t="s">
        <v>517</v>
      </c>
      <c r="E21" s="615"/>
      <c r="F21" s="615"/>
      <c r="G21" s="616"/>
      <c r="H21" s="320"/>
      <c r="I21" s="320"/>
      <c r="J21" s="320"/>
      <c r="K21" s="320"/>
      <c r="L21" s="320"/>
    </row>
    <row r="22" spans="1:12" ht="17.25" customHeight="1">
      <c r="A22" s="320"/>
      <c r="B22" s="617" t="s">
        <v>391</v>
      </c>
      <c r="C22" s="617"/>
      <c r="D22" s="617" t="s">
        <v>392</v>
      </c>
      <c r="E22" s="617"/>
      <c r="F22" s="617" t="s">
        <v>393</v>
      </c>
      <c r="G22" s="617"/>
      <c r="H22" s="320"/>
      <c r="I22" s="320"/>
      <c r="J22" s="320"/>
      <c r="K22" s="320"/>
      <c r="L22" s="320"/>
    </row>
    <row r="23" spans="1:12" ht="15.75">
      <c r="A23" s="326" t="s">
        <v>394</v>
      </c>
      <c r="B23" s="613" t="s">
        <v>508</v>
      </c>
      <c r="C23" s="613"/>
      <c r="D23" s="613" t="s">
        <v>511</v>
      </c>
      <c r="E23" s="613"/>
      <c r="F23" s="613" t="s">
        <v>514</v>
      </c>
      <c r="G23" s="613"/>
      <c r="H23" s="320"/>
      <c r="I23" s="320"/>
      <c r="J23" s="320"/>
      <c r="K23" s="320"/>
      <c r="L23" s="320"/>
    </row>
    <row r="24" spans="1:12" ht="18" customHeight="1">
      <c r="A24" s="326" t="s">
        <v>395</v>
      </c>
      <c r="B24" s="613" t="s">
        <v>509</v>
      </c>
      <c r="C24" s="613"/>
      <c r="D24" s="613" t="s">
        <v>512</v>
      </c>
      <c r="E24" s="613"/>
      <c r="F24" s="613" t="s">
        <v>515</v>
      </c>
      <c r="G24" s="613"/>
      <c r="H24" s="320"/>
      <c r="I24" s="320"/>
      <c r="J24" s="320"/>
      <c r="K24" s="320"/>
      <c r="L24" s="320"/>
    </row>
    <row r="25" spans="1:12" ht="15.75">
      <c r="A25" s="326" t="s">
        <v>396</v>
      </c>
      <c r="B25" s="613" t="s">
        <v>510</v>
      </c>
      <c r="C25" s="613"/>
      <c r="D25" s="613" t="s">
        <v>513</v>
      </c>
      <c r="E25" s="613"/>
      <c r="F25" s="613" t="s">
        <v>516</v>
      </c>
      <c r="G25" s="613"/>
      <c r="H25" s="320"/>
      <c r="I25" s="320"/>
      <c r="J25" s="320"/>
      <c r="K25" s="320"/>
      <c r="L25" s="320"/>
    </row>
    <row r="26" spans="1:12" ht="15.75">
      <c r="A26" s="320"/>
      <c r="B26" s="320"/>
      <c r="C26" s="320"/>
      <c r="D26" s="320"/>
      <c r="E26" s="320"/>
      <c r="F26" s="320"/>
      <c r="G26" s="320"/>
      <c r="H26" s="320"/>
      <c r="I26" s="320"/>
      <c r="J26" s="320"/>
      <c r="K26" s="320"/>
      <c r="L26" s="320"/>
    </row>
    <row r="27" spans="1:12" ht="20.25">
      <c r="A27" s="322" t="s">
        <v>397</v>
      </c>
      <c r="B27" s="320"/>
      <c r="C27" s="320"/>
      <c r="D27" s="320"/>
      <c r="E27" s="320"/>
      <c r="F27" s="320"/>
      <c r="G27" s="320"/>
      <c r="H27" s="320"/>
      <c r="I27" s="320"/>
      <c r="J27" s="320"/>
      <c r="K27" s="320"/>
      <c r="L27" s="320"/>
    </row>
    <row r="28" spans="1:12" ht="15.75">
      <c r="A28" s="320"/>
      <c r="B28" s="320"/>
      <c r="C28" s="320"/>
      <c r="D28" s="320"/>
      <c r="E28" s="614" t="s">
        <v>398</v>
      </c>
      <c r="F28" s="615"/>
      <c r="G28" s="616"/>
      <c r="H28" s="320"/>
      <c r="I28" s="320"/>
      <c r="J28" s="320"/>
      <c r="K28" s="320"/>
      <c r="L28" s="320"/>
    </row>
    <row r="29" spans="1:12" ht="15.75">
      <c r="A29" s="320"/>
      <c r="B29" s="617" t="s">
        <v>399</v>
      </c>
      <c r="C29" s="617"/>
      <c r="D29" s="327" t="s">
        <v>400</v>
      </c>
      <c r="E29" s="327" t="s">
        <v>401</v>
      </c>
      <c r="F29" s="617" t="s">
        <v>402</v>
      </c>
      <c r="G29" s="617"/>
      <c r="H29" s="320"/>
      <c r="I29" s="320"/>
      <c r="J29" s="320"/>
      <c r="K29" s="320"/>
      <c r="L29" s="320"/>
    </row>
    <row r="30" spans="1:12" ht="15.75">
      <c r="A30" s="326" t="s">
        <v>403</v>
      </c>
      <c r="B30" s="613" t="s">
        <v>518</v>
      </c>
      <c r="C30" s="613"/>
      <c r="D30" s="325" t="s">
        <v>521</v>
      </c>
      <c r="E30" s="325" t="s">
        <v>404</v>
      </c>
      <c r="F30" s="613" t="s">
        <v>524</v>
      </c>
      <c r="G30" s="613"/>
      <c r="H30" s="320"/>
      <c r="I30" s="320"/>
      <c r="J30" s="320"/>
      <c r="K30" s="320"/>
      <c r="L30" s="320"/>
    </row>
    <row r="31" spans="1:12" ht="15.75">
      <c r="A31" s="326" t="s">
        <v>405</v>
      </c>
      <c r="B31" s="613" t="s">
        <v>519</v>
      </c>
      <c r="C31" s="613"/>
      <c r="D31" s="325" t="s">
        <v>522</v>
      </c>
      <c r="E31" s="325" t="s">
        <v>406</v>
      </c>
      <c r="F31" s="613" t="s">
        <v>525</v>
      </c>
      <c r="G31" s="613"/>
      <c r="H31" s="320"/>
      <c r="I31" s="320"/>
      <c r="J31" s="320"/>
      <c r="K31" s="320"/>
      <c r="L31" s="320"/>
    </row>
    <row r="32" spans="1:12" ht="15.75">
      <c r="A32" s="326" t="s">
        <v>407</v>
      </c>
      <c r="B32" s="613" t="s">
        <v>520</v>
      </c>
      <c r="C32" s="613"/>
      <c r="D32" s="325" t="s">
        <v>523</v>
      </c>
      <c r="E32" s="325" t="s">
        <v>408</v>
      </c>
      <c r="F32" s="613" t="s">
        <v>526</v>
      </c>
      <c r="G32" s="613"/>
      <c r="H32" s="320"/>
      <c r="I32" s="320"/>
      <c r="J32" s="320"/>
      <c r="K32" s="320"/>
      <c r="L32" s="320"/>
    </row>
    <row r="33" spans="1:12" ht="15.75">
      <c r="A33" s="320"/>
      <c r="B33" s="320"/>
      <c r="C33" s="320"/>
      <c r="D33" s="320"/>
      <c r="E33" s="320"/>
      <c r="F33" s="320"/>
      <c r="G33" s="320"/>
      <c r="H33" s="320"/>
      <c r="I33" s="320"/>
      <c r="J33" s="320"/>
      <c r="K33" s="320"/>
      <c r="L33" s="320"/>
    </row>
    <row r="34" spans="1:12" ht="15.75">
      <c r="A34" s="320"/>
      <c r="B34" s="320"/>
      <c r="C34" s="320"/>
      <c r="D34" s="320"/>
      <c r="E34" s="614" t="s">
        <v>409</v>
      </c>
      <c r="F34" s="615"/>
      <c r="G34" s="616"/>
      <c r="H34" s="320"/>
      <c r="I34" s="320"/>
      <c r="J34" s="320"/>
      <c r="K34" s="320"/>
      <c r="L34" s="320"/>
    </row>
    <row r="35" spans="1:12" ht="15.75">
      <c r="A35" s="320"/>
      <c r="B35" s="617" t="s">
        <v>410</v>
      </c>
      <c r="C35" s="617"/>
      <c r="D35" s="327" t="s">
        <v>401</v>
      </c>
      <c r="E35" s="327" t="s">
        <v>411</v>
      </c>
      <c r="F35" s="327" t="s">
        <v>100</v>
      </c>
      <c r="G35" s="327" t="s">
        <v>412</v>
      </c>
      <c r="H35" s="320"/>
      <c r="I35" s="320"/>
      <c r="J35" s="320"/>
      <c r="K35" s="320"/>
      <c r="L35" s="320"/>
    </row>
    <row r="36" spans="1:12" ht="15.75">
      <c r="A36" s="326" t="s">
        <v>403</v>
      </c>
      <c r="B36" s="609" t="s">
        <v>527</v>
      </c>
      <c r="C36" s="610"/>
      <c r="D36" s="328" t="s">
        <v>529</v>
      </c>
      <c r="E36" s="328" t="s">
        <v>413</v>
      </c>
      <c r="F36" s="329" t="s">
        <v>414</v>
      </c>
      <c r="G36" s="325" t="s">
        <v>532</v>
      </c>
      <c r="H36" s="320"/>
      <c r="I36" s="320"/>
      <c r="J36" s="320"/>
      <c r="K36" s="320"/>
      <c r="L36" s="320"/>
    </row>
    <row r="37" spans="1:12" ht="15.75">
      <c r="A37" s="326" t="s">
        <v>405</v>
      </c>
      <c r="B37" s="609" t="s">
        <v>528</v>
      </c>
      <c r="C37" s="610"/>
      <c r="D37" s="328" t="s">
        <v>530</v>
      </c>
      <c r="E37" s="328" t="s">
        <v>413</v>
      </c>
      <c r="F37" s="329" t="s">
        <v>415</v>
      </c>
      <c r="G37" s="330" t="s">
        <v>533</v>
      </c>
      <c r="H37" s="320"/>
      <c r="I37" s="320"/>
      <c r="J37" s="320"/>
      <c r="K37" s="320"/>
      <c r="L37" s="320"/>
    </row>
    <row r="38" spans="1:12" ht="15.75">
      <c r="A38" s="326" t="s">
        <v>407</v>
      </c>
      <c r="B38" s="609" t="s">
        <v>528</v>
      </c>
      <c r="C38" s="610"/>
      <c r="D38" s="328" t="s">
        <v>531</v>
      </c>
      <c r="E38" s="328" t="s">
        <v>413</v>
      </c>
      <c r="F38" s="329" t="s">
        <v>416</v>
      </c>
      <c r="G38" s="325" t="s">
        <v>534</v>
      </c>
      <c r="H38" s="320"/>
      <c r="I38" s="320"/>
      <c r="J38" s="320"/>
      <c r="K38" s="320"/>
      <c r="L38" s="320"/>
    </row>
    <row r="39" spans="1:12" ht="15.75">
      <c r="A39" s="320"/>
      <c r="B39" s="320"/>
      <c r="C39" s="320"/>
      <c r="D39" s="320"/>
      <c r="E39" s="320"/>
      <c r="F39" s="320"/>
      <c r="G39" s="320"/>
      <c r="H39" s="320"/>
      <c r="I39" s="320"/>
      <c r="J39" s="320"/>
      <c r="K39" s="320"/>
      <c r="L39" s="320"/>
    </row>
    <row r="40" spans="1:12" ht="15.75">
      <c r="A40" s="331" t="s">
        <v>417</v>
      </c>
      <c r="B40" s="611" t="s">
        <v>535</v>
      </c>
      <c r="C40" s="611"/>
      <c r="D40" s="612" t="s">
        <v>418</v>
      </c>
      <c r="E40" s="612"/>
      <c r="F40" s="611" t="s">
        <v>536</v>
      </c>
      <c r="G40" s="611"/>
      <c r="H40" s="320"/>
      <c r="I40" s="320"/>
      <c r="J40" s="320"/>
      <c r="K40" s="320"/>
      <c r="L40" s="320"/>
    </row>
    <row r="41" spans="1:12" ht="15.75">
      <c r="A41" s="320"/>
      <c r="B41" s="320"/>
      <c r="C41" s="320"/>
      <c r="D41" s="320"/>
      <c r="E41" s="320"/>
      <c r="F41" s="320"/>
      <c r="G41" s="320"/>
      <c r="H41" s="320"/>
      <c r="I41" s="320"/>
      <c r="J41" s="320"/>
      <c r="K41" s="320"/>
      <c r="L41" s="320"/>
    </row>
    <row r="42" spans="1:12" ht="15.75">
      <c r="A42" s="320"/>
      <c r="B42" s="320"/>
      <c r="C42" s="320"/>
      <c r="D42" s="320"/>
      <c r="E42" s="320"/>
      <c r="F42" s="320"/>
      <c r="G42" s="320"/>
      <c r="H42" s="320"/>
      <c r="I42" s="320"/>
      <c r="J42" s="320"/>
      <c r="K42" s="320"/>
      <c r="L42" s="320"/>
    </row>
    <row r="43" spans="1:12" ht="15.75">
      <c r="A43" s="320"/>
      <c r="B43" s="320"/>
      <c r="C43" s="320"/>
      <c r="D43" s="320"/>
      <c r="E43" s="320"/>
      <c r="F43" s="320"/>
      <c r="G43" s="320"/>
      <c r="H43" s="320"/>
      <c r="I43" s="320"/>
      <c r="J43" s="320"/>
      <c r="K43" s="320"/>
      <c r="L43" s="320"/>
    </row>
    <row r="44" spans="1:12" ht="15.75">
      <c r="A44" s="320"/>
      <c r="B44" s="320"/>
      <c r="C44" s="320"/>
      <c r="D44" s="320"/>
      <c r="E44" s="320"/>
      <c r="F44" s="320"/>
      <c r="G44" s="320"/>
      <c r="H44" s="320"/>
      <c r="I44" s="320"/>
      <c r="J44" s="320"/>
      <c r="K44" s="320"/>
      <c r="L44" s="320"/>
    </row>
    <row r="45" spans="1:12" ht="15.75">
      <c r="A45" s="320"/>
      <c r="B45" s="320"/>
      <c r="C45" s="320"/>
      <c r="D45" s="320"/>
      <c r="E45" s="320"/>
      <c r="F45" s="320"/>
      <c r="G45" s="320"/>
      <c r="H45" s="320"/>
      <c r="I45" s="320"/>
      <c r="J45" s="320"/>
      <c r="K45" s="320"/>
      <c r="L45" s="320"/>
    </row>
    <row r="46" spans="1:12" ht="15.75">
      <c r="A46" s="320"/>
      <c r="B46" s="320"/>
      <c r="C46" s="320"/>
      <c r="D46" s="320"/>
      <c r="E46" s="320"/>
      <c r="F46" s="320"/>
      <c r="G46" s="320"/>
      <c r="H46" s="320"/>
      <c r="I46" s="320"/>
      <c r="J46" s="320"/>
      <c r="K46" s="320"/>
      <c r="L46" s="320"/>
    </row>
    <row r="47" spans="1:12" ht="15.75">
      <c r="A47" s="320"/>
      <c r="B47" s="320"/>
      <c r="C47" s="320"/>
      <c r="D47" s="320"/>
      <c r="E47" s="320"/>
      <c r="F47" s="320"/>
      <c r="G47" s="320"/>
      <c r="H47" s="320"/>
      <c r="I47" s="320"/>
      <c r="J47" s="320"/>
      <c r="K47" s="320"/>
      <c r="L47" s="320"/>
    </row>
    <row r="48" spans="1:12" ht="15.75">
      <c r="A48" s="320"/>
      <c r="B48" s="320"/>
      <c r="C48" s="320"/>
      <c r="D48" s="320"/>
      <c r="E48" s="320"/>
      <c r="F48" s="320"/>
      <c r="G48" s="320"/>
      <c r="H48" s="320"/>
      <c r="I48" s="320"/>
      <c r="J48" s="320"/>
      <c r="K48" s="320"/>
      <c r="L48" s="320"/>
    </row>
    <row r="49" spans="1:12" ht="15.75">
      <c r="A49" s="320"/>
      <c r="B49" s="320"/>
      <c r="C49" s="320"/>
      <c r="D49" s="320"/>
      <c r="E49" s="320"/>
      <c r="F49" s="320"/>
      <c r="G49" s="320"/>
      <c r="H49" s="320"/>
      <c r="I49" s="320"/>
      <c r="J49" s="320"/>
      <c r="K49" s="320"/>
      <c r="L49" s="320"/>
    </row>
    <row r="50" spans="1:12" ht="15.75">
      <c r="A50" s="320"/>
      <c r="B50" s="320"/>
      <c r="C50" s="320"/>
      <c r="D50" s="320"/>
      <c r="E50" s="320"/>
      <c r="F50" s="320"/>
      <c r="G50" s="320"/>
      <c r="H50" s="320"/>
      <c r="I50" s="320"/>
      <c r="J50" s="320"/>
      <c r="K50" s="320"/>
      <c r="L50" s="320"/>
    </row>
    <row r="51" spans="1:12" ht="15.75">
      <c r="A51" s="320"/>
      <c r="B51" s="320"/>
      <c r="C51" s="320"/>
      <c r="D51" s="320"/>
      <c r="E51" s="320"/>
      <c r="F51" s="320"/>
      <c r="G51" s="320"/>
      <c r="H51" s="320"/>
      <c r="I51" s="320"/>
      <c r="J51" s="320"/>
      <c r="K51" s="320"/>
      <c r="L51" s="320"/>
    </row>
    <row r="52" spans="1:12" ht="15.75">
      <c r="A52" s="320"/>
      <c r="B52" s="320"/>
      <c r="C52" s="320"/>
      <c r="D52" s="320"/>
      <c r="E52" s="320"/>
      <c r="F52" s="320"/>
      <c r="G52" s="320"/>
      <c r="H52" s="320"/>
      <c r="I52" s="320"/>
      <c r="J52" s="320"/>
      <c r="K52" s="320"/>
      <c r="L52" s="320"/>
    </row>
    <row r="53" spans="1:12" ht="15.75">
      <c r="A53" s="320"/>
      <c r="B53" s="320"/>
      <c r="C53" s="320"/>
      <c r="D53" s="320"/>
      <c r="E53" s="320"/>
      <c r="F53" s="320"/>
      <c r="G53" s="320"/>
      <c r="H53" s="320"/>
      <c r="I53" s="320"/>
      <c r="J53" s="320"/>
      <c r="K53" s="320"/>
      <c r="L53" s="320"/>
    </row>
    <row r="54" spans="1:12" ht="15.75">
      <c r="A54" s="320"/>
      <c r="B54" s="320"/>
      <c r="C54" s="320"/>
      <c r="D54" s="320"/>
      <c r="E54" s="320"/>
      <c r="F54" s="320"/>
      <c r="G54" s="320"/>
      <c r="H54" s="320"/>
      <c r="I54" s="320"/>
      <c r="J54" s="320"/>
      <c r="K54" s="320"/>
      <c r="L54" s="320"/>
    </row>
    <row r="55" spans="1:12" ht="15.75">
      <c r="A55" s="320"/>
      <c r="B55" s="320"/>
      <c r="C55" s="320"/>
      <c r="D55" s="320"/>
      <c r="E55" s="320"/>
      <c r="F55" s="320"/>
      <c r="G55" s="320"/>
      <c r="H55" s="320"/>
      <c r="I55" s="320"/>
      <c r="J55" s="320"/>
      <c r="K55" s="320"/>
      <c r="L55" s="320"/>
    </row>
    <row r="56" spans="1:12" ht="15.75">
      <c r="A56" s="320"/>
      <c r="B56" s="320"/>
      <c r="C56" s="320"/>
      <c r="D56" s="320"/>
      <c r="E56" s="320"/>
      <c r="F56" s="320"/>
      <c r="G56" s="320"/>
      <c r="H56" s="320"/>
      <c r="I56" s="320"/>
      <c r="J56" s="320"/>
      <c r="K56" s="320"/>
      <c r="L56" s="320"/>
    </row>
    <row r="57" spans="1:12" ht="15.75">
      <c r="A57" s="320"/>
      <c r="B57" s="320"/>
      <c r="C57" s="320"/>
      <c r="D57" s="320"/>
      <c r="E57" s="320"/>
      <c r="F57" s="320"/>
      <c r="G57" s="320"/>
      <c r="H57" s="320"/>
      <c r="I57" s="320"/>
      <c r="J57" s="320"/>
      <c r="K57" s="320"/>
      <c r="L57" s="320"/>
    </row>
    <row r="58" spans="1:12" ht="15.75">
      <c r="A58" s="320"/>
      <c r="B58" s="320"/>
      <c r="C58" s="320"/>
      <c r="D58" s="320"/>
      <c r="E58" s="320"/>
      <c r="F58" s="320"/>
      <c r="G58" s="320"/>
      <c r="H58" s="320"/>
      <c r="I58" s="320"/>
      <c r="J58" s="320"/>
      <c r="K58" s="320"/>
      <c r="L58" s="320"/>
    </row>
    <row r="59" spans="1:12" ht="15.75">
      <c r="A59" s="320"/>
      <c r="B59" s="320"/>
      <c r="C59" s="320"/>
      <c r="D59" s="320"/>
      <c r="E59" s="320"/>
      <c r="F59" s="320"/>
      <c r="G59" s="320"/>
      <c r="H59" s="320"/>
      <c r="I59" s="320"/>
      <c r="J59" s="320"/>
      <c r="K59" s="320"/>
      <c r="L59" s="320"/>
    </row>
    <row r="60" spans="1:12" ht="15.75">
      <c r="A60" s="320"/>
      <c r="B60" s="320"/>
      <c r="C60" s="320"/>
      <c r="D60" s="320"/>
      <c r="E60" s="320"/>
      <c r="F60" s="320"/>
      <c r="G60" s="320"/>
      <c r="H60" s="320"/>
      <c r="I60" s="320"/>
      <c r="J60" s="320"/>
      <c r="K60" s="320"/>
      <c r="L60" s="320"/>
    </row>
    <row r="61" spans="1:12" ht="15.75">
      <c r="A61" s="320"/>
      <c r="B61" s="320"/>
      <c r="C61" s="320"/>
      <c r="D61" s="320"/>
      <c r="E61" s="320"/>
      <c r="F61" s="320"/>
      <c r="G61" s="320"/>
      <c r="H61" s="320"/>
      <c r="I61" s="320"/>
      <c r="J61" s="320"/>
      <c r="K61" s="320"/>
      <c r="L61" s="320"/>
    </row>
  </sheetData>
  <mergeCells count="31">
    <mergeCell ref="B23:C23"/>
    <mergeCell ref="D23:E23"/>
    <mergeCell ref="F23:G23"/>
    <mergeCell ref="B1:G1"/>
    <mergeCell ref="D21:G21"/>
    <mergeCell ref="B22:C22"/>
    <mergeCell ref="D22:E22"/>
    <mergeCell ref="F22:G22"/>
    <mergeCell ref="B31:C31"/>
    <mergeCell ref="F31:G31"/>
    <mergeCell ref="B24:C24"/>
    <mergeCell ref="D24:E24"/>
    <mergeCell ref="F24:G24"/>
    <mergeCell ref="B25:C25"/>
    <mergeCell ref="D25:E25"/>
    <mergeCell ref="F25:G25"/>
    <mergeCell ref="E28:G28"/>
    <mergeCell ref="B29:C29"/>
    <mergeCell ref="F29:G29"/>
    <mergeCell ref="B30:C30"/>
    <mergeCell ref="F30:G30"/>
    <mergeCell ref="B38:C38"/>
    <mergeCell ref="B40:C40"/>
    <mergeCell ref="D40:E40"/>
    <mergeCell ref="F40:G40"/>
    <mergeCell ref="B32:C32"/>
    <mergeCell ref="F32:G32"/>
    <mergeCell ref="E34:G34"/>
    <mergeCell ref="B35:C35"/>
    <mergeCell ref="B36:C36"/>
    <mergeCell ref="B37:C37"/>
  </mergeCells>
  <printOptions horizontalCentered="1"/>
  <pageMargins left="0.75" right="0.75" top="1" bottom="1" header="0.5" footer="0.5"/>
  <pageSetup orientation="portrait" verticalDpi="3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syncVertical="1" syncRef="A1" transitionEvaluation="1"/>
  <dimension ref="A1:N120"/>
  <sheetViews>
    <sheetView showGridLines="0" zoomScale="90" workbookViewId="0">
      <selection activeCell="K45" sqref="K45"/>
    </sheetView>
  </sheetViews>
  <sheetFormatPr defaultColWidth="12" defaultRowHeight="15.75"/>
  <cols>
    <col min="1" max="14" width="6.7109375" style="339" customWidth="1"/>
    <col min="15" max="16384" width="12" style="339"/>
  </cols>
  <sheetData>
    <row r="1" spans="1:14" ht="17.100000000000001" customHeight="1">
      <c r="A1" s="332" t="s">
        <v>250</v>
      </c>
      <c r="B1" s="333"/>
      <c r="C1" s="333"/>
      <c r="D1" s="333"/>
      <c r="E1" s="333"/>
      <c r="F1" s="333"/>
      <c r="G1" s="333"/>
      <c r="H1" s="333"/>
      <c r="I1" s="333"/>
      <c r="J1" s="334" t="s">
        <v>557</v>
      </c>
      <c r="K1" s="335"/>
      <c r="L1" s="336" t="s">
        <v>558</v>
      </c>
      <c r="M1" s="337"/>
      <c r="N1" s="338"/>
    </row>
    <row r="2" spans="1:14" ht="17.100000000000001" customHeight="1">
      <c r="A2" s="340" t="s">
        <v>559</v>
      </c>
      <c r="B2" s="341"/>
      <c r="C2" s="341"/>
      <c r="D2" s="341"/>
      <c r="E2" s="341"/>
      <c r="F2" s="341"/>
      <c r="G2" s="341"/>
      <c r="H2" s="341"/>
      <c r="I2" s="341"/>
      <c r="J2" s="342" t="s">
        <v>560</v>
      </c>
      <c r="K2" s="343"/>
      <c r="L2" s="344" t="s">
        <v>561</v>
      </c>
      <c r="M2" s="345"/>
      <c r="N2" s="338"/>
    </row>
    <row r="3" spans="1:14" ht="15.95" customHeight="1">
      <c r="A3" s="346"/>
      <c r="B3" s="347"/>
      <c r="C3" s="347"/>
      <c r="D3" s="347"/>
      <c r="E3" s="347"/>
      <c r="F3" s="347"/>
      <c r="G3" s="347"/>
      <c r="H3" s="347"/>
      <c r="I3" s="347"/>
      <c r="J3" s="342" t="s">
        <v>562</v>
      </c>
      <c r="K3" s="343"/>
      <c r="L3" s="348" t="s">
        <v>563</v>
      </c>
      <c r="M3" s="345"/>
      <c r="N3" s="338"/>
    </row>
    <row r="4" spans="1:14" ht="15.95" customHeight="1">
      <c r="A4" s="349"/>
      <c r="B4" s="347"/>
      <c r="C4" s="347"/>
      <c r="D4" s="347"/>
      <c r="E4" s="347"/>
      <c r="F4" s="347"/>
      <c r="G4" s="347"/>
      <c r="H4" s="347"/>
      <c r="I4" s="347"/>
      <c r="J4" s="342" t="s">
        <v>564</v>
      </c>
      <c r="K4" s="343"/>
      <c r="L4" s="350" t="s">
        <v>565</v>
      </c>
      <c r="M4" s="345"/>
      <c r="N4" s="338"/>
    </row>
    <row r="5" spans="1:14" ht="15.95" customHeight="1">
      <c r="A5" s="346"/>
      <c r="B5" s="347"/>
      <c r="C5" s="347"/>
      <c r="D5" s="347"/>
      <c r="E5" s="347"/>
      <c r="F5" s="347"/>
      <c r="G5" s="347"/>
      <c r="H5" s="347"/>
      <c r="I5" s="347"/>
      <c r="J5" s="342" t="s">
        <v>566</v>
      </c>
      <c r="K5" s="343"/>
      <c r="L5" s="344">
        <v>2</v>
      </c>
      <c r="M5" s="345"/>
      <c r="N5" s="338"/>
    </row>
    <row r="6" spans="1:14" ht="15.95" customHeight="1">
      <c r="A6" s="351" t="s">
        <v>567</v>
      </c>
      <c r="B6" s="347"/>
      <c r="C6" s="347"/>
      <c r="D6" s="347"/>
      <c r="E6" s="347"/>
      <c r="F6" s="347"/>
      <c r="G6" s="347"/>
      <c r="H6" s="347"/>
      <c r="I6" s="347"/>
      <c r="J6" s="342" t="s">
        <v>568</v>
      </c>
      <c r="K6" s="343"/>
      <c r="L6" s="352" t="s">
        <v>569</v>
      </c>
      <c r="M6" s="345"/>
      <c r="N6" s="338"/>
    </row>
    <row r="7" spans="1:14" ht="15.95" customHeight="1" thickBot="1">
      <c r="A7" s="353" t="s">
        <v>570</v>
      </c>
      <c r="B7" s="354"/>
      <c r="C7" s="354"/>
      <c r="D7" s="354"/>
      <c r="E7" s="354"/>
      <c r="F7" s="354"/>
      <c r="G7" s="354"/>
      <c r="H7" s="354"/>
      <c r="I7" s="354"/>
      <c r="J7" s="355" t="s">
        <v>571</v>
      </c>
      <c r="K7" s="356"/>
      <c r="L7" s="357" t="s">
        <v>572</v>
      </c>
      <c r="M7" s="358"/>
      <c r="N7" s="338"/>
    </row>
    <row r="8" spans="1:14" ht="15.95" customHeight="1">
      <c r="A8" s="359"/>
      <c r="B8" s="347"/>
      <c r="C8" s="347"/>
      <c r="D8" s="347"/>
      <c r="E8" s="347"/>
      <c r="F8" s="347"/>
      <c r="G8" s="347"/>
      <c r="H8" s="347"/>
      <c r="I8" s="347"/>
      <c r="J8" s="347"/>
      <c r="K8" s="360"/>
      <c r="L8" s="361"/>
      <c r="M8" s="362"/>
      <c r="N8" s="347"/>
    </row>
    <row r="9" spans="1:14" ht="12" customHeight="1">
      <c r="A9" s="363"/>
      <c r="B9" s="364" t="s">
        <v>573</v>
      </c>
      <c r="C9" s="365"/>
      <c r="D9" s="366"/>
      <c r="E9" s="366"/>
      <c r="F9" s="366"/>
      <c r="G9" s="366"/>
      <c r="H9" s="366"/>
      <c r="I9" s="366"/>
      <c r="J9" s="366"/>
      <c r="K9" s="367"/>
      <c r="L9" s="368"/>
      <c r="M9" s="366"/>
      <c r="N9" s="347"/>
    </row>
    <row r="10" spans="1:14" ht="12" customHeight="1">
      <c r="A10" s="363"/>
      <c r="B10" s="364" t="s">
        <v>574</v>
      </c>
      <c r="C10" s="369"/>
      <c r="D10" s="368"/>
      <c r="E10" s="368"/>
      <c r="F10" s="368"/>
      <c r="G10" s="368"/>
      <c r="H10" s="368"/>
      <c r="I10" s="368"/>
      <c r="J10" s="368"/>
      <c r="K10" s="368"/>
      <c r="L10" s="368"/>
      <c r="M10" s="368"/>
      <c r="N10" s="361"/>
    </row>
    <row r="11" spans="1:14" ht="16.5" thickBot="1">
      <c r="A11" s="370"/>
      <c r="B11" s="370"/>
      <c r="C11" s="370"/>
      <c r="D11" s="370"/>
      <c r="E11" s="370"/>
      <c r="F11" s="370"/>
      <c r="G11" s="370"/>
      <c r="H11" s="370"/>
      <c r="I11" s="370"/>
      <c r="J11" s="370"/>
      <c r="K11" s="370"/>
      <c r="L11" s="370"/>
      <c r="M11" s="370"/>
      <c r="N11" s="370"/>
    </row>
    <row r="12" spans="1:14" ht="20.100000000000001" customHeight="1" thickBot="1">
      <c r="A12" s="371" t="s">
        <v>575</v>
      </c>
      <c r="B12" s="372"/>
      <c r="C12" s="372"/>
      <c r="D12" s="372"/>
      <c r="E12" s="372"/>
      <c r="F12" s="372"/>
      <c r="G12" s="372"/>
      <c r="H12" s="372"/>
      <c r="I12" s="372"/>
      <c r="J12" s="372"/>
      <c r="K12" s="372"/>
      <c r="L12" s="372"/>
      <c r="M12" s="373"/>
      <c r="N12" s="338"/>
    </row>
    <row r="13" spans="1:14" ht="12.95" customHeight="1" thickTop="1">
      <c r="A13" s="374"/>
      <c r="B13" s="375" t="s">
        <v>576</v>
      </c>
      <c r="C13" s="376">
        <v>900</v>
      </c>
      <c r="D13" s="368"/>
      <c r="E13" s="375" t="s">
        <v>577</v>
      </c>
      <c r="F13" s="376">
        <v>4000</v>
      </c>
      <c r="G13" s="368"/>
      <c r="H13" s="375" t="s">
        <v>578</v>
      </c>
      <c r="I13" s="376" t="s">
        <v>579</v>
      </c>
      <c r="J13" s="368"/>
      <c r="K13" s="368"/>
      <c r="L13" s="375" t="s">
        <v>580</v>
      </c>
      <c r="M13" s="377">
        <v>1800</v>
      </c>
      <c r="N13" s="338"/>
    </row>
    <row r="14" spans="1:14" ht="12.95" customHeight="1">
      <c r="A14" s="374"/>
      <c r="B14" s="375" t="s">
        <v>581</v>
      </c>
      <c r="C14" s="376" t="s">
        <v>178</v>
      </c>
      <c r="D14" s="368"/>
      <c r="E14" s="375" t="s">
        <v>582</v>
      </c>
      <c r="F14" s="376" t="s">
        <v>583</v>
      </c>
      <c r="G14" s="368"/>
      <c r="H14" s="375" t="s">
        <v>584</v>
      </c>
      <c r="I14" s="376">
        <v>115</v>
      </c>
      <c r="J14" s="368"/>
      <c r="K14" s="368"/>
      <c r="L14" s="375" t="s">
        <v>368</v>
      </c>
      <c r="M14" s="377">
        <v>1789</v>
      </c>
      <c r="N14" s="338"/>
    </row>
    <row r="15" spans="1:14" ht="12.95" customHeight="1">
      <c r="A15" s="374"/>
      <c r="B15" s="375" t="s">
        <v>585</v>
      </c>
      <c r="C15" s="376" t="s">
        <v>177</v>
      </c>
      <c r="D15" s="368"/>
      <c r="E15" s="375" t="s">
        <v>586</v>
      </c>
      <c r="F15" s="376">
        <v>1.1499999999999999</v>
      </c>
      <c r="G15" s="368"/>
      <c r="H15" s="378" t="s">
        <v>587</v>
      </c>
      <c r="I15" s="376" t="s">
        <v>175</v>
      </c>
      <c r="J15" s="368"/>
      <c r="K15" s="368"/>
      <c r="L15" s="375" t="s">
        <v>588</v>
      </c>
      <c r="M15" s="377" t="s">
        <v>332</v>
      </c>
      <c r="N15" s="338"/>
    </row>
    <row r="16" spans="1:14" ht="12.95" customHeight="1">
      <c r="A16" s="374"/>
      <c r="B16" s="375" t="s">
        <v>589</v>
      </c>
      <c r="C16" s="376" t="s">
        <v>590</v>
      </c>
      <c r="D16" s="368"/>
      <c r="E16" s="375" t="s">
        <v>591</v>
      </c>
      <c r="F16" s="376" t="s">
        <v>413</v>
      </c>
      <c r="G16" s="368"/>
      <c r="H16" s="379" t="s">
        <v>592</v>
      </c>
      <c r="I16" s="380" t="s">
        <v>340</v>
      </c>
      <c r="J16" s="368"/>
      <c r="K16" s="368"/>
      <c r="L16" s="375" t="s">
        <v>593</v>
      </c>
      <c r="M16" s="377" t="s">
        <v>594</v>
      </c>
      <c r="N16" s="338"/>
    </row>
    <row r="17" spans="1:14" ht="12.95" customHeight="1">
      <c r="A17" s="374"/>
      <c r="B17" s="375" t="s">
        <v>595</v>
      </c>
      <c r="C17" s="381"/>
      <c r="D17" s="368"/>
      <c r="E17" s="375"/>
      <c r="F17" s="382"/>
      <c r="G17" s="368"/>
      <c r="H17" s="375" t="s">
        <v>596</v>
      </c>
      <c r="I17" s="380" t="s">
        <v>175</v>
      </c>
      <c r="J17" s="368"/>
      <c r="K17" s="368"/>
      <c r="L17" s="375"/>
      <c r="M17" s="383"/>
      <c r="N17" s="338"/>
    </row>
    <row r="18" spans="1:14" ht="12.95" customHeight="1" thickBot="1">
      <c r="A18" s="384"/>
      <c r="B18" s="385" t="s">
        <v>597</v>
      </c>
      <c r="C18" s="386" t="s">
        <v>175</v>
      </c>
      <c r="D18" s="387"/>
      <c r="E18" s="388" t="s">
        <v>598</v>
      </c>
      <c r="F18" s="386" t="s">
        <v>175</v>
      </c>
      <c r="G18" s="389"/>
      <c r="H18" s="388" t="s">
        <v>599</v>
      </c>
      <c r="I18" s="386" t="s">
        <v>175</v>
      </c>
      <c r="J18" s="387"/>
      <c r="K18" s="387"/>
      <c r="L18" s="387"/>
      <c r="M18" s="390"/>
      <c r="N18" s="338"/>
    </row>
    <row r="19" spans="1:14" ht="16.5" thickBot="1">
      <c r="A19" s="338"/>
      <c r="B19" s="338"/>
      <c r="C19" s="338"/>
      <c r="D19" s="338"/>
      <c r="E19" s="338"/>
      <c r="F19" s="338"/>
      <c r="G19" s="338"/>
      <c r="H19" s="338"/>
      <c r="I19" s="338"/>
      <c r="J19" s="338"/>
      <c r="K19" s="338"/>
      <c r="L19" s="338"/>
      <c r="M19" s="338"/>
      <c r="N19" s="338"/>
    </row>
    <row r="20" spans="1:14" ht="20.100000000000001" customHeight="1" thickBot="1">
      <c r="A20" s="371"/>
      <c r="B20" s="372"/>
      <c r="C20" s="372"/>
      <c r="D20" s="372"/>
      <c r="E20" s="372"/>
      <c r="F20" s="372"/>
      <c r="G20" s="372"/>
      <c r="H20" s="372"/>
      <c r="I20" s="372"/>
      <c r="J20" s="372"/>
      <c r="K20" s="372"/>
      <c r="L20" s="372"/>
      <c r="M20" s="373"/>
    </row>
    <row r="21" spans="1:14" ht="15.95" customHeight="1" thickTop="1">
      <c r="A21" s="391" t="s">
        <v>600</v>
      </c>
      <c r="B21" s="392"/>
      <c r="C21" s="361"/>
      <c r="D21" s="393"/>
      <c r="E21" s="394" t="s">
        <v>601</v>
      </c>
      <c r="F21" s="395"/>
      <c r="G21" s="395"/>
      <c r="H21" s="396"/>
      <c r="I21" s="397" t="s">
        <v>602</v>
      </c>
      <c r="J21" s="398"/>
      <c r="K21" s="398"/>
      <c r="L21" s="361"/>
      <c r="M21" s="399"/>
    </row>
    <row r="22" spans="1:14" ht="15.95" customHeight="1">
      <c r="A22" s="400" t="s">
        <v>603</v>
      </c>
      <c r="B22" s="368"/>
      <c r="C22" s="401"/>
      <c r="D22" s="402">
        <v>742</v>
      </c>
      <c r="E22" s="375"/>
      <c r="G22" s="379" t="s">
        <v>604</v>
      </c>
      <c r="H22" s="403">
        <v>2642</v>
      </c>
      <c r="I22" s="401"/>
      <c r="J22" s="368"/>
      <c r="K22" s="401" t="s">
        <v>605</v>
      </c>
      <c r="L22" s="620"/>
      <c r="M22" s="621"/>
    </row>
    <row r="23" spans="1:14" ht="15.95" customHeight="1">
      <c r="A23" s="400"/>
      <c r="B23" s="401"/>
      <c r="C23" s="404"/>
      <c r="D23" s="405"/>
      <c r="E23" s="375"/>
      <c r="G23" s="375" t="s">
        <v>606</v>
      </c>
      <c r="H23" s="402">
        <v>115</v>
      </c>
      <c r="I23" s="368"/>
      <c r="J23" s="368"/>
      <c r="K23" s="375" t="s">
        <v>607</v>
      </c>
      <c r="L23" s="620"/>
      <c r="M23" s="621"/>
    </row>
    <row r="24" spans="1:14" ht="15.95" customHeight="1">
      <c r="A24" s="374"/>
      <c r="B24" s="375"/>
      <c r="C24" s="368"/>
      <c r="D24" s="405"/>
      <c r="E24" s="375"/>
      <c r="G24" s="379" t="s">
        <v>608</v>
      </c>
      <c r="H24" s="402">
        <v>220</v>
      </c>
      <c r="I24" s="368"/>
      <c r="J24" s="375"/>
      <c r="K24" s="368"/>
      <c r="L24" s="368"/>
      <c r="M24" s="383"/>
    </row>
    <row r="25" spans="1:14" ht="15.95" customHeight="1" thickBot="1">
      <c r="A25" s="384"/>
      <c r="B25" s="385"/>
      <c r="C25" s="387"/>
      <c r="D25" s="406"/>
      <c r="E25" s="388"/>
      <c r="F25" s="388"/>
      <c r="G25" s="388"/>
      <c r="H25" s="407"/>
      <c r="I25" s="387"/>
      <c r="J25" s="388"/>
      <c r="K25" s="387"/>
      <c r="L25" s="387"/>
      <c r="M25" s="390"/>
    </row>
    <row r="26" spans="1:14" ht="18.95" customHeight="1" thickBot="1">
      <c r="A26" s="408"/>
      <c r="B26" s="408"/>
      <c r="C26" s="408"/>
      <c r="D26" s="409"/>
      <c r="E26" s="409"/>
      <c r="F26" s="409"/>
      <c r="G26" s="409"/>
      <c r="H26" s="409"/>
      <c r="I26" s="409"/>
      <c r="J26" s="409"/>
      <c r="K26" s="409"/>
      <c r="L26" s="409"/>
      <c r="M26" s="338"/>
      <c r="N26" s="338"/>
    </row>
    <row r="27" spans="1:14" ht="20.100000000000001" customHeight="1" thickBot="1">
      <c r="A27" s="410"/>
      <c r="B27" s="411"/>
      <c r="C27" s="411"/>
      <c r="D27" s="411"/>
      <c r="E27" s="411"/>
      <c r="F27" s="411"/>
      <c r="G27" s="412"/>
      <c r="H27" s="411"/>
      <c r="I27" s="411"/>
      <c r="J27" s="411"/>
      <c r="K27" s="411"/>
      <c r="L27" s="411"/>
      <c r="M27" s="413"/>
    </row>
    <row r="28" spans="1:14" ht="15.95" customHeight="1" thickTop="1">
      <c r="A28" s="414" t="s">
        <v>609</v>
      </c>
      <c r="B28" s="392"/>
      <c r="C28" s="361"/>
      <c r="D28" s="361"/>
      <c r="E28" s="395"/>
      <c r="F28" s="395"/>
      <c r="G28" s="415"/>
      <c r="H28" s="394" t="s">
        <v>610</v>
      </c>
      <c r="I28" s="395"/>
      <c r="J28" s="398"/>
      <c r="K28" s="394"/>
      <c r="L28" s="398"/>
      <c r="M28" s="399"/>
    </row>
    <row r="29" spans="1:14" ht="15.95" customHeight="1">
      <c r="A29" s="374"/>
      <c r="B29" s="401"/>
      <c r="C29" s="401" t="s">
        <v>611</v>
      </c>
      <c r="D29" s="416">
        <v>94.7</v>
      </c>
      <c r="E29" s="375"/>
      <c r="F29" s="375"/>
      <c r="G29" s="415"/>
      <c r="H29" s="379"/>
      <c r="I29" s="401"/>
      <c r="J29" s="401" t="s">
        <v>611</v>
      </c>
      <c r="K29" s="416">
        <v>89.4</v>
      </c>
      <c r="L29" s="368"/>
      <c r="M29" s="383"/>
    </row>
    <row r="30" spans="1:14" ht="15.95" customHeight="1">
      <c r="A30" s="417"/>
      <c r="B30" s="368"/>
      <c r="C30" s="401" t="s">
        <v>612</v>
      </c>
      <c r="D30" s="416">
        <v>94.1</v>
      </c>
      <c r="E30" s="375"/>
      <c r="F30" s="375"/>
      <c r="G30" s="415"/>
      <c r="H30" s="375"/>
      <c r="I30" s="368"/>
      <c r="J30" s="401" t="s">
        <v>612</v>
      </c>
      <c r="K30" s="416">
        <v>88.7</v>
      </c>
      <c r="L30" s="368"/>
      <c r="M30" s="383"/>
    </row>
    <row r="31" spans="1:14" ht="15.95" customHeight="1">
      <c r="A31" s="374"/>
      <c r="B31" s="375"/>
      <c r="C31" s="401" t="s">
        <v>613</v>
      </c>
      <c r="D31" s="416">
        <v>92.8</v>
      </c>
      <c r="E31" s="375"/>
      <c r="F31" s="375"/>
      <c r="G31" s="415"/>
      <c r="H31" s="375"/>
      <c r="I31" s="368"/>
      <c r="J31" s="401" t="s">
        <v>613</v>
      </c>
      <c r="K31" s="416">
        <v>85.1</v>
      </c>
      <c r="L31" s="375"/>
      <c r="M31" s="383"/>
    </row>
    <row r="32" spans="1:14" ht="15.95" customHeight="1" thickBot="1">
      <c r="A32" s="384"/>
      <c r="B32" s="385"/>
      <c r="C32" s="387"/>
      <c r="D32" s="387"/>
      <c r="E32" s="388"/>
      <c r="F32" s="388"/>
      <c r="G32" s="418"/>
      <c r="H32" s="388"/>
      <c r="I32" s="387"/>
      <c r="J32" s="388"/>
      <c r="K32" s="387"/>
      <c r="L32" s="388"/>
      <c r="M32" s="390"/>
    </row>
    <row r="33" spans="1:14" ht="20.100000000000001" customHeight="1" thickBot="1">
      <c r="A33" s="419"/>
      <c r="B33" s="419"/>
      <c r="C33" s="419"/>
      <c r="D33" s="419"/>
      <c r="E33" s="419"/>
      <c r="F33" s="419"/>
      <c r="G33" s="419"/>
      <c r="H33" s="419"/>
      <c r="I33" s="419"/>
      <c r="J33" s="419"/>
      <c r="K33" s="419"/>
      <c r="L33" s="419"/>
      <c r="M33" s="420"/>
      <c r="N33" s="420"/>
    </row>
    <row r="34" spans="1:14" ht="8.25" customHeight="1" thickBot="1">
      <c r="A34" s="421"/>
      <c r="B34" s="422"/>
      <c r="C34" s="422"/>
      <c r="D34" s="422"/>
      <c r="E34" s="422"/>
      <c r="F34" s="422"/>
      <c r="G34" s="422"/>
      <c r="H34" s="422"/>
      <c r="I34" s="422"/>
      <c r="J34" s="422"/>
      <c r="K34" s="422"/>
      <c r="L34" s="422"/>
      <c r="M34" s="423"/>
    </row>
    <row r="35" spans="1:14" ht="15.95" customHeight="1" thickTop="1">
      <c r="A35" s="424" t="s">
        <v>614</v>
      </c>
      <c r="B35" s="404"/>
      <c r="C35" s="404"/>
      <c r="D35" s="404"/>
      <c r="E35" s="404"/>
      <c r="F35" s="404"/>
      <c r="G35" s="404"/>
      <c r="H35" s="404"/>
      <c r="I35" s="404"/>
      <c r="J35" s="404"/>
      <c r="K35" s="404"/>
      <c r="L35" s="404"/>
      <c r="M35" s="425"/>
    </row>
    <row r="36" spans="1:14" ht="15.95" customHeight="1">
      <c r="A36" s="426" t="s">
        <v>615</v>
      </c>
      <c r="B36" s="427"/>
      <c r="C36" s="427"/>
      <c r="D36" s="427"/>
      <c r="E36" s="427"/>
      <c r="F36" s="427"/>
      <c r="G36" s="427"/>
      <c r="H36" s="427"/>
      <c r="I36" s="427"/>
      <c r="J36" s="427"/>
      <c r="K36" s="427"/>
      <c r="L36" s="427"/>
      <c r="M36" s="428"/>
    </row>
    <row r="37" spans="1:14" ht="15.95" customHeight="1">
      <c r="A37" s="429" t="s">
        <v>616</v>
      </c>
      <c r="B37" s="430"/>
      <c r="C37" s="430"/>
      <c r="D37" s="430"/>
      <c r="E37" s="430"/>
      <c r="F37" s="430"/>
      <c r="G37" s="430"/>
      <c r="H37" s="430"/>
      <c r="I37" s="430"/>
      <c r="J37" s="430"/>
      <c r="K37" s="430"/>
      <c r="L37" s="430"/>
      <c r="M37" s="431"/>
    </row>
    <row r="38" spans="1:14" ht="15.95" customHeight="1">
      <c r="A38" s="432" t="s">
        <v>617</v>
      </c>
      <c r="B38" s="404"/>
      <c r="C38" s="404"/>
      <c r="D38" s="404"/>
      <c r="E38" s="433"/>
      <c r="F38" s="404"/>
      <c r="G38" s="404"/>
      <c r="H38" s="404"/>
      <c r="I38" s="404"/>
      <c r="J38" s="404"/>
      <c r="K38" s="404"/>
      <c r="L38" s="404"/>
      <c r="M38" s="425"/>
    </row>
    <row r="39" spans="1:14" ht="15.95" customHeight="1">
      <c r="A39" s="417" t="s">
        <v>618</v>
      </c>
      <c r="B39" s="404"/>
      <c r="C39" s="404"/>
      <c r="D39" s="404"/>
      <c r="E39" s="404"/>
      <c r="F39" s="404"/>
      <c r="G39" s="404"/>
      <c r="H39" s="404"/>
      <c r="I39" s="404"/>
      <c r="J39" s="404"/>
      <c r="K39" s="404"/>
      <c r="L39" s="404"/>
      <c r="M39" s="425"/>
    </row>
    <row r="40" spans="1:14" ht="15.95" customHeight="1" thickBot="1">
      <c r="A40" s="434" t="s">
        <v>619</v>
      </c>
      <c r="B40" s="435"/>
      <c r="C40" s="435"/>
      <c r="D40" s="435"/>
      <c r="E40" s="435"/>
      <c r="F40" s="435"/>
      <c r="G40" s="435"/>
      <c r="H40" s="435"/>
      <c r="I40" s="435"/>
      <c r="J40" s="435"/>
      <c r="K40" s="435"/>
      <c r="L40" s="435"/>
      <c r="M40" s="436"/>
    </row>
    <row r="41" spans="1:14" ht="15.95" customHeight="1"/>
    <row r="42" spans="1:14" ht="21">
      <c r="A42" s="437"/>
      <c r="B42" s="437"/>
      <c r="C42" s="437"/>
      <c r="D42" s="437"/>
      <c r="E42" s="437"/>
      <c r="F42" s="437"/>
      <c r="G42" s="437"/>
      <c r="H42" s="338"/>
      <c r="I42" s="338"/>
      <c r="J42" s="438" t="s">
        <v>620</v>
      </c>
      <c r="K42" s="622" t="s">
        <v>621</v>
      </c>
      <c r="L42" s="622"/>
      <c r="M42" s="622"/>
      <c r="N42" s="437"/>
    </row>
    <row r="43" spans="1:14" ht="7.5" customHeight="1">
      <c r="H43" s="338"/>
      <c r="I43" s="338"/>
      <c r="J43" s="338"/>
      <c r="K43" s="338"/>
      <c r="L43" s="338"/>
      <c r="M43" s="338"/>
    </row>
    <row r="44" spans="1:14" ht="16.5">
      <c r="H44" s="338"/>
      <c r="I44" s="338"/>
      <c r="J44" s="438" t="s">
        <v>622</v>
      </c>
      <c r="K44" s="623">
        <v>43973</v>
      </c>
      <c r="L44" s="623"/>
      <c r="M44" s="623"/>
    </row>
    <row r="59" spans="1:5">
      <c r="A59" s="339" t="s">
        <v>175</v>
      </c>
      <c r="B59" s="339" t="s">
        <v>623</v>
      </c>
      <c r="D59" s="339">
        <v>1</v>
      </c>
      <c r="E59" s="439" t="s">
        <v>175</v>
      </c>
    </row>
    <row r="60" spans="1:5">
      <c r="A60" s="339" t="s">
        <v>583</v>
      </c>
      <c r="B60" s="339" t="s">
        <v>624</v>
      </c>
      <c r="D60" s="339">
        <v>1.1499999999999999</v>
      </c>
      <c r="E60" s="439" t="s">
        <v>333</v>
      </c>
    </row>
    <row r="61" spans="1:5">
      <c r="A61" s="339" t="s">
        <v>625</v>
      </c>
      <c r="B61" s="339" t="s">
        <v>626</v>
      </c>
      <c r="E61" s="439" t="s">
        <v>627</v>
      </c>
    </row>
    <row r="62" spans="1:5">
      <c r="B62" s="339" t="s">
        <v>628</v>
      </c>
    </row>
    <row r="63" spans="1:5">
      <c r="B63" s="339" t="s">
        <v>629</v>
      </c>
    </row>
    <row r="64" spans="1:5">
      <c r="B64" s="339" t="s">
        <v>630</v>
      </c>
    </row>
    <row r="65" spans="2:2">
      <c r="B65" s="339" t="s">
        <v>631</v>
      </c>
    </row>
    <row r="66" spans="2:2">
      <c r="B66" s="339" t="s">
        <v>632</v>
      </c>
    </row>
    <row r="67" spans="2:2">
      <c r="B67" s="339" t="s">
        <v>633</v>
      </c>
    </row>
    <row r="68" spans="2:2">
      <c r="B68" s="339" t="s">
        <v>634</v>
      </c>
    </row>
    <row r="69" spans="2:2">
      <c r="B69" s="339" t="s">
        <v>635</v>
      </c>
    </row>
    <row r="70" spans="2:2">
      <c r="B70" s="339" t="s">
        <v>636</v>
      </c>
    </row>
    <row r="71" spans="2:2">
      <c r="B71" s="339" t="s">
        <v>637</v>
      </c>
    </row>
    <row r="72" spans="2:2">
      <c r="B72" s="339" t="s">
        <v>638</v>
      </c>
    </row>
    <row r="73" spans="2:2">
      <c r="B73" s="339" t="s">
        <v>639</v>
      </c>
    </row>
    <row r="74" spans="2:2">
      <c r="B74" s="339" t="s">
        <v>640</v>
      </c>
    </row>
    <row r="75" spans="2:2">
      <c r="B75" s="339" t="s">
        <v>641</v>
      </c>
    </row>
    <row r="76" spans="2:2">
      <c r="B76" s="339" t="s">
        <v>642</v>
      </c>
    </row>
    <row r="77" spans="2:2">
      <c r="B77" s="339" t="s">
        <v>643</v>
      </c>
    </row>
    <row r="78" spans="2:2">
      <c r="B78" s="339" t="s">
        <v>644</v>
      </c>
    </row>
    <row r="79" spans="2:2">
      <c r="B79" s="339" t="s">
        <v>645</v>
      </c>
    </row>
    <row r="80" spans="2:2">
      <c r="B80" s="339">
        <v>6312</v>
      </c>
    </row>
    <row r="81" spans="2:2">
      <c r="B81" s="339" t="s">
        <v>646</v>
      </c>
    </row>
    <row r="82" spans="2:2">
      <c r="B82" s="339" t="s">
        <v>647</v>
      </c>
    </row>
    <row r="83" spans="2:2">
      <c r="B83" s="339" t="s">
        <v>648</v>
      </c>
    </row>
    <row r="84" spans="2:2">
      <c r="B84" s="339" t="s">
        <v>649</v>
      </c>
    </row>
    <row r="85" spans="2:2">
      <c r="B85" s="339">
        <v>6313</v>
      </c>
    </row>
    <row r="86" spans="2:2">
      <c r="B86" s="339" t="s">
        <v>650</v>
      </c>
    </row>
    <row r="87" spans="2:2">
      <c r="B87" s="339" t="s">
        <v>651</v>
      </c>
    </row>
    <row r="88" spans="2:2">
      <c r="B88" s="339" t="s">
        <v>652</v>
      </c>
    </row>
    <row r="89" spans="2:2">
      <c r="B89" s="339">
        <v>6314</v>
      </c>
    </row>
    <row r="90" spans="2:2">
      <c r="B90" s="339" t="s">
        <v>653</v>
      </c>
    </row>
    <row r="91" spans="2:2">
      <c r="B91" s="339">
        <v>6317</v>
      </c>
    </row>
    <row r="92" spans="2:2">
      <c r="B92" s="339" t="s">
        <v>654</v>
      </c>
    </row>
    <row r="93" spans="2:2">
      <c r="B93" s="339">
        <v>6318</v>
      </c>
    </row>
    <row r="94" spans="2:2">
      <c r="B94" s="339" t="s">
        <v>655</v>
      </c>
    </row>
    <row r="95" spans="2:2">
      <c r="B95" s="339" t="s">
        <v>656</v>
      </c>
    </row>
    <row r="96" spans="2:2">
      <c r="B96" s="339" t="s">
        <v>657</v>
      </c>
    </row>
    <row r="97" spans="2:2">
      <c r="B97" s="339">
        <v>6320</v>
      </c>
    </row>
    <row r="98" spans="2:2">
      <c r="B98" s="339" t="s">
        <v>658</v>
      </c>
    </row>
    <row r="99" spans="2:2">
      <c r="B99" s="339" t="s">
        <v>659</v>
      </c>
    </row>
    <row r="100" spans="2:2">
      <c r="B100" s="339" t="s">
        <v>660</v>
      </c>
    </row>
    <row r="101" spans="2:2">
      <c r="B101" s="339" t="s">
        <v>661</v>
      </c>
    </row>
    <row r="102" spans="2:2">
      <c r="B102" s="339" t="s">
        <v>661</v>
      </c>
    </row>
    <row r="118" spans="2:2">
      <c r="B118" s="339" t="s">
        <v>662</v>
      </c>
    </row>
    <row r="120" spans="2:2">
      <c r="B120" s="339" t="s">
        <v>663</v>
      </c>
    </row>
  </sheetData>
  <mergeCells count="4">
    <mergeCell ref="L22:M22"/>
    <mergeCell ref="L23:M23"/>
    <mergeCell ref="K42:M42"/>
    <mergeCell ref="K44:M44"/>
  </mergeCells>
  <dataValidations count="1">
    <dataValidation type="list" allowBlank="1" showInputMessage="1" showErrorMessage="1" prompt="Choose from list" sqref="L22:L23">
      <formula1>$B$59:$B$102</formula1>
    </dataValidation>
  </dataValidation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7"/>
  <sheetViews>
    <sheetView topLeftCell="A29" workbookViewId="0">
      <selection activeCell="A39" sqref="A39:F43"/>
    </sheetView>
  </sheetViews>
  <sheetFormatPr defaultColWidth="8.85546875" defaultRowHeight="12.75"/>
  <cols>
    <col min="1" max="6" width="16.7109375" style="443" customWidth="1"/>
    <col min="7" max="16384" width="8.85546875" style="443"/>
  </cols>
  <sheetData>
    <row r="1" spans="1:6" ht="18.95" customHeight="1">
      <c r="A1" s="440"/>
      <c r="B1" s="441"/>
      <c r="C1" s="441"/>
      <c r="D1" s="441"/>
      <c r="E1" s="441"/>
      <c r="F1" s="442"/>
    </row>
    <row r="2" spans="1:6" ht="26.1" customHeight="1">
      <c r="A2" s="444" t="s">
        <v>250</v>
      </c>
      <c r="B2" s="445"/>
      <c r="C2" s="445"/>
      <c r="D2" s="445"/>
      <c r="E2" s="445"/>
      <c r="F2" s="446"/>
    </row>
    <row r="3" spans="1:6" ht="18.95" customHeight="1">
      <c r="A3" s="447" t="s">
        <v>356</v>
      </c>
      <c r="B3" s="445"/>
      <c r="C3" s="445"/>
      <c r="D3" s="445"/>
      <c r="E3" s="445"/>
      <c r="F3" s="446"/>
    </row>
    <row r="4" spans="1:6" ht="18.95" customHeight="1">
      <c r="A4" s="448"/>
      <c r="B4" s="449"/>
      <c r="C4" s="449"/>
      <c r="D4" s="449"/>
      <c r="E4" s="449"/>
      <c r="F4" s="450"/>
    </row>
    <row r="5" spans="1:6" ht="18.95" customHeight="1">
      <c r="A5" s="448"/>
      <c r="B5" s="449"/>
      <c r="C5" s="449"/>
      <c r="D5" s="449"/>
      <c r="E5" s="449"/>
      <c r="F5" s="450"/>
    </row>
    <row r="6" spans="1:6" ht="18.95" customHeight="1">
      <c r="A6" s="451" t="s">
        <v>357</v>
      </c>
      <c r="B6" s="624">
        <f>'Performance Data Sheet'!C17</f>
        <v>0</v>
      </c>
      <c r="C6" s="625"/>
      <c r="D6" s="626"/>
      <c r="E6" s="451" t="s">
        <v>358</v>
      </c>
      <c r="F6" s="452" t="str">
        <f>'Performance Data Sheet'!I14 &amp; " A"</f>
        <v>115 A</v>
      </c>
    </row>
    <row r="7" spans="1:6" ht="18.95" customHeight="1">
      <c r="A7" s="451" t="s">
        <v>359</v>
      </c>
      <c r="B7" s="452" t="str">
        <f>'Performance Data Sheet'!F14</f>
        <v>TEFC</v>
      </c>
      <c r="C7" s="451" t="s">
        <v>360</v>
      </c>
      <c r="D7" s="452" t="str">
        <f>'Performance Data Sheet'!F13 &amp; " V"</f>
        <v>4000 V</v>
      </c>
      <c r="E7" s="451" t="s">
        <v>361</v>
      </c>
      <c r="F7" s="452" t="str">
        <f>'Performance Data Sheet'!C14</f>
        <v>6811US</v>
      </c>
    </row>
    <row r="8" spans="1:6" ht="18.95" customHeight="1">
      <c r="A8" s="451" t="s">
        <v>362</v>
      </c>
      <c r="B8" s="452">
        <v>4</v>
      </c>
      <c r="C8" s="451" t="s">
        <v>363</v>
      </c>
      <c r="D8" s="452" t="s">
        <v>364</v>
      </c>
      <c r="E8" s="451" t="s">
        <v>365</v>
      </c>
      <c r="F8" s="452" t="s">
        <v>332</v>
      </c>
    </row>
    <row r="9" spans="1:6" ht="18.95" customHeight="1">
      <c r="A9" s="451" t="s">
        <v>366</v>
      </c>
      <c r="B9" s="452">
        <v>900</v>
      </c>
      <c r="C9" s="451" t="s">
        <v>367</v>
      </c>
      <c r="D9" s="452" t="s">
        <v>378</v>
      </c>
      <c r="E9" s="451" t="s">
        <v>2</v>
      </c>
      <c r="F9" s="453">
        <f>'Performance Data Sheet'!K44</f>
        <v>43973</v>
      </c>
    </row>
    <row r="10" spans="1:6" ht="18.95" customHeight="1">
      <c r="A10" s="451" t="s">
        <v>368</v>
      </c>
      <c r="B10" s="452">
        <v>1785</v>
      </c>
      <c r="C10" s="451" t="s">
        <v>348</v>
      </c>
      <c r="D10" s="452" t="s">
        <v>369</v>
      </c>
      <c r="E10" s="451" t="s">
        <v>1</v>
      </c>
      <c r="F10" s="452" t="s">
        <v>335</v>
      </c>
    </row>
    <row r="11" spans="1:6" ht="18.95" customHeight="1">
      <c r="A11" s="448"/>
      <c r="B11" s="449"/>
      <c r="C11" s="449"/>
      <c r="D11" s="449"/>
      <c r="E11" s="449"/>
      <c r="F11" s="450"/>
    </row>
    <row r="12" spans="1:6" ht="18.95" customHeight="1">
      <c r="A12" s="448"/>
      <c r="B12" s="454" t="s">
        <v>370</v>
      </c>
      <c r="C12" s="455" t="str">
        <f>'Performance Data Sheet'!D22 &amp; "A"</f>
        <v>742A</v>
      </c>
      <c r="D12" s="454" t="s">
        <v>347</v>
      </c>
      <c r="E12" s="455" t="s">
        <v>369</v>
      </c>
      <c r="F12" s="450"/>
    </row>
    <row r="13" spans="1:6" ht="18.95" customHeight="1">
      <c r="A13" s="448"/>
      <c r="B13" s="454" t="s">
        <v>371</v>
      </c>
      <c r="C13" s="456">
        <v>1.1499999999999999</v>
      </c>
      <c r="D13" s="454" t="s">
        <v>372</v>
      </c>
      <c r="E13" s="455" t="s">
        <v>369</v>
      </c>
      <c r="F13" s="450"/>
    </row>
    <row r="14" spans="1:6" ht="18.95" customHeight="1">
      <c r="A14" s="448"/>
      <c r="B14" s="454" t="s">
        <v>373</v>
      </c>
      <c r="C14" s="456">
        <v>2.2000000000000002</v>
      </c>
      <c r="D14" s="454" t="s">
        <v>349</v>
      </c>
      <c r="E14" s="455" t="s">
        <v>369</v>
      </c>
      <c r="F14" s="450"/>
    </row>
    <row r="15" spans="1:6" ht="18.95" customHeight="1">
      <c r="A15" s="448"/>
      <c r="B15" s="454" t="s">
        <v>350</v>
      </c>
      <c r="C15" s="455" t="s">
        <v>379</v>
      </c>
      <c r="D15" s="449"/>
      <c r="E15" s="449"/>
      <c r="F15" s="450"/>
    </row>
    <row r="16" spans="1:6" ht="18.95" customHeight="1">
      <c r="A16" s="448"/>
      <c r="B16" s="449"/>
      <c r="C16" s="449"/>
      <c r="D16" s="449"/>
      <c r="E16" s="449"/>
      <c r="F16" s="450"/>
    </row>
    <row r="17" spans="1:6" ht="18.95" customHeight="1">
      <c r="A17" s="448"/>
      <c r="B17" s="449"/>
      <c r="C17" s="449"/>
      <c r="D17" s="449"/>
      <c r="E17" s="449"/>
      <c r="F17" s="450"/>
    </row>
    <row r="18" spans="1:6" ht="18.95" customHeight="1">
      <c r="A18" s="448"/>
      <c r="B18" s="449"/>
      <c r="C18" s="449"/>
      <c r="D18" s="449"/>
      <c r="E18" s="449"/>
      <c r="F18" s="450"/>
    </row>
    <row r="19" spans="1:6" ht="18.95" customHeight="1">
      <c r="A19" s="448"/>
      <c r="B19" s="449"/>
      <c r="C19" s="449"/>
      <c r="D19" s="449"/>
      <c r="E19" s="449"/>
      <c r="F19" s="450"/>
    </row>
    <row r="20" spans="1:6" ht="18.95" customHeight="1">
      <c r="A20" s="448"/>
      <c r="B20" s="449"/>
      <c r="C20" s="449"/>
      <c r="D20" s="449"/>
      <c r="E20" s="449"/>
      <c r="F20" s="450"/>
    </row>
    <row r="21" spans="1:6" ht="18.95" customHeight="1">
      <c r="A21" s="448"/>
      <c r="B21" s="449"/>
      <c r="C21" s="449"/>
      <c r="D21" s="449"/>
      <c r="E21" s="449"/>
      <c r="F21" s="450"/>
    </row>
    <row r="22" spans="1:6" ht="18.95" customHeight="1">
      <c r="A22" s="448"/>
      <c r="B22" s="449"/>
      <c r="C22" s="449"/>
      <c r="D22" s="449"/>
      <c r="E22" s="449"/>
      <c r="F22" s="450"/>
    </row>
    <row r="23" spans="1:6" ht="18.95" customHeight="1">
      <c r="A23" s="448"/>
      <c r="B23" s="449"/>
      <c r="C23" s="449"/>
      <c r="D23" s="449"/>
      <c r="E23" s="449"/>
      <c r="F23" s="450"/>
    </row>
    <row r="24" spans="1:6" ht="18.95" customHeight="1">
      <c r="A24" s="448"/>
      <c r="B24" s="449"/>
      <c r="C24" s="449"/>
      <c r="D24" s="449"/>
      <c r="E24" s="449"/>
      <c r="F24" s="450"/>
    </row>
    <row r="25" spans="1:6" ht="18.95" customHeight="1">
      <c r="A25" s="448"/>
      <c r="B25" s="449"/>
      <c r="C25" s="449"/>
      <c r="D25" s="449"/>
      <c r="E25" s="449"/>
      <c r="F25" s="450"/>
    </row>
    <row r="26" spans="1:6" ht="18.95" customHeight="1">
      <c r="A26" s="448"/>
      <c r="B26" s="449"/>
      <c r="C26" s="449"/>
      <c r="D26" s="449"/>
      <c r="E26" s="449"/>
      <c r="F26" s="450"/>
    </row>
    <row r="27" spans="1:6" ht="18.95" customHeight="1">
      <c r="A27" s="448"/>
      <c r="B27" s="449"/>
      <c r="C27" s="449"/>
      <c r="D27" s="449"/>
      <c r="E27" s="449"/>
      <c r="F27" s="450"/>
    </row>
    <row r="28" spans="1:6" ht="18.95" customHeight="1">
      <c r="A28" s="448"/>
      <c r="B28" s="449"/>
      <c r="C28" s="449"/>
      <c r="D28" s="449"/>
      <c r="E28" s="449"/>
      <c r="F28" s="450"/>
    </row>
    <row r="29" spans="1:6" ht="18.95" customHeight="1">
      <c r="A29" s="448"/>
      <c r="B29" s="449"/>
      <c r="C29" s="449"/>
      <c r="D29" s="449"/>
      <c r="E29" s="449"/>
      <c r="F29" s="450"/>
    </row>
    <row r="30" spans="1:6" ht="18.95" customHeight="1">
      <c r="A30" s="448"/>
      <c r="B30" s="449"/>
      <c r="C30" s="449"/>
      <c r="D30" s="449"/>
      <c r="E30" s="449"/>
      <c r="F30" s="450"/>
    </row>
    <row r="31" spans="1:6" ht="18.95" customHeight="1">
      <c r="A31" s="448"/>
      <c r="B31" s="449"/>
      <c r="C31" s="449"/>
      <c r="D31" s="449"/>
      <c r="E31" s="449"/>
      <c r="F31" s="450"/>
    </row>
    <row r="32" spans="1:6" ht="18.95" customHeight="1">
      <c r="A32" s="448"/>
      <c r="B32" s="449"/>
      <c r="C32" s="449"/>
      <c r="D32" s="449"/>
      <c r="E32" s="449"/>
      <c r="F32" s="450"/>
    </row>
    <row r="33" spans="1:6" ht="18.95" customHeight="1">
      <c r="A33" s="448"/>
      <c r="B33" s="449"/>
      <c r="C33" s="449"/>
      <c r="D33" s="449"/>
      <c r="E33" s="449"/>
      <c r="F33" s="450"/>
    </row>
    <row r="34" spans="1:6" ht="18.95" customHeight="1">
      <c r="A34" s="448"/>
      <c r="B34" s="449"/>
      <c r="C34" s="449"/>
      <c r="D34" s="449"/>
      <c r="E34" s="449"/>
      <c r="F34" s="450"/>
    </row>
    <row r="35" spans="1:6" ht="18.95" customHeight="1">
      <c r="A35" s="448"/>
      <c r="B35" s="449"/>
      <c r="C35" s="449"/>
      <c r="D35" s="449"/>
      <c r="E35" s="449"/>
      <c r="F35" s="450"/>
    </row>
    <row r="36" spans="1:6" ht="18.95" customHeight="1">
      <c r="A36" s="448"/>
      <c r="B36" s="449"/>
      <c r="C36" s="449"/>
      <c r="D36" s="449"/>
      <c r="E36" s="449"/>
      <c r="F36" s="450"/>
    </row>
    <row r="37" spans="1:6" ht="18.95" customHeight="1">
      <c r="A37" s="448"/>
      <c r="B37" s="449"/>
      <c r="C37" s="449"/>
      <c r="D37" s="449"/>
      <c r="E37" s="449"/>
      <c r="F37" s="450"/>
    </row>
    <row r="38" spans="1:6" ht="18.95" customHeight="1">
      <c r="A38" s="448"/>
      <c r="B38" s="449"/>
      <c r="C38" s="449"/>
      <c r="D38" s="449"/>
      <c r="E38" s="449"/>
      <c r="F38" s="450"/>
    </row>
    <row r="39" spans="1:6" ht="18.95" customHeight="1">
      <c r="A39" s="457" t="s">
        <v>374</v>
      </c>
      <c r="B39" s="458" t="s">
        <v>334</v>
      </c>
      <c r="C39" s="458">
        <f>'Performance Data Sheet'!C10</f>
        <v>0</v>
      </c>
      <c r="D39" s="449"/>
      <c r="E39" s="454" t="s">
        <v>375</v>
      </c>
      <c r="F39" s="459" t="str">
        <f>F10</f>
        <v>CS4900U</v>
      </c>
    </row>
    <row r="40" spans="1:6" ht="18.95" customHeight="1">
      <c r="A40" s="448"/>
      <c r="B40" s="458"/>
      <c r="C40" s="458"/>
      <c r="D40" s="449"/>
      <c r="E40" s="449"/>
      <c r="F40" s="450"/>
    </row>
    <row r="41" spans="1:6" ht="18.95" customHeight="1">
      <c r="A41" s="448"/>
      <c r="B41" s="458"/>
      <c r="C41" s="458"/>
      <c r="D41" s="449"/>
      <c r="E41" s="449"/>
      <c r="F41" s="450"/>
    </row>
    <row r="42" spans="1:6" ht="18.95" customHeight="1">
      <c r="A42" s="448"/>
      <c r="B42" s="449"/>
      <c r="C42" s="449"/>
      <c r="D42" s="449"/>
      <c r="E42" s="449"/>
      <c r="F42" s="450"/>
    </row>
    <row r="43" spans="1:6" ht="18.95" customHeight="1">
      <c r="A43" s="460"/>
      <c r="B43" s="458"/>
      <c r="C43" s="461" t="s">
        <v>376</v>
      </c>
      <c r="D43" s="462" t="str">
        <f>'Performance Data Sheet'!K42</f>
        <v>JERRY R</v>
      </c>
      <c r="E43" s="461" t="s">
        <v>377</v>
      </c>
      <c r="F43" s="462"/>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463" t="s">
        <v>346</v>
      </c>
      <c r="E53" s="463"/>
      <c r="F53" s="463"/>
      <c r="G53" s="463"/>
      <c r="H53" s="463"/>
      <c r="I53" s="463"/>
      <c r="J53" s="463"/>
      <c r="K53" s="463"/>
      <c r="L53" s="463"/>
    </row>
    <row r="54" spans="1:12" ht="15" customHeight="1">
      <c r="A54" s="464">
        <v>100</v>
      </c>
      <c r="B54" s="465">
        <v>0</v>
      </c>
      <c r="C54" s="465">
        <v>0.20877803862094879</v>
      </c>
      <c r="D54" s="463">
        <v>100</v>
      </c>
      <c r="E54" s="463"/>
      <c r="F54" s="463"/>
      <c r="G54" s="463"/>
      <c r="H54" s="463"/>
      <c r="I54" s="463"/>
      <c r="J54" s="463"/>
      <c r="K54" s="463"/>
      <c r="L54" s="463"/>
    </row>
    <row r="55" spans="1:12" ht="15" customHeight="1">
      <c r="A55" s="464">
        <v>99.200000055134296</v>
      </c>
      <c r="B55" s="465">
        <v>160.97573421079929</v>
      </c>
      <c r="C55" s="465">
        <v>201.68807983398438</v>
      </c>
      <c r="D55" s="463">
        <v>98.400001525878906</v>
      </c>
      <c r="E55" s="463"/>
      <c r="F55" s="463"/>
      <c r="G55" s="463"/>
      <c r="H55" s="463"/>
      <c r="I55" s="463"/>
      <c r="J55" s="463"/>
      <c r="K55" s="463"/>
      <c r="L55" s="463"/>
    </row>
    <row r="56" spans="1:12" ht="15" customHeight="1">
      <c r="A56" s="464">
        <v>96.000000089406967</v>
      </c>
      <c r="B56" s="465">
        <v>220</v>
      </c>
      <c r="C56" s="465">
        <v>513.1612548828125</v>
      </c>
      <c r="D56" s="463">
        <v>89.75</v>
      </c>
      <c r="E56" s="463"/>
      <c r="F56" s="463"/>
      <c r="G56" s="463"/>
      <c r="H56" s="463"/>
      <c r="I56" s="463"/>
      <c r="J56" s="463"/>
      <c r="K56" s="463"/>
      <c r="L56" s="463"/>
    </row>
    <row r="57" spans="1:12">
      <c r="A57" s="464">
        <v>90.857142955064774</v>
      </c>
      <c r="B57" s="465">
        <v>152.13390627512052</v>
      </c>
      <c r="C57" s="465">
        <v>569.70233154296875</v>
      </c>
      <c r="D57" s="463">
        <v>76.228569030761719</v>
      </c>
      <c r="E57" s="463"/>
      <c r="F57" s="463"/>
      <c r="G57" s="463"/>
      <c r="H57" s="463"/>
      <c r="I57" s="463"/>
      <c r="J57" s="463"/>
      <c r="K57" s="463"/>
      <c r="L57" s="463"/>
    </row>
    <row r="58" spans="1:12">
      <c r="A58" s="464">
        <v>85.71428507566452</v>
      </c>
      <c r="B58" s="465">
        <v>126.39542353886702</v>
      </c>
      <c r="C58" s="465">
        <v>585.5333251953125</v>
      </c>
      <c r="D58" s="463">
        <v>62.857139587402344</v>
      </c>
      <c r="E58" s="463"/>
      <c r="F58" s="463"/>
      <c r="G58" s="463"/>
      <c r="H58" s="463"/>
      <c r="I58" s="463"/>
      <c r="J58" s="463"/>
      <c r="K58" s="463"/>
      <c r="L58" s="463"/>
    </row>
    <row r="59" spans="1:12">
      <c r="A59" s="464">
        <v>80.571427941322327</v>
      </c>
      <c r="B59" s="465">
        <v>118.27974041498004</v>
      </c>
      <c r="C59" s="465">
        <v>594.2723388671875</v>
      </c>
      <c r="D59" s="463">
        <v>51.25714111328125</v>
      </c>
      <c r="E59" s="463"/>
      <c r="F59" s="463"/>
      <c r="G59" s="463"/>
      <c r="H59" s="463"/>
      <c r="I59" s="463"/>
      <c r="J59" s="463"/>
      <c r="K59" s="463"/>
      <c r="L59" s="463"/>
    </row>
    <row r="60" spans="1:12">
      <c r="A60" s="464">
        <v>70.285713672637939</v>
      </c>
      <c r="B60" s="465">
        <v>115.10002068767426</v>
      </c>
      <c r="C60" s="465">
        <v>606.6534423828125</v>
      </c>
      <c r="D60" s="463">
        <v>33.485713958740234</v>
      </c>
      <c r="E60" s="463"/>
      <c r="F60" s="463"/>
      <c r="G60" s="463"/>
      <c r="H60" s="463"/>
      <c r="I60" s="463"/>
      <c r="J60" s="463"/>
      <c r="K60" s="463"/>
      <c r="L60" s="463"/>
    </row>
    <row r="61" spans="1:12">
      <c r="A61" s="464">
        <v>59.999999403953552</v>
      </c>
      <c r="B61" s="465">
        <v>115</v>
      </c>
      <c r="C61" s="465">
        <v>616.406982421875</v>
      </c>
      <c r="D61" s="463">
        <v>22</v>
      </c>
      <c r="E61" s="463"/>
      <c r="F61" s="463"/>
      <c r="G61" s="463"/>
      <c r="H61" s="463"/>
      <c r="I61" s="463"/>
      <c r="J61" s="463"/>
      <c r="K61" s="463"/>
      <c r="L61" s="463"/>
    </row>
    <row r="62" spans="1:12">
      <c r="A62" s="464">
        <v>50</v>
      </c>
      <c r="B62" s="465">
        <v>115.00969662760049</v>
      </c>
      <c r="C62" s="465">
        <v>624.1990966796875</v>
      </c>
      <c r="D62" s="463">
        <v>14</v>
      </c>
      <c r="E62" s="463"/>
      <c r="F62" s="463"/>
      <c r="G62" s="463"/>
      <c r="H62" s="463"/>
      <c r="I62" s="463"/>
      <c r="J62" s="463"/>
      <c r="K62" s="463"/>
      <c r="L62" s="463"/>
    </row>
    <row r="63" spans="1:12">
      <c r="A63" s="464">
        <v>39.999997615814209</v>
      </c>
      <c r="B63" s="465">
        <v>115.01294139950116</v>
      </c>
      <c r="C63" s="465">
        <v>630.3992919921875</v>
      </c>
      <c r="D63" s="463">
        <v>7.9999995231628418</v>
      </c>
      <c r="E63" s="463"/>
      <c r="F63" s="463"/>
      <c r="G63" s="463"/>
      <c r="H63" s="463"/>
      <c r="I63" s="463"/>
      <c r="J63" s="463"/>
      <c r="K63" s="463"/>
      <c r="L63" s="463"/>
    </row>
    <row r="64" spans="1:12">
      <c r="A64" s="464">
        <v>30.000001192092896</v>
      </c>
      <c r="B64" s="465">
        <v>115.01731178856537</v>
      </c>
      <c r="C64" s="465">
        <v>635.2938232421875</v>
      </c>
      <c r="D64" s="463">
        <v>5.9999995231628418</v>
      </c>
      <c r="E64" s="463"/>
      <c r="F64" s="463"/>
      <c r="G64" s="463"/>
      <c r="H64" s="463"/>
      <c r="I64" s="463"/>
      <c r="J64" s="463"/>
      <c r="K64" s="463"/>
      <c r="L64" s="463"/>
    </row>
    <row r="65" spans="1:12">
      <c r="A65" s="464">
        <v>19.999998807907104</v>
      </c>
      <c r="B65" s="465">
        <v>115.02585553130326</v>
      </c>
      <c r="C65" s="465">
        <v>639.24609375</v>
      </c>
      <c r="D65" s="463">
        <v>8.0000009536743164</v>
      </c>
      <c r="E65" s="463"/>
      <c r="F65" s="463"/>
      <c r="G65" s="463"/>
      <c r="H65" s="463"/>
      <c r="I65" s="463"/>
      <c r="J65" s="463"/>
      <c r="K65" s="463"/>
      <c r="L65" s="463"/>
    </row>
    <row r="66" spans="1:12">
      <c r="A66" s="464">
        <v>10.000002384185791</v>
      </c>
      <c r="B66" s="465">
        <v>115.03478128865298</v>
      </c>
      <c r="C66" s="465">
        <v>642.4952392578125</v>
      </c>
      <c r="D66" s="463">
        <v>14.999996185302734</v>
      </c>
      <c r="E66" s="463"/>
      <c r="F66" s="463"/>
      <c r="G66" s="463"/>
      <c r="H66" s="463"/>
      <c r="I66" s="463"/>
      <c r="J66" s="463"/>
      <c r="K66" s="463"/>
      <c r="L66" s="463"/>
    </row>
    <row r="67" spans="1:12">
      <c r="A67" s="466">
        <v>0</v>
      </c>
      <c r="B67" s="465">
        <v>115</v>
      </c>
      <c r="C67" s="465">
        <v>645.2174072265625</v>
      </c>
      <c r="D67" s="463">
        <v>30</v>
      </c>
      <c r="E67" s="463"/>
      <c r="F67" s="463"/>
      <c r="G67" s="463"/>
      <c r="H67" s="463"/>
      <c r="I67" s="463"/>
      <c r="J67" s="463"/>
      <c r="K67" s="463"/>
      <c r="L67" s="463"/>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1"/>
  <sheetViews>
    <sheetView workbookViewId="0">
      <selection activeCell="K45" sqref="K45"/>
    </sheetView>
  </sheetViews>
  <sheetFormatPr defaultColWidth="8.85546875" defaultRowHeight="12.75"/>
  <cols>
    <col min="1" max="6" width="16.7109375" style="443" customWidth="1"/>
    <col min="7" max="16384" width="8.85546875" style="443"/>
  </cols>
  <sheetData>
    <row r="1" spans="1:6" ht="18.95" customHeight="1">
      <c r="A1" s="440"/>
      <c r="B1" s="441"/>
      <c r="C1" s="441"/>
      <c r="D1" s="441"/>
      <c r="E1" s="441"/>
      <c r="F1" s="442"/>
    </row>
    <row r="2" spans="1:6" ht="26.1" customHeight="1">
      <c r="A2" s="444" t="s">
        <v>250</v>
      </c>
      <c r="B2" s="445"/>
      <c r="C2" s="445"/>
      <c r="D2" s="445"/>
      <c r="E2" s="445"/>
      <c r="F2" s="446"/>
    </row>
    <row r="3" spans="1:6" ht="18.95" customHeight="1">
      <c r="A3" s="627" t="s">
        <v>664</v>
      </c>
      <c r="B3" s="628"/>
      <c r="C3" s="628"/>
      <c r="D3" s="628"/>
      <c r="E3" s="628"/>
      <c r="F3" s="629"/>
    </row>
    <row r="4" spans="1:6" ht="18.95" customHeight="1">
      <c r="A4" s="630" t="s">
        <v>537</v>
      </c>
      <c r="B4" s="631"/>
      <c r="C4" s="631"/>
      <c r="D4" s="631"/>
      <c r="E4" s="631"/>
      <c r="F4" s="632"/>
    </row>
    <row r="5" spans="1:6" ht="18.95" customHeight="1">
      <c r="A5" s="448"/>
      <c r="B5" s="449"/>
      <c r="C5" s="449"/>
      <c r="D5" s="449"/>
      <c r="E5" s="449"/>
      <c r="F5" s="450"/>
    </row>
    <row r="6" spans="1:6" ht="18.95" customHeight="1">
      <c r="A6" s="451" t="s">
        <v>357</v>
      </c>
      <c r="B6" s="624">
        <f>'Performance Data Sheet'!C17</f>
        <v>0</v>
      </c>
      <c r="C6" s="625"/>
      <c r="D6" s="626"/>
      <c r="E6" s="451" t="s">
        <v>358</v>
      </c>
      <c r="F6" s="452" t="str">
        <f>'Performance Data Sheet'!I14 &amp; " A"</f>
        <v>115 A</v>
      </c>
    </row>
    <row r="7" spans="1:6" ht="18.95" customHeight="1">
      <c r="A7" s="451" t="s">
        <v>359</v>
      </c>
      <c r="B7" s="452" t="str">
        <f>'Performance Data Sheet'!F14</f>
        <v>TEFC</v>
      </c>
      <c r="C7" s="451" t="s">
        <v>360</v>
      </c>
      <c r="D7" s="452" t="str">
        <f>'Performance Data Sheet'!F13 &amp; " V"</f>
        <v>4000 V</v>
      </c>
      <c r="E7" s="451" t="s">
        <v>361</v>
      </c>
      <c r="F7" s="452" t="str">
        <f>'Performance Data Sheet'!C14</f>
        <v>6811US</v>
      </c>
    </row>
    <row r="8" spans="1:6" ht="18.95" customHeight="1">
      <c r="A8" s="451" t="s">
        <v>362</v>
      </c>
      <c r="B8" s="452">
        <v>4</v>
      </c>
      <c r="C8" s="451" t="s">
        <v>363</v>
      </c>
      <c r="D8" s="452" t="s">
        <v>364</v>
      </c>
      <c r="E8" s="451" t="s">
        <v>365</v>
      </c>
      <c r="F8" s="452" t="s">
        <v>332</v>
      </c>
    </row>
    <row r="9" spans="1:6" ht="18.95" customHeight="1">
      <c r="A9" s="451" t="s">
        <v>366</v>
      </c>
      <c r="B9" s="452">
        <v>900</v>
      </c>
      <c r="C9" s="451" t="s">
        <v>367</v>
      </c>
      <c r="D9" s="452" t="s">
        <v>378</v>
      </c>
      <c r="E9" s="451" t="s">
        <v>2</v>
      </c>
      <c r="F9" s="453">
        <f>'Performance Data Sheet'!K44</f>
        <v>43973</v>
      </c>
    </row>
    <row r="10" spans="1:6" ht="18.95" customHeight="1">
      <c r="A10" s="451" t="s">
        <v>368</v>
      </c>
      <c r="B10" s="452">
        <v>1785</v>
      </c>
      <c r="C10" s="451" t="s">
        <v>348</v>
      </c>
      <c r="D10" s="452" t="s">
        <v>369</v>
      </c>
      <c r="E10" s="451" t="s">
        <v>1</v>
      </c>
      <c r="F10" s="452" t="s">
        <v>335</v>
      </c>
    </row>
    <row r="11" spans="1:6" ht="18.95" customHeight="1">
      <c r="A11" s="448"/>
      <c r="B11" s="449"/>
      <c r="C11" s="449"/>
      <c r="D11" s="449"/>
      <c r="E11" s="449"/>
      <c r="F11" s="450"/>
    </row>
    <row r="12" spans="1:6" ht="18.95" customHeight="1">
      <c r="A12" s="448"/>
      <c r="B12" s="454"/>
      <c r="C12" s="455"/>
      <c r="D12" s="454"/>
      <c r="E12" s="455"/>
      <c r="F12" s="450"/>
    </row>
    <row r="13" spans="1:6" ht="18.95" customHeight="1">
      <c r="A13" s="448"/>
      <c r="B13" s="454"/>
      <c r="C13" s="456"/>
      <c r="D13" s="454"/>
      <c r="E13" s="455"/>
      <c r="F13" s="450"/>
    </row>
    <row r="14" spans="1:6" ht="18.95" customHeight="1">
      <c r="A14" s="448"/>
      <c r="B14" s="454"/>
      <c r="C14" s="456"/>
      <c r="D14" s="454"/>
      <c r="E14" s="455"/>
      <c r="F14" s="450"/>
    </row>
    <row r="15" spans="1:6" ht="18.95" customHeight="1">
      <c r="A15" s="448"/>
      <c r="B15" s="454"/>
      <c r="C15" s="455"/>
      <c r="D15" s="449"/>
      <c r="E15" s="449"/>
      <c r="F15" s="450"/>
    </row>
    <row r="16" spans="1:6" ht="18.95" customHeight="1">
      <c r="A16" s="448"/>
      <c r="B16" s="449"/>
      <c r="C16" s="449"/>
      <c r="D16" s="449"/>
      <c r="E16" s="449"/>
      <c r="F16" s="450"/>
    </row>
    <row r="17" spans="1:6" ht="18.95" customHeight="1">
      <c r="A17" s="448"/>
      <c r="B17" s="449"/>
      <c r="C17" s="449"/>
      <c r="D17" s="449"/>
      <c r="E17" s="449"/>
      <c r="F17" s="450"/>
    </row>
    <row r="18" spans="1:6" ht="18.95" customHeight="1">
      <c r="A18" s="448"/>
      <c r="B18" s="449"/>
      <c r="C18" s="449"/>
      <c r="D18" s="449"/>
      <c r="E18" s="449"/>
      <c r="F18" s="450"/>
    </row>
    <row r="19" spans="1:6" ht="18.95" customHeight="1">
      <c r="A19" s="448"/>
      <c r="B19" s="449"/>
      <c r="C19" s="449"/>
      <c r="D19" s="449"/>
      <c r="E19" s="449"/>
      <c r="F19" s="450"/>
    </row>
    <row r="20" spans="1:6" ht="18.95" customHeight="1">
      <c r="A20" s="448"/>
      <c r="B20" s="449"/>
      <c r="C20" s="449"/>
      <c r="D20" s="449"/>
      <c r="E20" s="449"/>
      <c r="F20" s="450"/>
    </row>
    <row r="21" spans="1:6" ht="18.95" customHeight="1">
      <c r="A21" s="448"/>
      <c r="B21" s="449"/>
      <c r="C21" s="449"/>
      <c r="D21" s="449"/>
      <c r="E21" s="449"/>
      <c r="F21" s="450"/>
    </row>
    <row r="22" spans="1:6" ht="18.95" customHeight="1">
      <c r="A22" s="448"/>
      <c r="B22" s="449"/>
      <c r="C22" s="449"/>
      <c r="D22" s="449"/>
      <c r="E22" s="449"/>
      <c r="F22" s="450"/>
    </row>
    <row r="23" spans="1:6" ht="18.95" customHeight="1">
      <c r="A23" s="448"/>
      <c r="B23" s="449"/>
      <c r="C23" s="449"/>
      <c r="D23" s="449"/>
      <c r="E23" s="449"/>
      <c r="F23" s="450"/>
    </row>
    <row r="24" spans="1:6" ht="18.95" customHeight="1">
      <c r="A24" s="448"/>
      <c r="B24" s="449"/>
      <c r="C24" s="449"/>
      <c r="D24" s="449"/>
      <c r="E24" s="449"/>
      <c r="F24" s="450"/>
    </row>
    <row r="25" spans="1:6" ht="18.95" customHeight="1">
      <c r="A25" s="448"/>
      <c r="B25" s="449"/>
      <c r="C25" s="449"/>
      <c r="D25" s="449"/>
      <c r="E25" s="449"/>
      <c r="F25" s="450"/>
    </row>
    <row r="26" spans="1:6" ht="18.95" customHeight="1">
      <c r="A26" s="448"/>
      <c r="B26" s="449"/>
      <c r="C26" s="449"/>
      <c r="D26" s="449"/>
      <c r="E26" s="449"/>
      <c r="F26" s="450"/>
    </row>
    <row r="27" spans="1:6" ht="18.95" customHeight="1">
      <c r="A27" s="448"/>
      <c r="B27" s="449"/>
      <c r="C27" s="449"/>
      <c r="D27" s="449"/>
      <c r="E27" s="449"/>
      <c r="F27" s="450"/>
    </row>
    <row r="28" spans="1:6" ht="18.95" customHeight="1">
      <c r="A28" s="448"/>
      <c r="B28" s="449"/>
      <c r="C28" s="449"/>
      <c r="D28" s="449"/>
      <c r="E28" s="449"/>
      <c r="F28" s="450"/>
    </row>
    <row r="29" spans="1:6" ht="18.95" customHeight="1">
      <c r="A29" s="448"/>
      <c r="B29" s="449"/>
      <c r="C29" s="449"/>
      <c r="D29" s="449"/>
      <c r="E29" s="449"/>
      <c r="F29" s="450"/>
    </row>
    <row r="30" spans="1:6" ht="18.95" customHeight="1">
      <c r="A30" s="448"/>
      <c r="B30" s="449"/>
      <c r="C30" s="449"/>
      <c r="D30" s="449"/>
      <c r="E30" s="449"/>
      <c r="F30" s="450"/>
    </row>
    <row r="31" spans="1:6" ht="18.95" customHeight="1">
      <c r="A31" s="448"/>
      <c r="B31" s="449"/>
      <c r="C31" s="449"/>
      <c r="D31" s="449"/>
      <c r="E31" s="449"/>
      <c r="F31" s="450"/>
    </row>
    <row r="32" spans="1:6" ht="18.95" customHeight="1">
      <c r="A32" s="448"/>
      <c r="B32" s="449"/>
      <c r="C32" s="449"/>
      <c r="D32" s="449"/>
      <c r="E32" s="449"/>
      <c r="F32" s="450"/>
    </row>
    <row r="33" spans="1:6" ht="18.95" customHeight="1">
      <c r="A33" s="448"/>
      <c r="B33" s="449"/>
      <c r="C33" s="449"/>
      <c r="D33" s="449"/>
      <c r="E33" s="449"/>
      <c r="F33" s="450"/>
    </row>
    <row r="34" spans="1:6" ht="18.95" customHeight="1">
      <c r="A34" s="448"/>
      <c r="B34" s="449"/>
      <c r="C34" s="449"/>
      <c r="D34" s="449"/>
      <c r="E34" s="449"/>
      <c r="F34" s="450"/>
    </row>
    <row r="35" spans="1:6" ht="18.95" customHeight="1">
      <c r="A35" s="448"/>
      <c r="B35" s="449"/>
      <c r="C35" s="449"/>
      <c r="D35" s="449"/>
      <c r="E35" s="449"/>
      <c r="F35" s="450"/>
    </row>
    <row r="36" spans="1:6" ht="18.95" customHeight="1">
      <c r="A36" s="448"/>
      <c r="B36" s="449"/>
      <c r="C36" s="449"/>
      <c r="D36" s="449"/>
      <c r="E36" s="449"/>
      <c r="F36" s="450"/>
    </row>
    <row r="37" spans="1:6" ht="18.95" customHeight="1">
      <c r="A37" s="448"/>
      <c r="B37" s="449"/>
      <c r="C37" s="449"/>
      <c r="D37" s="449"/>
      <c r="E37" s="449"/>
      <c r="F37" s="450"/>
    </row>
    <row r="38" spans="1:6" ht="18.95" customHeight="1">
      <c r="A38" s="448"/>
      <c r="B38" s="449"/>
      <c r="C38" s="449"/>
      <c r="D38" s="449"/>
      <c r="E38" s="449"/>
      <c r="F38" s="450"/>
    </row>
    <row r="39" spans="1:6" ht="18.95" customHeight="1">
      <c r="A39" s="457" t="s">
        <v>374</v>
      </c>
      <c r="B39" s="458" t="s">
        <v>334</v>
      </c>
      <c r="C39" s="458">
        <f>'Performance Data Sheet'!C10</f>
        <v>0</v>
      </c>
      <c r="D39" s="449"/>
      <c r="E39" s="454" t="s">
        <v>375</v>
      </c>
      <c r="F39" s="459" t="str">
        <f>F10</f>
        <v>CS4900U</v>
      </c>
    </row>
    <row r="40" spans="1:6" ht="18.95" customHeight="1">
      <c r="A40" s="448"/>
      <c r="B40" s="458"/>
      <c r="C40" s="458"/>
      <c r="D40" s="449"/>
      <c r="E40" s="449"/>
      <c r="F40" s="450"/>
    </row>
    <row r="41" spans="1:6" ht="18.95" customHeight="1">
      <c r="A41" s="448"/>
      <c r="B41" s="458"/>
      <c r="C41" s="458"/>
      <c r="D41" s="449"/>
      <c r="E41" s="449"/>
      <c r="F41" s="450"/>
    </row>
    <row r="42" spans="1:6" ht="18.95" customHeight="1">
      <c r="A42" s="448"/>
      <c r="B42" s="449"/>
      <c r="C42" s="449"/>
      <c r="D42" s="449"/>
      <c r="E42" s="449"/>
      <c r="F42" s="450"/>
    </row>
    <row r="43" spans="1:6" ht="18.95" customHeight="1">
      <c r="A43" s="460"/>
      <c r="B43" s="458"/>
      <c r="C43" s="461" t="s">
        <v>376</v>
      </c>
      <c r="D43" s="462" t="str">
        <f>'Performance Data Sheet'!K42</f>
        <v>JERRY R</v>
      </c>
      <c r="E43" s="461" t="s">
        <v>377</v>
      </c>
      <c r="F43" s="462"/>
    </row>
    <row r="44" spans="1:6" ht="15" customHeight="1"/>
    <row r="45" spans="1:6" ht="15" customHeight="1"/>
    <row r="46" spans="1:6" ht="15" customHeight="1"/>
    <row r="47" spans="1:6" ht="15" customHeight="1"/>
    <row r="48" spans="1:6" ht="15" customHeight="1"/>
    <row r="49" spans="6:9" ht="15" customHeight="1"/>
    <row r="50" spans="6:9" ht="15" customHeight="1">
      <c r="F50" s="467" t="e">
        <f>5252.1*B50/D53</f>
        <v>#DIV/0!</v>
      </c>
      <c r="G50" s="467"/>
    </row>
    <row r="51" spans="6:9" ht="15" customHeight="1">
      <c r="G51" s="468"/>
    </row>
    <row r="52" spans="6:9" ht="15" customHeight="1"/>
    <row r="53" spans="6:9" ht="15" customHeight="1"/>
    <row r="54" spans="6:9" ht="15" customHeight="1"/>
    <row r="55" spans="6:9" ht="15" customHeight="1"/>
    <row r="56" spans="6:9" ht="15" customHeight="1"/>
    <row r="62" spans="6:9">
      <c r="I62" s="469"/>
    </row>
    <row r="63" spans="6:9">
      <c r="I63" s="470" t="s">
        <v>39</v>
      </c>
    </row>
    <row r="64" spans="6:9">
      <c r="I64" s="470"/>
    </row>
    <row r="65" spans="1:9">
      <c r="I65" s="470"/>
    </row>
    <row r="66" spans="1:9">
      <c r="D66" s="467" t="e">
        <f>D65/D64</f>
        <v>#DIV/0!</v>
      </c>
    </row>
    <row r="67" spans="1:9">
      <c r="A67" s="471" t="s">
        <v>344</v>
      </c>
      <c r="B67" s="471" t="s">
        <v>538</v>
      </c>
      <c r="C67" s="471" t="s">
        <v>539</v>
      </c>
      <c r="E67" s="471" t="s">
        <v>540</v>
      </c>
      <c r="F67" s="471" t="s">
        <v>541</v>
      </c>
    </row>
    <row r="68" spans="1:9">
      <c r="A68" s="472">
        <v>645.21739130434787</v>
      </c>
      <c r="B68" s="473">
        <v>35</v>
      </c>
      <c r="C68" s="473">
        <v>15</v>
      </c>
      <c r="E68" s="472">
        <f>A68</f>
        <v>645.21739130434787</v>
      </c>
      <c r="F68" s="473">
        <v>1E-4</v>
      </c>
    </row>
    <row r="69" spans="1:9">
      <c r="A69" s="472">
        <f>FLOOR(A68,100)</f>
        <v>600</v>
      </c>
      <c r="B69" s="473">
        <f>((A68/A69)^2)*B68</f>
        <v>40.474144087376615</v>
      </c>
      <c r="C69" s="473">
        <f>((A68/A69)^2)*C68</f>
        <v>17.346061751732837</v>
      </c>
      <c r="E69" s="472">
        <v>643.82608695652175</v>
      </c>
      <c r="F69" s="473">
        <v>0.95099997520446777</v>
      </c>
    </row>
    <row r="70" spans="1:9">
      <c r="A70" s="472">
        <f>A69-100</f>
        <v>500</v>
      </c>
      <c r="B70" s="473">
        <f>((A68/A70)^2)*B68</f>
        <v>58.282767485822312</v>
      </c>
      <c r="C70" s="473">
        <f>((A68/A70)^2)*C68</f>
        <v>24.978328922495276</v>
      </c>
      <c r="E70" s="472">
        <v>640.86956521739125</v>
      </c>
      <c r="F70" s="473">
        <v>1.8009999990463257</v>
      </c>
    </row>
    <row r="71" spans="1:9">
      <c r="A71" s="472">
        <f>A70-100</f>
        <v>400</v>
      </c>
      <c r="B71" s="473">
        <f>((A68/A71)^2)*B68</f>
        <v>91.066824196597352</v>
      </c>
      <c r="C71" s="473">
        <f>((A68/A71)^2)*C68</f>
        <v>39.028638941398867</v>
      </c>
      <c r="E71" s="472">
        <v>637.304347826087</v>
      </c>
      <c r="F71" s="473">
        <v>2.6150000095367432</v>
      </c>
    </row>
    <row r="72" spans="1:9">
      <c r="A72" s="472">
        <f>A71-100</f>
        <v>300</v>
      </c>
      <c r="B72" s="473">
        <f>((A68/A72)^2)*B68</f>
        <v>161.89657634950646</v>
      </c>
      <c r="C72" s="473"/>
      <c r="E72" s="472">
        <v>632.86956521739125</v>
      </c>
      <c r="F72" s="473">
        <v>3.4289999008178711</v>
      </c>
    </row>
    <row r="73" spans="1:9">
      <c r="A73" s="472">
        <f>A72-100</f>
        <v>200</v>
      </c>
      <c r="B73" s="473">
        <f>((A68/A73)^2)*B68</f>
        <v>364.26729678638941</v>
      </c>
      <c r="C73" s="473"/>
      <c r="E73" s="472">
        <v>627.304347826087</v>
      </c>
      <c r="F73" s="473">
        <v>4.2750000953674316</v>
      </c>
    </row>
    <row r="74" spans="1:9">
      <c r="A74" s="472">
        <v>220</v>
      </c>
      <c r="B74" s="473">
        <f>((A68/A74)^2)*B68</f>
        <v>301.04735271602436</v>
      </c>
      <c r="C74" s="473">
        <f>((A68/A74)^2)*C68</f>
        <v>129.02029402115332</v>
      </c>
      <c r="E74" s="472">
        <v>620.26086956521738</v>
      </c>
      <c r="F74" s="473">
        <v>5.1820001602172852</v>
      </c>
    </row>
    <row r="75" spans="1:9">
      <c r="A75" s="474">
        <v>180</v>
      </c>
      <c r="B75" s="473">
        <f>((A68/A75)^2)*B69</f>
        <v>520.04963162086449</v>
      </c>
      <c r="C75" s="473">
        <f>((A68/A75)^2)*C68</f>
        <v>192.73401946369813</v>
      </c>
      <c r="E75" s="472">
        <v>611.56521739130437</v>
      </c>
      <c r="F75" s="473">
        <v>6.2179999351501465</v>
      </c>
    </row>
    <row r="76" spans="1:9">
      <c r="A76" s="474">
        <v>145</v>
      </c>
      <c r="B76" s="473">
        <f>((A68/A76)^2)*B68</f>
        <v>693.01744929634151</v>
      </c>
      <c r="C76" s="473">
        <f>((A68/A76)^2)*C68</f>
        <v>297.00747826986066</v>
      </c>
      <c r="E76" s="472">
        <v>600.43478260869563</v>
      </c>
      <c r="F76" s="473">
        <v>7.434999942779541</v>
      </c>
    </row>
    <row r="77" spans="1:9">
      <c r="A77" s="474">
        <v>125</v>
      </c>
      <c r="B77" s="473"/>
      <c r="C77" s="472">
        <f>CEILING(C76*2,100)</f>
        <v>600</v>
      </c>
      <c r="E77" s="472">
        <v>589.91304347826087</v>
      </c>
      <c r="F77" s="473">
        <v>8.1280002593994141</v>
      </c>
    </row>
    <row r="78" spans="1:9">
      <c r="A78" s="474">
        <v>125</v>
      </c>
      <c r="B78" s="473"/>
      <c r="C78" s="472">
        <f>2*C77</f>
        <v>1200</v>
      </c>
      <c r="E78" s="472">
        <v>577.6521739130435</v>
      </c>
      <c r="F78" s="473">
        <v>8.7770004272460938</v>
      </c>
    </row>
    <row r="79" spans="1:9">
      <c r="A79" s="474">
        <v>125</v>
      </c>
      <c r="B79" s="474"/>
      <c r="C79" s="474">
        <v>10000</v>
      </c>
      <c r="E79" s="472">
        <v>541.39130434782612</v>
      </c>
      <c r="F79" s="473">
        <v>9.2160005569458008</v>
      </c>
    </row>
    <row r="80" spans="1:9">
      <c r="E80" s="472">
        <v>357.39130434782606</v>
      </c>
      <c r="F80" s="473">
        <v>9.508000373840332</v>
      </c>
    </row>
    <row r="81" spans="5:6">
      <c r="E81" s="472">
        <v>0</v>
      </c>
      <c r="F81" s="473">
        <v>9.5650005340576172</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7"/>
  <sheetViews>
    <sheetView workbookViewId="0">
      <selection activeCell="K45" sqref="K45"/>
    </sheetView>
  </sheetViews>
  <sheetFormatPr defaultColWidth="8.85546875" defaultRowHeight="12.75"/>
  <cols>
    <col min="1" max="6" width="16.7109375" style="443" customWidth="1"/>
    <col min="7" max="16384" width="8.85546875" style="443"/>
  </cols>
  <sheetData>
    <row r="1" spans="1:6" ht="18.95" customHeight="1">
      <c r="A1" s="440"/>
      <c r="B1" s="441"/>
      <c r="C1" s="441"/>
      <c r="D1" s="441"/>
      <c r="E1" s="441"/>
      <c r="F1" s="442"/>
    </row>
    <row r="2" spans="1:6" ht="26.1" customHeight="1">
      <c r="A2" s="444" t="s">
        <v>250</v>
      </c>
      <c r="B2" s="445"/>
      <c r="C2" s="445"/>
      <c r="D2" s="445"/>
      <c r="E2" s="445"/>
      <c r="F2" s="446"/>
    </row>
    <row r="3" spans="1:6" ht="18.95" customHeight="1">
      <c r="A3" s="447" t="s">
        <v>665</v>
      </c>
      <c r="B3" s="445"/>
      <c r="C3" s="445"/>
      <c r="D3" s="445"/>
      <c r="E3" s="445"/>
      <c r="F3" s="446"/>
    </row>
    <row r="4" spans="1:6" ht="18.95" customHeight="1">
      <c r="A4" s="630" t="s">
        <v>537</v>
      </c>
      <c r="B4" s="631"/>
      <c r="C4" s="631"/>
      <c r="D4" s="631"/>
      <c r="E4" s="631"/>
      <c r="F4" s="632"/>
    </row>
    <row r="5" spans="1:6" ht="18.95" customHeight="1">
      <c r="A5" s="448"/>
      <c r="B5" s="449"/>
      <c r="C5" s="449"/>
      <c r="D5" s="449"/>
      <c r="E5" s="449"/>
      <c r="F5" s="450"/>
    </row>
    <row r="6" spans="1:6" ht="18.95" customHeight="1">
      <c r="A6" s="451" t="s">
        <v>357</v>
      </c>
      <c r="B6" s="624">
        <f>'Performance Data Sheet'!C17</f>
        <v>0</v>
      </c>
      <c r="C6" s="625"/>
      <c r="D6" s="626"/>
      <c r="E6" s="451" t="s">
        <v>358</v>
      </c>
      <c r="F6" s="452" t="str">
        <f>'Performance Data Sheet'!I14 &amp; " A"</f>
        <v>115 A</v>
      </c>
    </row>
    <row r="7" spans="1:6" ht="18.95" customHeight="1">
      <c r="A7" s="451" t="s">
        <v>359</v>
      </c>
      <c r="B7" s="452" t="str">
        <f>'Performance Data Sheet'!F14</f>
        <v>TEFC</v>
      </c>
      <c r="C7" s="451" t="s">
        <v>360</v>
      </c>
      <c r="D7" s="452" t="str">
        <f>'Performance Data Sheet'!F13 &amp; " V"</f>
        <v>4000 V</v>
      </c>
      <c r="E7" s="451" t="s">
        <v>361</v>
      </c>
      <c r="F7" s="452" t="str">
        <f>'Performance Data Sheet'!C14</f>
        <v>6811US</v>
      </c>
    </row>
    <row r="8" spans="1:6" ht="18.95" customHeight="1">
      <c r="A8" s="451" t="s">
        <v>362</v>
      </c>
      <c r="B8" s="452">
        <v>4</v>
      </c>
      <c r="C8" s="451" t="s">
        <v>363</v>
      </c>
      <c r="D8" s="452" t="s">
        <v>364</v>
      </c>
      <c r="E8" s="451" t="s">
        <v>365</v>
      </c>
      <c r="F8" s="452" t="s">
        <v>332</v>
      </c>
    </row>
    <row r="9" spans="1:6" ht="18.95" customHeight="1">
      <c r="A9" s="451" t="s">
        <v>366</v>
      </c>
      <c r="B9" s="452">
        <v>900</v>
      </c>
      <c r="C9" s="451" t="s">
        <v>367</v>
      </c>
      <c r="D9" s="452" t="s">
        <v>378</v>
      </c>
      <c r="E9" s="451" t="s">
        <v>2</v>
      </c>
      <c r="F9" s="453">
        <f>'Performance Data Sheet'!K44</f>
        <v>43973</v>
      </c>
    </row>
    <row r="10" spans="1:6" ht="18.95" customHeight="1">
      <c r="A10" s="451" t="s">
        <v>368</v>
      </c>
      <c r="B10" s="452">
        <v>1785</v>
      </c>
      <c r="C10" s="451" t="s">
        <v>348</v>
      </c>
      <c r="D10" s="452" t="s">
        <v>369</v>
      </c>
      <c r="E10" s="451" t="s">
        <v>1</v>
      </c>
      <c r="F10" s="452" t="s">
        <v>335</v>
      </c>
    </row>
    <row r="11" spans="1:6" ht="18.95" customHeight="1">
      <c r="A11" s="448"/>
      <c r="B11" s="449"/>
      <c r="C11" s="449"/>
      <c r="D11" s="449"/>
      <c r="E11" s="449"/>
      <c r="F11" s="450"/>
    </row>
    <row r="12" spans="1:6" ht="18.95" customHeight="1">
      <c r="A12" s="448"/>
      <c r="B12" s="454" t="s">
        <v>370</v>
      </c>
      <c r="C12" s="455" t="str">
        <f>'Performance Data Sheet'!D22 &amp; "A"</f>
        <v>742A</v>
      </c>
      <c r="D12" s="454" t="s">
        <v>347</v>
      </c>
      <c r="E12" s="455" t="s">
        <v>369</v>
      </c>
      <c r="F12" s="450"/>
    </row>
    <row r="13" spans="1:6" ht="18.95" customHeight="1">
      <c r="A13" s="448"/>
      <c r="B13" s="454" t="s">
        <v>371</v>
      </c>
      <c r="C13" s="456">
        <v>1.1499999999999999</v>
      </c>
      <c r="D13" s="454" t="s">
        <v>372</v>
      </c>
      <c r="E13" s="455" t="s">
        <v>369</v>
      </c>
      <c r="F13" s="450"/>
    </row>
    <row r="14" spans="1:6" ht="18.95" customHeight="1">
      <c r="A14" s="448"/>
      <c r="B14" s="454" t="s">
        <v>373</v>
      </c>
      <c r="C14" s="456">
        <v>2.2000000000000002</v>
      </c>
      <c r="D14" s="454" t="s">
        <v>349</v>
      </c>
      <c r="E14" s="455" t="s">
        <v>369</v>
      </c>
      <c r="F14" s="450"/>
    </row>
    <row r="15" spans="1:6" ht="18.95" customHeight="1">
      <c r="A15" s="448"/>
      <c r="B15" s="454" t="s">
        <v>350</v>
      </c>
      <c r="C15" s="455" t="s">
        <v>379</v>
      </c>
      <c r="D15" s="449"/>
      <c r="E15" s="449"/>
      <c r="F15" s="450"/>
    </row>
    <row r="16" spans="1:6" ht="18.95" customHeight="1">
      <c r="A16" s="448"/>
      <c r="B16" s="449"/>
      <c r="C16" s="449"/>
      <c r="D16" s="449"/>
      <c r="E16" s="449"/>
      <c r="F16" s="450"/>
    </row>
    <row r="17" spans="1:8" ht="18.95" customHeight="1">
      <c r="A17" s="448"/>
      <c r="B17" s="449"/>
      <c r="C17" s="449"/>
      <c r="D17" s="449"/>
      <c r="E17" s="449"/>
      <c r="F17" s="450"/>
    </row>
    <row r="18" spans="1:8" ht="18.95" customHeight="1">
      <c r="A18" s="448"/>
      <c r="B18" s="449"/>
      <c r="C18" s="449"/>
      <c r="D18" s="449"/>
      <c r="E18" s="449"/>
      <c r="F18" s="450"/>
    </row>
    <row r="19" spans="1:8" ht="18.95" customHeight="1">
      <c r="A19" s="448"/>
      <c r="B19" s="449"/>
      <c r="C19" s="449"/>
      <c r="D19" s="449"/>
      <c r="E19" s="449"/>
      <c r="F19" s="450"/>
    </row>
    <row r="20" spans="1:8" ht="18.95" customHeight="1">
      <c r="A20" s="448"/>
      <c r="B20" s="449"/>
      <c r="C20" s="449"/>
      <c r="D20" s="449"/>
      <c r="E20" s="449"/>
      <c r="F20" s="450"/>
    </row>
    <row r="21" spans="1:8" ht="18.95" customHeight="1">
      <c r="A21" s="448"/>
      <c r="B21" s="449"/>
      <c r="C21" s="449"/>
      <c r="D21" s="449"/>
      <c r="E21" s="449"/>
      <c r="F21" s="450"/>
    </row>
    <row r="22" spans="1:8" ht="18.95" customHeight="1">
      <c r="A22" s="448"/>
      <c r="B22" s="449"/>
      <c r="C22" s="449"/>
      <c r="D22" s="449"/>
      <c r="E22" s="449"/>
      <c r="F22" s="450"/>
    </row>
    <row r="23" spans="1:8" ht="18.95" customHeight="1">
      <c r="A23" s="448"/>
      <c r="B23" s="449"/>
      <c r="C23" s="449"/>
      <c r="D23" s="449"/>
      <c r="E23" s="449"/>
      <c r="F23" s="450"/>
    </row>
    <row r="24" spans="1:8" ht="18.95" customHeight="1">
      <c r="A24" s="448"/>
      <c r="B24" s="449"/>
      <c r="C24" s="449"/>
      <c r="D24" s="449"/>
      <c r="E24" s="449"/>
      <c r="F24" s="450"/>
      <c r="H24" s="475"/>
    </row>
    <row r="25" spans="1:8" ht="18.95" customHeight="1">
      <c r="A25" s="448"/>
      <c r="B25" s="449"/>
      <c r="C25" s="449"/>
      <c r="D25" s="449"/>
      <c r="E25" s="449"/>
      <c r="F25" s="450"/>
    </row>
    <row r="26" spans="1:8" ht="18.95" customHeight="1">
      <c r="A26" s="448"/>
      <c r="B26" s="449"/>
      <c r="C26" s="449"/>
      <c r="D26" s="449"/>
      <c r="E26" s="449"/>
      <c r="F26" s="450"/>
    </row>
    <row r="27" spans="1:8" ht="18.95" customHeight="1">
      <c r="A27" s="448"/>
      <c r="B27" s="449"/>
      <c r="C27" s="449"/>
      <c r="D27" s="449"/>
      <c r="E27" s="449"/>
      <c r="F27" s="450"/>
    </row>
    <row r="28" spans="1:8" ht="18.95" customHeight="1">
      <c r="A28" s="448"/>
      <c r="B28" s="449"/>
      <c r="C28" s="449"/>
      <c r="D28" s="449"/>
      <c r="E28" s="449"/>
      <c r="F28" s="450"/>
    </row>
    <row r="29" spans="1:8" ht="18.95" customHeight="1">
      <c r="A29" s="448"/>
      <c r="B29" s="449"/>
      <c r="C29" s="449"/>
      <c r="D29" s="449"/>
      <c r="E29" s="449"/>
      <c r="F29" s="450"/>
    </row>
    <row r="30" spans="1:8" ht="18.95" customHeight="1">
      <c r="A30" s="448"/>
      <c r="B30" s="449"/>
      <c r="C30" s="449"/>
      <c r="D30" s="449"/>
      <c r="E30" s="449"/>
      <c r="F30" s="450"/>
    </row>
    <row r="31" spans="1:8" ht="18.95" customHeight="1">
      <c r="A31" s="448"/>
      <c r="B31" s="449"/>
      <c r="C31" s="449"/>
      <c r="D31" s="449"/>
      <c r="E31" s="449"/>
      <c r="F31" s="450"/>
    </row>
    <row r="32" spans="1:8" ht="18.95" customHeight="1">
      <c r="A32" s="448"/>
      <c r="B32" s="449"/>
      <c r="C32" s="449"/>
      <c r="D32" s="449"/>
      <c r="E32" s="449"/>
      <c r="F32" s="450"/>
    </row>
    <row r="33" spans="1:6" ht="18.95" customHeight="1">
      <c r="A33" s="448"/>
      <c r="B33" s="449"/>
      <c r="C33" s="449"/>
      <c r="D33" s="449"/>
      <c r="E33" s="449"/>
      <c r="F33" s="450"/>
    </row>
    <row r="34" spans="1:6" ht="18.95" customHeight="1">
      <c r="A34" s="448"/>
      <c r="B34" s="449"/>
      <c r="C34" s="449"/>
      <c r="D34" s="449"/>
      <c r="E34" s="449"/>
      <c r="F34" s="450"/>
    </row>
    <row r="35" spans="1:6" ht="18.95" customHeight="1">
      <c r="A35" s="448"/>
      <c r="B35" s="449"/>
      <c r="C35" s="449"/>
      <c r="D35" s="449"/>
      <c r="E35" s="449"/>
      <c r="F35" s="450"/>
    </row>
    <row r="36" spans="1:6" ht="18.95" customHeight="1">
      <c r="A36" s="448"/>
      <c r="B36" s="449"/>
      <c r="C36" s="449"/>
      <c r="D36" s="449"/>
      <c r="E36" s="449"/>
      <c r="F36" s="450"/>
    </row>
    <row r="37" spans="1:6" ht="18.95" customHeight="1">
      <c r="A37" s="448"/>
      <c r="B37" s="449"/>
      <c r="C37" s="449"/>
      <c r="D37" s="449"/>
      <c r="E37" s="449"/>
      <c r="F37" s="450"/>
    </row>
    <row r="38" spans="1:6" ht="18.95" customHeight="1">
      <c r="A38" s="448"/>
      <c r="B38" s="449"/>
      <c r="C38" s="449"/>
      <c r="D38" s="449"/>
      <c r="E38" s="449"/>
      <c r="F38" s="450"/>
    </row>
    <row r="39" spans="1:6" ht="18.95" customHeight="1">
      <c r="A39" s="457" t="s">
        <v>374</v>
      </c>
      <c r="B39" s="458" t="s">
        <v>334</v>
      </c>
      <c r="C39" s="458">
        <f>'Performance Data Sheet'!C10</f>
        <v>0</v>
      </c>
      <c r="D39" s="449"/>
      <c r="E39" s="454" t="s">
        <v>375</v>
      </c>
      <c r="F39" s="459" t="str">
        <f>F10</f>
        <v>CS4900U</v>
      </c>
    </row>
    <row r="40" spans="1:6" ht="18.95" customHeight="1">
      <c r="A40" s="448"/>
      <c r="B40" s="458"/>
      <c r="C40" s="458"/>
      <c r="D40" s="449"/>
      <c r="E40" s="449"/>
      <c r="F40" s="450"/>
    </row>
    <row r="41" spans="1:6" ht="18.95" customHeight="1">
      <c r="A41" s="448"/>
      <c r="B41" s="458"/>
      <c r="C41" s="458"/>
      <c r="D41" s="449"/>
      <c r="E41" s="449"/>
      <c r="F41" s="450"/>
    </row>
    <row r="42" spans="1:6" ht="18.95" customHeight="1">
      <c r="A42" s="448"/>
      <c r="B42" s="449"/>
      <c r="C42" s="449"/>
      <c r="D42" s="449"/>
      <c r="E42" s="449"/>
      <c r="F42" s="450"/>
    </row>
    <row r="43" spans="1:6" ht="18.95" customHeight="1">
      <c r="A43" s="460"/>
      <c r="B43" s="458"/>
      <c r="C43" s="461" t="s">
        <v>376</v>
      </c>
      <c r="D43" s="462" t="str">
        <f>'Performance Data Sheet'!K42</f>
        <v>JERRY R</v>
      </c>
      <c r="E43" s="461" t="s">
        <v>377</v>
      </c>
      <c r="F43" s="462"/>
    </row>
    <row r="44" spans="1:6" ht="15" customHeight="1"/>
    <row r="45" spans="1:6" ht="15" customHeight="1"/>
    <row r="46" spans="1:6" ht="15" customHeight="1"/>
    <row r="47" spans="1:6" ht="15" customHeight="1"/>
    <row r="48" spans="1:6" ht="15" customHeight="1"/>
    <row r="49" spans="1:6" ht="15" customHeight="1"/>
    <row r="50" spans="1:6" ht="15" customHeight="1"/>
    <row r="51" spans="1:6" ht="15" customHeight="1"/>
    <row r="52" spans="1:6" ht="15" customHeight="1" thickBot="1"/>
    <row r="53" spans="1:6" ht="15" customHeight="1" thickBot="1">
      <c r="A53" s="476" t="s">
        <v>346</v>
      </c>
      <c r="B53" s="476" t="s">
        <v>142</v>
      </c>
      <c r="C53" s="476" t="s">
        <v>120</v>
      </c>
      <c r="D53" s="476" t="s">
        <v>135</v>
      </c>
      <c r="E53" s="476" t="s">
        <v>5</v>
      </c>
      <c r="F53" s="477" t="s">
        <v>666</v>
      </c>
    </row>
    <row r="54" spans="1:6" ht="15" customHeight="1">
      <c r="A54" s="478">
        <v>0</v>
      </c>
      <c r="B54" s="479"/>
      <c r="C54" s="480"/>
      <c r="D54" s="480">
        <v>24.756169503273185</v>
      </c>
      <c r="E54" s="480">
        <v>100</v>
      </c>
      <c r="F54" s="481">
        <v>2</v>
      </c>
    </row>
    <row r="55" spans="1:6" ht="15" customHeight="1">
      <c r="A55" s="482">
        <v>25</v>
      </c>
      <c r="B55" s="483">
        <v>88.413520812988281</v>
      </c>
      <c r="C55" s="484">
        <v>70.36944580078125</v>
      </c>
      <c r="D55" s="484">
        <v>39.0845947265625</v>
      </c>
      <c r="E55" s="484">
        <v>84.677674035200354</v>
      </c>
      <c r="F55" s="485">
        <v>10.58583463557073</v>
      </c>
    </row>
    <row r="56" spans="1:6" ht="15" customHeight="1">
      <c r="A56" s="482">
        <v>50</v>
      </c>
      <c r="B56" s="483">
        <v>92.758468627929688</v>
      </c>
      <c r="C56" s="484">
        <v>85.121925354003906</v>
      </c>
      <c r="D56" s="484">
        <v>61.594711303710938</v>
      </c>
      <c r="E56" s="484">
        <v>71.803995487071674</v>
      </c>
      <c r="F56" s="485">
        <v>20.179956407016018</v>
      </c>
    </row>
    <row r="57" spans="1:6">
      <c r="A57" s="482">
        <v>75</v>
      </c>
      <c r="B57" s="483">
        <v>94.115341186523438</v>
      </c>
      <c r="C57" s="484">
        <v>88.719436645507813</v>
      </c>
      <c r="D57" s="484">
        <v>87.367622375488281</v>
      </c>
      <c r="E57" s="484">
        <v>58.68959596554226</v>
      </c>
      <c r="F57" s="485">
        <v>29.833529206344313</v>
      </c>
    </row>
    <row r="58" spans="1:6">
      <c r="A58" s="482">
        <v>100</v>
      </c>
      <c r="B58" s="483">
        <v>94.660614013671875</v>
      </c>
      <c r="C58" s="484">
        <v>89.356277465820313</v>
      </c>
      <c r="D58" s="484">
        <v>114.99369812011719</v>
      </c>
      <c r="E58" s="484">
        <v>44.55910020393835</v>
      </c>
      <c r="F58" s="485">
        <v>39.548907458845164</v>
      </c>
    </row>
    <row r="59" spans="1:6" ht="13.5" thickBot="1">
      <c r="A59" s="486">
        <v>125</v>
      </c>
      <c r="B59" s="487">
        <v>94.851318359375</v>
      </c>
      <c r="C59" s="488">
        <v>88.676322937011719</v>
      </c>
      <c r="D59" s="488">
        <v>144.5531005859375</v>
      </c>
      <c r="E59" s="488">
        <v>30.470279311266747</v>
      </c>
      <c r="F59" s="489">
        <v>49.336738942846246</v>
      </c>
    </row>
    <row r="60" spans="1:6">
      <c r="A60" s="464"/>
      <c r="B60" s="465"/>
      <c r="C60" s="465"/>
    </row>
    <row r="61" spans="1:6">
      <c r="A61" s="464"/>
      <c r="B61" s="465"/>
      <c r="C61" s="465"/>
    </row>
    <row r="62" spans="1:6">
      <c r="A62" s="464"/>
      <c r="B62" s="465"/>
      <c r="C62" s="465"/>
    </row>
    <row r="63" spans="1:6">
      <c r="A63" s="464"/>
      <c r="B63" s="465"/>
      <c r="C63" s="465"/>
    </row>
    <row r="64" spans="1:6">
      <c r="A64" s="464"/>
      <c r="B64" s="465"/>
      <c r="C64" s="465"/>
    </row>
    <row r="65" spans="1:3">
      <c r="A65" s="464"/>
      <c r="B65" s="465"/>
      <c r="C65" s="465"/>
    </row>
    <row r="66" spans="1:3">
      <c r="A66" s="464"/>
      <c r="B66" s="465"/>
      <c r="C66" s="465"/>
    </row>
    <row r="67" spans="1:3">
      <c r="A67" s="466"/>
      <c r="B67" s="465"/>
      <c r="C67" s="465"/>
    </row>
  </sheetData>
  <mergeCells count="2">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7"/>
  <sheetViews>
    <sheetView workbookViewId="0">
      <selection activeCell="D11" sqref="D11"/>
    </sheetView>
  </sheetViews>
  <sheetFormatPr defaultRowHeight="12.75"/>
  <cols>
    <col min="1" max="6" width="16.7109375" style="493" customWidth="1"/>
    <col min="7" max="256" width="8.85546875" style="493"/>
    <col min="257" max="262" width="16.7109375" style="493" customWidth="1"/>
    <col min="263" max="512" width="8.85546875" style="493"/>
    <col min="513" max="518" width="16.7109375" style="493" customWidth="1"/>
    <col min="519" max="768" width="8.85546875" style="493"/>
    <col min="769" max="774" width="16.7109375" style="493" customWidth="1"/>
    <col min="775" max="1024" width="8.85546875" style="493"/>
    <col min="1025" max="1030" width="16.7109375" style="493" customWidth="1"/>
    <col min="1031" max="1280" width="8.85546875" style="493"/>
    <col min="1281" max="1286" width="16.7109375" style="493" customWidth="1"/>
    <col min="1287" max="1536" width="8.85546875" style="493"/>
    <col min="1537" max="1542" width="16.7109375" style="493" customWidth="1"/>
    <col min="1543" max="1792" width="8.85546875" style="493"/>
    <col min="1793" max="1798" width="16.7109375" style="493" customWidth="1"/>
    <col min="1799" max="2048" width="8.85546875" style="493"/>
    <col min="2049" max="2054" width="16.7109375" style="493" customWidth="1"/>
    <col min="2055" max="2304" width="8.85546875" style="493"/>
    <col min="2305" max="2310" width="16.7109375" style="493" customWidth="1"/>
    <col min="2311" max="2560" width="8.85546875" style="493"/>
    <col min="2561" max="2566" width="16.7109375" style="493" customWidth="1"/>
    <col min="2567" max="2816" width="8.85546875" style="493"/>
    <col min="2817" max="2822" width="16.7109375" style="493" customWidth="1"/>
    <col min="2823" max="3072" width="8.85546875" style="493"/>
    <col min="3073" max="3078" width="16.7109375" style="493" customWidth="1"/>
    <col min="3079" max="3328" width="8.85546875" style="493"/>
    <col min="3329" max="3334" width="16.7109375" style="493" customWidth="1"/>
    <col min="3335" max="3584" width="8.85546875" style="493"/>
    <col min="3585" max="3590" width="16.7109375" style="493" customWidth="1"/>
    <col min="3591" max="3840" width="8.85546875" style="493"/>
    <col min="3841" max="3846" width="16.7109375" style="493" customWidth="1"/>
    <col min="3847" max="4096" width="8.85546875" style="493"/>
    <col min="4097" max="4102" width="16.7109375" style="493" customWidth="1"/>
    <col min="4103" max="4352" width="8.85546875" style="493"/>
    <col min="4353" max="4358" width="16.7109375" style="493" customWidth="1"/>
    <col min="4359" max="4608" width="8.85546875" style="493"/>
    <col min="4609" max="4614" width="16.7109375" style="493" customWidth="1"/>
    <col min="4615" max="4864" width="8.85546875" style="493"/>
    <col min="4865" max="4870" width="16.7109375" style="493" customWidth="1"/>
    <col min="4871" max="5120" width="8.85546875" style="493"/>
    <col min="5121" max="5126" width="16.7109375" style="493" customWidth="1"/>
    <col min="5127" max="5376" width="8.85546875" style="493"/>
    <col min="5377" max="5382" width="16.7109375" style="493" customWidth="1"/>
    <col min="5383" max="5632" width="8.85546875" style="493"/>
    <col min="5633" max="5638" width="16.7109375" style="493" customWidth="1"/>
    <col min="5639" max="5888" width="8.85546875" style="493"/>
    <col min="5889" max="5894" width="16.7109375" style="493" customWidth="1"/>
    <col min="5895" max="6144" width="8.85546875" style="493"/>
    <col min="6145" max="6150" width="16.7109375" style="493" customWidth="1"/>
    <col min="6151" max="6400" width="8.85546875" style="493"/>
    <col min="6401" max="6406" width="16.7109375" style="493" customWidth="1"/>
    <col min="6407" max="6656" width="8.85546875" style="493"/>
    <col min="6657" max="6662" width="16.7109375" style="493" customWidth="1"/>
    <col min="6663" max="6912" width="8.85546875" style="493"/>
    <col min="6913" max="6918" width="16.7109375" style="493" customWidth="1"/>
    <col min="6919" max="7168" width="8.85546875" style="493"/>
    <col min="7169" max="7174" width="16.7109375" style="493" customWidth="1"/>
    <col min="7175" max="7424" width="8.85546875" style="493"/>
    <col min="7425" max="7430" width="16.7109375" style="493" customWidth="1"/>
    <col min="7431" max="7680" width="8.85546875" style="493"/>
    <col min="7681" max="7686" width="16.7109375" style="493" customWidth="1"/>
    <col min="7687" max="7936" width="8.85546875" style="493"/>
    <col min="7937" max="7942" width="16.7109375" style="493" customWidth="1"/>
    <col min="7943" max="8192" width="8.85546875" style="493"/>
    <col min="8193" max="8198" width="16.7109375" style="493" customWidth="1"/>
    <col min="8199" max="8448" width="8.85546875" style="493"/>
    <col min="8449" max="8454" width="16.7109375" style="493" customWidth="1"/>
    <col min="8455" max="8704" width="8.85546875" style="493"/>
    <col min="8705" max="8710" width="16.7109375" style="493" customWidth="1"/>
    <col min="8711" max="8960" width="8.85546875" style="493"/>
    <col min="8961" max="8966" width="16.7109375" style="493" customWidth="1"/>
    <col min="8967" max="9216" width="8.85546875" style="493"/>
    <col min="9217" max="9222" width="16.7109375" style="493" customWidth="1"/>
    <col min="9223" max="9472" width="8.85546875" style="493"/>
    <col min="9473" max="9478" width="16.7109375" style="493" customWidth="1"/>
    <col min="9479" max="9728" width="8.85546875" style="493"/>
    <col min="9729" max="9734" width="16.7109375" style="493" customWidth="1"/>
    <col min="9735" max="9984" width="8.85546875" style="493"/>
    <col min="9985" max="9990" width="16.7109375" style="493" customWidth="1"/>
    <col min="9991" max="10240" width="8.85546875" style="493"/>
    <col min="10241" max="10246" width="16.7109375" style="493" customWidth="1"/>
    <col min="10247" max="10496" width="8.85546875" style="493"/>
    <col min="10497" max="10502" width="16.7109375" style="493" customWidth="1"/>
    <col min="10503" max="10752" width="8.85546875" style="493"/>
    <col min="10753" max="10758" width="16.7109375" style="493" customWidth="1"/>
    <col min="10759" max="11008" width="8.85546875" style="493"/>
    <col min="11009" max="11014" width="16.7109375" style="493" customWidth="1"/>
    <col min="11015" max="11264" width="8.85546875" style="493"/>
    <col min="11265" max="11270" width="16.7109375" style="493" customWidth="1"/>
    <col min="11271" max="11520" width="8.85546875" style="493"/>
    <col min="11521" max="11526" width="16.7109375" style="493" customWidth="1"/>
    <col min="11527" max="11776" width="8.85546875" style="493"/>
    <col min="11777" max="11782" width="16.7109375" style="493" customWidth="1"/>
    <col min="11783" max="12032" width="8.85546875" style="493"/>
    <col min="12033" max="12038" width="16.7109375" style="493" customWidth="1"/>
    <col min="12039" max="12288" width="8.85546875" style="493"/>
    <col min="12289" max="12294" width="16.7109375" style="493" customWidth="1"/>
    <col min="12295" max="12544" width="8.85546875" style="493"/>
    <col min="12545" max="12550" width="16.7109375" style="493" customWidth="1"/>
    <col min="12551" max="12800" width="8.85546875" style="493"/>
    <col min="12801" max="12806" width="16.7109375" style="493" customWidth="1"/>
    <col min="12807" max="13056" width="8.85546875" style="493"/>
    <col min="13057" max="13062" width="16.7109375" style="493" customWidth="1"/>
    <col min="13063" max="13312" width="8.85546875" style="493"/>
    <col min="13313" max="13318" width="16.7109375" style="493" customWidth="1"/>
    <col min="13319" max="13568" width="8.85546875" style="493"/>
    <col min="13569" max="13574" width="16.7109375" style="493" customWidth="1"/>
    <col min="13575" max="13824" width="8.85546875" style="493"/>
    <col min="13825" max="13830" width="16.7109375" style="493" customWidth="1"/>
    <col min="13831" max="14080" width="8.85546875" style="493"/>
    <col min="14081" max="14086" width="16.7109375" style="493" customWidth="1"/>
    <col min="14087" max="14336" width="8.85546875" style="493"/>
    <col min="14337" max="14342" width="16.7109375" style="493" customWidth="1"/>
    <col min="14343" max="14592" width="8.85546875" style="493"/>
    <col min="14593" max="14598" width="16.7109375" style="493" customWidth="1"/>
    <col min="14599" max="14848" width="8.85546875" style="493"/>
    <col min="14849" max="14854" width="16.7109375" style="493" customWidth="1"/>
    <col min="14855" max="15104" width="8.85546875" style="493"/>
    <col min="15105" max="15110" width="16.7109375" style="493" customWidth="1"/>
    <col min="15111" max="15360" width="8.85546875" style="493"/>
    <col min="15361" max="15366" width="16.7109375" style="493" customWidth="1"/>
    <col min="15367" max="15616" width="8.85546875" style="493"/>
    <col min="15617" max="15622" width="16.7109375" style="493" customWidth="1"/>
    <col min="15623" max="15872" width="8.85546875" style="493"/>
    <col min="15873" max="15878" width="16.7109375" style="493" customWidth="1"/>
    <col min="15879" max="16128" width="8.85546875" style="493"/>
    <col min="16129" max="16134" width="16.7109375" style="493" customWidth="1"/>
    <col min="16135" max="16384" width="8.85546875" style="493"/>
  </cols>
  <sheetData>
    <row r="1" spans="1:6" ht="18.95" customHeight="1">
      <c r="A1" s="490"/>
      <c r="B1" s="491"/>
      <c r="C1" s="491"/>
      <c r="D1" s="491"/>
      <c r="E1" s="491"/>
      <c r="F1" s="492"/>
    </row>
    <row r="2" spans="1:6" ht="26.1" customHeight="1">
      <c r="A2" s="494" t="s">
        <v>250</v>
      </c>
      <c r="B2" s="495"/>
      <c r="C2" s="495"/>
      <c r="D2" s="495"/>
      <c r="E2" s="495"/>
      <c r="F2" s="496"/>
    </row>
    <row r="3" spans="1:6" ht="18.95" customHeight="1">
      <c r="A3" s="497" t="s">
        <v>665</v>
      </c>
      <c r="B3" s="495"/>
      <c r="C3" s="495"/>
      <c r="D3" s="495"/>
      <c r="E3" s="495"/>
      <c r="F3" s="496"/>
    </row>
    <row r="4" spans="1:6" ht="18.95" customHeight="1">
      <c r="A4" s="633" t="s">
        <v>537</v>
      </c>
      <c r="B4" s="634"/>
      <c r="C4" s="634"/>
      <c r="D4" s="634"/>
      <c r="E4" s="634"/>
      <c r="F4" s="635"/>
    </row>
    <row r="5" spans="1:6" ht="18.95" customHeight="1">
      <c r="A5" s="498"/>
      <c r="B5" s="499"/>
      <c r="C5" s="499"/>
      <c r="D5" s="499"/>
      <c r="E5" s="499"/>
      <c r="F5" s="500"/>
    </row>
    <row r="6" spans="1:6" ht="18.95" customHeight="1">
      <c r="A6" s="501" t="s">
        <v>357</v>
      </c>
      <c r="B6" s="636">
        <f>STCurve!B6</f>
        <v>0</v>
      </c>
      <c r="C6" s="637"/>
      <c r="D6" s="638"/>
      <c r="E6" s="501" t="s">
        <v>358</v>
      </c>
      <c r="F6" s="502">
        <v>199</v>
      </c>
    </row>
    <row r="7" spans="1:6" ht="18.95" customHeight="1">
      <c r="A7" s="501" t="s">
        <v>359</v>
      </c>
      <c r="B7" s="502" t="str">
        <f>STCurve!B7</f>
        <v>TEFC</v>
      </c>
      <c r="C7" s="501" t="s">
        <v>360</v>
      </c>
      <c r="D7" s="502" t="s">
        <v>667</v>
      </c>
      <c r="E7" s="501" t="s">
        <v>361</v>
      </c>
      <c r="F7" s="502" t="str">
        <f>STCurve!F7</f>
        <v>6811US</v>
      </c>
    </row>
    <row r="8" spans="1:6" ht="18.95" customHeight="1">
      <c r="A8" s="501" t="s">
        <v>362</v>
      </c>
      <c r="B8" s="502">
        <v>4</v>
      </c>
      <c r="C8" s="501" t="s">
        <v>363</v>
      </c>
      <c r="D8" s="502" t="s">
        <v>364</v>
      </c>
      <c r="E8" s="501" t="s">
        <v>365</v>
      </c>
      <c r="F8" s="502" t="s">
        <v>332</v>
      </c>
    </row>
    <row r="9" spans="1:6" ht="18.95" customHeight="1">
      <c r="A9" s="501" t="s">
        <v>366</v>
      </c>
      <c r="B9" s="502">
        <v>900</v>
      </c>
      <c r="C9" s="501" t="s">
        <v>367</v>
      </c>
      <c r="D9" s="502" t="s">
        <v>378</v>
      </c>
      <c r="E9" s="501" t="s">
        <v>2</v>
      </c>
      <c r="F9" s="503">
        <f>STCurve!F9</f>
        <v>43973</v>
      </c>
    </row>
    <row r="10" spans="1:6" ht="18.95" customHeight="1">
      <c r="A10" s="501" t="s">
        <v>368</v>
      </c>
      <c r="B10" s="502">
        <v>1785</v>
      </c>
      <c r="C10" s="501" t="s">
        <v>348</v>
      </c>
      <c r="D10" s="502" t="s">
        <v>369</v>
      </c>
      <c r="E10" s="501" t="s">
        <v>1</v>
      </c>
      <c r="F10" s="502" t="s">
        <v>335</v>
      </c>
    </row>
    <row r="11" spans="1:6" ht="18.95" customHeight="1">
      <c r="A11" s="498"/>
      <c r="B11" s="499"/>
      <c r="C11" s="499"/>
      <c r="D11" s="499"/>
      <c r="E11" s="499"/>
      <c r="F11" s="500"/>
    </row>
    <row r="12" spans="1:6" ht="18.95" customHeight="1">
      <c r="A12" s="498"/>
      <c r="B12" s="504" t="s">
        <v>370</v>
      </c>
      <c r="C12" s="505" t="s">
        <v>668</v>
      </c>
      <c r="D12" s="504" t="s">
        <v>347</v>
      </c>
      <c r="E12" s="505" t="s">
        <v>369</v>
      </c>
      <c r="F12" s="500"/>
    </row>
    <row r="13" spans="1:6" ht="18.95" customHeight="1">
      <c r="A13" s="498"/>
      <c r="B13" s="504" t="s">
        <v>371</v>
      </c>
      <c r="C13" s="506">
        <v>1.1499999999999999</v>
      </c>
      <c r="D13" s="504" t="s">
        <v>372</v>
      </c>
      <c r="E13" s="505" t="s">
        <v>369</v>
      </c>
      <c r="F13" s="500"/>
    </row>
    <row r="14" spans="1:6" ht="18.95" customHeight="1">
      <c r="A14" s="498"/>
      <c r="B14" s="504" t="s">
        <v>373</v>
      </c>
      <c r="C14" s="506">
        <v>2.2000000000000002</v>
      </c>
      <c r="D14" s="504" t="s">
        <v>349</v>
      </c>
      <c r="E14" s="505" t="s">
        <v>369</v>
      </c>
      <c r="F14" s="500"/>
    </row>
    <row r="15" spans="1:6" ht="18.95" customHeight="1">
      <c r="A15" s="498"/>
      <c r="B15" s="504" t="s">
        <v>350</v>
      </c>
      <c r="C15" s="505" t="s">
        <v>379</v>
      </c>
      <c r="D15" s="499"/>
      <c r="E15" s="499"/>
      <c r="F15" s="500"/>
    </row>
    <row r="16" spans="1:6" ht="18.95" customHeight="1">
      <c r="A16" s="498"/>
      <c r="B16" s="499"/>
      <c r="C16" s="499"/>
      <c r="D16" s="499"/>
      <c r="E16" s="499"/>
      <c r="F16" s="500"/>
    </row>
    <row r="17" spans="1:8" ht="18.95" customHeight="1">
      <c r="A17" s="498"/>
      <c r="B17" s="499"/>
      <c r="C17" s="499"/>
      <c r="D17" s="499"/>
      <c r="E17" s="499"/>
      <c r="F17" s="500"/>
    </row>
    <row r="18" spans="1:8" ht="18.95" customHeight="1">
      <c r="A18" s="498"/>
      <c r="B18" s="499"/>
      <c r="C18" s="499"/>
      <c r="D18" s="499"/>
      <c r="E18" s="499"/>
      <c r="F18" s="500"/>
    </row>
    <row r="19" spans="1:8" ht="18.95" customHeight="1">
      <c r="A19" s="498"/>
      <c r="B19" s="499"/>
      <c r="C19" s="499"/>
      <c r="D19" s="499"/>
      <c r="E19" s="499"/>
      <c r="F19" s="500"/>
    </row>
    <row r="20" spans="1:8" ht="18.95" customHeight="1">
      <c r="A20" s="498"/>
      <c r="B20" s="499"/>
      <c r="C20" s="499"/>
      <c r="D20" s="499"/>
      <c r="E20" s="499"/>
      <c r="F20" s="500"/>
    </row>
    <row r="21" spans="1:8" ht="18.95" customHeight="1">
      <c r="A21" s="498"/>
      <c r="B21" s="499"/>
      <c r="C21" s="499"/>
      <c r="D21" s="499"/>
      <c r="E21" s="499"/>
      <c r="F21" s="500"/>
    </row>
    <row r="22" spans="1:8" ht="18.95" customHeight="1">
      <c r="A22" s="498"/>
      <c r="B22" s="499"/>
      <c r="C22" s="499"/>
      <c r="D22" s="499"/>
      <c r="E22" s="499"/>
      <c r="F22" s="500"/>
    </row>
    <row r="23" spans="1:8" ht="18.95" customHeight="1">
      <c r="A23" s="498"/>
      <c r="B23" s="499"/>
      <c r="C23" s="499"/>
      <c r="D23" s="499"/>
      <c r="E23" s="499"/>
      <c r="F23" s="500"/>
    </row>
    <row r="24" spans="1:8" ht="18.95" customHeight="1">
      <c r="A24" s="498"/>
      <c r="B24" s="499"/>
      <c r="C24" s="499"/>
      <c r="D24" s="499"/>
      <c r="E24" s="499"/>
      <c r="F24" s="500"/>
      <c r="H24" s="507"/>
    </row>
    <row r="25" spans="1:8" ht="18.95" customHeight="1">
      <c r="A25" s="498"/>
      <c r="B25" s="499"/>
      <c r="C25" s="499"/>
      <c r="D25" s="499"/>
      <c r="E25" s="499"/>
      <c r="F25" s="500"/>
    </row>
    <row r="26" spans="1:8" ht="18.95" customHeight="1">
      <c r="A26" s="498"/>
      <c r="B26" s="499"/>
      <c r="C26" s="499"/>
      <c r="D26" s="499"/>
      <c r="E26" s="499"/>
      <c r="F26" s="500"/>
    </row>
    <row r="27" spans="1:8" ht="18.95" customHeight="1">
      <c r="A27" s="498"/>
      <c r="B27" s="499"/>
      <c r="C27" s="499"/>
      <c r="D27" s="499"/>
      <c r="E27" s="499"/>
      <c r="F27" s="500"/>
    </row>
    <row r="28" spans="1:8" ht="18.95" customHeight="1">
      <c r="A28" s="498"/>
      <c r="B28" s="499"/>
      <c r="C28" s="499"/>
      <c r="D28" s="499"/>
      <c r="E28" s="499"/>
      <c r="F28" s="500"/>
    </row>
    <row r="29" spans="1:8" ht="18.95" customHeight="1">
      <c r="A29" s="498"/>
      <c r="B29" s="499"/>
      <c r="C29" s="499"/>
      <c r="D29" s="499"/>
      <c r="E29" s="499"/>
      <c r="F29" s="500"/>
    </row>
    <row r="30" spans="1:8" ht="18.95" customHeight="1">
      <c r="A30" s="498"/>
      <c r="B30" s="499"/>
      <c r="C30" s="499"/>
      <c r="D30" s="499"/>
      <c r="E30" s="499"/>
      <c r="F30" s="500"/>
    </row>
    <row r="31" spans="1:8" ht="18.95" customHeight="1">
      <c r="A31" s="498"/>
      <c r="B31" s="499"/>
      <c r="C31" s="499"/>
      <c r="D31" s="499"/>
      <c r="E31" s="499"/>
      <c r="F31" s="500"/>
    </row>
    <row r="32" spans="1:8" ht="18.95" customHeight="1">
      <c r="A32" s="498"/>
      <c r="B32" s="499"/>
      <c r="C32" s="499"/>
      <c r="D32" s="499"/>
      <c r="E32" s="499"/>
      <c r="F32" s="500"/>
    </row>
    <row r="33" spans="1:6" ht="18.95" customHeight="1">
      <c r="A33" s="498"/>
      <c r="B33" s="499"/>
      <c r="C33" s="499"/>
      <c r="D33" s="499"/>
      <c r="E33" s="499"/>
      <c r="F33" s="500"/>
    </row>
    <row r="34" spans="1:6" ht="18.95" customHeight="1">
      <c r="A34" s="498"/>
      <c r="B34" s="499"/>
      <c r="C34" s="499"/>
      <c r="D34" s="499"/>
      <c r="E34" s="499"/>
      <c r="F34" s="500"/>
    </row>
    <row r="35" spans="1:6" ht="18.95" customHeight="1">
      <c r="A35" s="498"/>
      <c r="B35" s="499"/>
      <c r="C35" s="499"/>
      <c r="D35" s="499"/>
      <c r="E35" s="499"/>
      <c r="F35" s="500"/>
    </row>
    <row r="36" spans="1:6" ht="18.95" customHeight="1">
      <c r="A36" s="498"/>
      <c r="B36" s="499"/>
      <c r="C36" s="499"/>
      <c r="D36" s="499"/>
      <c r="E36" s="499"/>
      <c r="F36" s="500"/>
    </row>
    <row r="37" spans="1:6" ht="18.95" customHeight="1">
      <c r="A37" s="498"/>
      <c r="B37" s="499"/>
      <c r="C37" s="499"/>
      <c r="D37" s="499"/>
      <c r="E37" s="499"/>
      <c r="F37" s="500"/>
    </row>
    <row r="38" spans="1:6" ht="18.95" customHeight="1">
      <c r="A38" s="498"/>
      <c r="B38" s="499"/>
      <c r="C38" s="499"/>
      <c r="D38" s="499"/>
      <c r="E38" s="499"/>
      <c r="F38" s="500"/>
    </row>
    <row r="39" spans="1:6" ht="18.95" customHeight="1">
      <c r="A39" s="457" t="s">
        <v>374</v>
      </c>
      <c r="B39" s="458" t="s">
        <v>334</v>
      </c>
      <c r="C39" s="458">
        <f>'Performance Data Sheet'!C10</f>
        <v>0</v>
      </c>
      <c r="D39" s="449"/>
      <c r="E39" s="454" t="s">
        <v>375</v>
      </c>
      <c r="F39" s="459" t="str">
        <f>F10</f>
        <v>CS4900U</v>
      </c>
    </row>
    <row r="40" spans="1:6" ht="18.95" customHeight="1">
      <c r="A40" s="448"/>
      <c r="B40" s="458"/>
      <c r="C40" s="458"/>
      <c r="D40" s="449"/>
      <c r="E40" s="449"/>
      <c r="F40" s="450"/>
    </row>
    <row r="41" spans="1:6" ht="18.95" customHeight="1">
      <c r="A41" s="448"/>
      <c r="B41" s="458"/>
      <c r="C41" s="458"/>
      <c r="D41" s="449"/>
      <c r="E41" s="449"/>
      <c r="F41" s="450"/>
    </row>
    <row r="42" spans="1:6" ht="18.95" customHeight="1">
      <c r="A42" s="448"/>
      <c r="B42" s="449"/>
      <c r="C42" s="449"/>
      <c r="D42" s="449"/>
      <c r="E42" s="449"/>
      <c r="F42" s="450"/>
    </row>
    <row r="43" spans="1:6" ht="18.95" customHeight="1">
      <c r="A43" s="460"/>
      <c r="B43" s="458"/>
      <c r="C43" s="461" t="s">
        <v>376</v>
      </c>
      <c r="D43" s="462" t="str">
        <f>'Performance Data Sheet'!K42</f>
        <v>JERRY R</v>
      </c>
      <c r="E43" s="461" t="s">
        <v>377</v>
      </c>
      <c r="F43" s="462"/>
    </row>
    <row r="44" spans="1:6" ht="15" customHeight="1"/>
    <row r="45" spans="1:6" ht="15" customHeight="1"/>
    <row r="46" spans="1:6" ht="15" customHeight="1"/>
    <row r="47" spans="1:6" ht="15" customHeight="1"/>
    <row r="48" spans="1:6" ht="15" customHeight="1"/>
    <row r="49" spans="1:6" ht="15" customHeight="1"/>
    <row r="50" spans="1:6" ht="15" customHeight="1"/>
    <row r="51" spans="1:6" ht="15" customHeight="1"/>
    <row r="52" spans="1:6" ht="15" customHeight="1" thickBot="1"/>
    <row r="53" spans="1:6" ht="15" customHeight="1" thickBot="1">
      <c r="A53" s="508" t="s">
        <v>346</v>
      </c>
      <c r="B53" s="508" t="s">
        <v>142</v>
      </c>
      <c r="C53" s="508" t="s">
        <v>120</v>
      </c>
      <c r="D53" s="508" t="s">
        <v>135</v>
      </c>
      <c r="E53" s="508" t="s">
        <v>5</v>
      </c>
      <c r="F53" s="509" t="s">
        <v>666</v>
      </c>
    </row>
    <row r="54" spans="1:6" ht="15" customHeight="1">
      <c r="A54" s="510">
        <v>0</v>
      </c>
      <c r="B54" s="511"/>
      <c r="C54" s="512"/>
      <c r="D54" s="512">
        <v>42.43378672725985</v>
      </c>
      <c r="E54" s="512">
        <v>100</v>
      </c>
      <c r="F54" s="513">
        <v>2</v>
      </c>
    </row>
    <row r="55" spans="1:6" ht="15" customHeight="1">
      <c r="A55" s="514">
        <v>25</v>
      </c>
      <c r="B55" s="515">
        <v>88.352592468261719</v>
      </c>
      <c r="C55" s="516">
        <v>70.66241455078125</v>
      </c>
      <c r="D55" s="516">
        <v>67.334556579589844</v>
      </c>
      <c r="E55" s="516">
        <v>85.464979123873619</v>
      </c>
      <c r="F55" s="517">
        <v>10.530032306666797</v>
      </c>
    </row>
    <row r="56" spans="1:6" ht="15" customHeight="1">
      <c r="A56" s="514">
        <v>50</v>
      </c>
      <c r="B56" s="515">
        <v>92.676597595214844</v>
      </c>
      <c r="C56" s="516">
        <v>85.256385803222656</v>
      </c>
      <c r="D56" s="516">
        <v>106.40908813476563</v>
      </c>
      <c r="E56" s="516">
        <v>72.479811930239805</v>
      </c>
      <c r="F56" s="517">
        <v>20.077465390190365</v>
      </c>
    </row>
    <row r="57" spans="1:6">
      <c r="A57" s="514">
        <v>75</v>
      </c>
      <c r="B57" s="515">
        <v>94.024375915527344</v>
      </c>
      <c r="C57" s="516">
        <v>88.775611877441406</v>
      </c>
      <c r="D57" s="516">
        <v>151.08901977539063</v>
      </c>
      <c r="E57" s="516">
        <v>59.24370517890145</v>
      </c>
      <c r="F57" s="517">
        <v>29.684504768885663</v>
      </c>
    </row>
    <row r="58" spans="1:6">
      <c r="A58" s="514">
        <v>100</v>
      </c>
      <c r="B58" s="515">
        <v>94.562942504882813</v>
      </c>
      <c r="C58" s="516">
        <v>89.360420227050781</v>
      </c>
      <c r="D58" s="516">
        <v>198.99378967285156</v>
      </c>
      <c r="E58" s="516">
        <v>44.955690979226937</v>
      </c>
      <c r="F58" s="517">
        <v>39.353916884310678</v>
      </c>
    </row>
    <row r="59" spans="1:6" ht="13.5" thickBot="1">
      <c r="A59" s="518">
        <v>125</v>
      </c>
      <c r="B59" s="519">
        <v>94.748420715332031</v>
      </c>
      <c r="C59" s="520">
        <v>88.636039733886719</v>
      </c>
      <c r="D59" s="520">
        <v>250.2841796875</v>
      </c>
      <c r="E59" s="520">
        <v>30.7426244519032</v>
      </c>
      <c r="F59" s="521">
        <v>49.096097861962491</v>
      </c>
    </row>
    <row r="60" spans="1:6">
      <c r="A60" s="522"/>
      <c r="B60" s="523"/>
      <c r="C60" s="523"/>
    </row>
    <row r="61" spans="1:6">
      <c r="A61" s="522"/>
      <c r="B61" s="523"/>
      <c r="C61" s="523"/>
    </row>
    <row r="62" spans="1:6">
      <c r="A62" s="522"/>
      <c r="B62" s="523"/>
      <c r="C62" s="523"/>
    </row>
    <row r="63" spans="1:6">
      <c r="A63" s="522"/>
      <c r="B63" s="523"/>
      <c r="C63" s="523"/>
    </row>
    <row r="64" spans="1:6">
      <c r="A64" s="522"/>
      <c r="B64" s="523"/>
      <c r="C64" s="523"/>
    </row>
    <row r="65" spans="1:3">
      <c r="A65" s="522"/>
      <c r="B65" s="523"/>
      <c r="C65" s="523"/>
    </row>
    <row r="66" spans="1:3">
      <c r="A66" s="522"/>
      <c r="B66" s="523"/>
      <c r="C66" s="523"/>
    </row>
    <row r="67" spans="1:3">
      <c r="A67" s="524"/>
      <c r="B67" s="523"/>
      <c r="C67" s="523"/>
    </row>
  </sheetData>
  <mergeCells count="2">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DesignSheet</vt:lpstr>
      <vt:lpstr>Data Sheet</vt:lpstr>
      <vt:lpstr>Data Sheet_2300V</vt:lpstr>
      <vt:lpstr>StallTime</vt:lpstr>
      <vt:lpstr>Performance Data Sheet</vt:lpstr>
      <vt:lpstr>STCurve</vt:lpstr>
      <vt:lpstr>Thermdam</vt:lpstr>
      <vt:lpstr>Performance 4000V</vt:lpstr>
      <vt:lpstr>Performance 2300V</vt:lpstr>
      <vt:lpstr>'Data Sheet'!Print_Area</vt:lpstr>
      <vt:lpstr>'Data Sheet_2300V'!Print_Area</vt:lpstr>
      <vt:lpstr>DesignSheet!Print_Area</vt:lpstr>
      <vt:lpstr>'Performance 2300V'!Print_Area</vt:lpstr>
      <vt:lpstr>'Performance 4000V'!Print_Area</vt:lpstr>
      <vt:lpstr>'Performance Data Sheet'!Print_Area</vt:lpstr>
      <vt:lpstr>StallTime!Print_Area</vt:lpstr>
      <vt:lpstr>STCurve!Print_Area</vt:lpstr>
      <vt:lpstr>Thermdam!Print_Area</vt:lpstr>
      <vt:lpstr>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DesOut</dc:title>
  <dc:creator>Toshiba International Corp</dc:creator>
  <cp:lastModifiedBy>Xie, Zichao</cp:lastModifiedBy>
  <cp:lastPrinted>2014-06-13T15:28:09Z</cp:lastPrinted>
  <dcterms:created xsi:type="dcterms:W3CDTF">1997-10-03T20:37:30Z</dcterms:created>
  <dcterms:modified xsi:type="dcterms:W3CDTF">2021-12-07T20:11:04Z</dcterms:modified>
</cp:coreProperties>
</file>