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New 5010_5810 TEFC\"/>
    </mc:Choice>
  </mc:AlternateContent>
  <xr:revisionPtr revIDLastSave="0" documentId="13_ncr:1_{C1FDF262-4883-468E-BB9C-1544F5029861}" xr6:coauthVersionLast="47" xr6:coauthVersionMax="47" xr10:uidLastSave="{00000000-0000-0000-0000-000000000000}"/>
  <bookViews>
    <workbookView xWindow="-108" yWindow="-108" windowWidth="23256" windowHeight="14016" tabRatio="868" activeTab="1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8" r:id="rId4"/>
    <sheet name="STCurve" sheetId="6" r:id="rId5"/>
    <sheet name="Performance Data Sheet" sheetId="11" r:id="rId6"/>
    <sheet name="Thermdam" sheetId="9" r:id="rId7"/>
    <sheet name="Performance 4000V" sheetId="10" r:id="rId8"/>
    <sheet name="Performance 2300V" sheetId="12" r:id="rId9"/>
  </sheets>
  <definedNames>
    <definedName name="_Regression_Int" localSheetId="5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8">'Performance 2300V'!$A$1:$F$43</definedName>
    <definedName name="_xlnm.Print_Area" localSheetId="7">'Performance 4000V'!$A$1:$F$43</definedName>
    <definedName name="_xlnm.Print_Area" localSheetId="5">'Performance Data Sheet'!$A$1:$M$44</definedName>
    <definedName name="_xlnm.Print_Area" localSheetId="3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8" hidden="1">'Performance 2300V'!$A$1:$F$43</definedName>
    <definedName name="Z_852987ED_B4F5_11D1_ABEC_0000832EB49E_.wvu.PrintArea" localSheetId="7" hidden="1">'Performance 4000V'!$A$1:$F$43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2" l="1"/>
  <c r="D43" i="12"/>
  <c r="F39" i="12"/>
  <c r="C39" i="12"/>
  <c r="C15" i="12"/>
  <c r="C13" i="12"/>
  <c r="B10" i="12"/>
  <c r="F9" i="12"/>
  <c r="B9" i="12"/>
  <c r="F8" i="12"/>
  <c r="F7" i="12"/>
  <c r="B7" i="12"/>
  <c r="B6" i="12"/>
  <c r="E81" i="9" l="1"/>
  <c r="E80" i="9"/>
  <c r="F54" i="10"/>
  <c r="D43" i="10"/>
  <c r="D43" i="9"/>
  <c r="D43" i="6"/>
  <c r="C39" i="10"/>
  <c r="C39" i="9"/>
  <c r="C39" i="6"/>
  <c r="C15" i="10"/>
  <c r="C15" i="9"/>
  <c r="C15" i="6"/>
  <c r="C13" i="10"/>
  <c r="C13" i="9"/>
  <c r="C13" i="6"/>
  <c r="C12" i="9"/>
  <c r="C12" i="6"/>
  <c r="F39" i="10"/>
  <c r="F39" i="9"/>
  <c r="F39" i="6"/>
  <c r="F9" i="10"/>
  <c r="F9" i="9"/>
  <c r="F9" i="6"/>
  <c r="F8" i="10"/>
  <c r="F8" i="9"/>
  <c r="F8" i="6"/>
  <c r="F7" i="10"/>
  <c r="F7" i="9"/>
  <c r="F7" i="6"/>
  <c r="F6" i="9"/>
  <c r="F6" i="6"/>
  <c r="D7" i="9"/>
  <c r="D7" i="6"/>
  <c r="B10" i="10"/>
  <c r="B10" i="9"/>
  <c r="B10" i="6"/>
  <c r="B9" i="10"/>
  <c r="B9" i="9"/>
  <c r="B9" i="6"/>
  <c r="B7" i="10"/>
  <c r="B7" i="9"/>
  <c r="B7" i="6"/>
  <c r="B6" i="10"/>
  <c r="B6" i="9"/>
  <c r="B6" i="6"/>
  <c r="C76" i="9"/>
  <c r="C77" i="9" s="1"/>
  <c r="C78" i="9" s="1"/>
  <c r="B76" i="9"/>
  <c r="C75" i="9"/>
  <c r="C74" i="9"/>
  <c r="B74" i="9"/>
  <c r="E68" i="9"/>
  <c r="D66" i="9"/>
  <c r="F50" i="9"/>
  <c r="M29" i="3"/>
  <c r="M28" i="3"/>
  <c r="N28" i="3"/>
  <c r="N29" i="3"/>
  <c r="M52" i="2"/>
  <c r="L41" i="2"/>
  <c r="M40" i="2"/>
  <c r="L40" i="2"/>
  <c r="M39" i="2"/>
  <c r="L39" i="2"/>
  <c r="M38" i="2"/>
  <c r="L38" i="2"/>
  <c r="M33" i="2"/>
  <c r="M32" i="2"/>
  <c r="M31" i="2"/>
  <c r="M30" i="2"/>
  <c r="M29" i="2"/>
  <c r="M50" i="2"/>
  <c r="M49" i="2"/>
  <c r="M48" i="2"/>
  <c r="M46" i="2"/>
  <c r="M47" i="2"/>
  <c r="N40" i="2" l="1"/>
  <c r="N38" i="2"/>
  <c r="N39" i="2"/>
  <c r="B70" i="9"/>
  <c r="C70" i="9"/>
  <c r="B69" i="9"/>
  <c r="B75" i="9" s="1"/>
  <c r="C69" i="9"/>
  <c r="N41" i="2"/>
  <c r="M53" i="2"/>
  <c r="O53" i="2" s="1"/>
  <c r="C71" i="9" l="1"/>
  <c r="B71" i="9"/>
  <c r="A72" i="9"/>
  <c r="A73" i="9" l="1"/>
  <c r="B73" i="9" s="1"/>
  <c r="B7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Xie, Zichao</author>
  </authors>
  <commentList>
    <comment ref="F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Xie, Zichao:</t>
        </r>
        <r>
          <rPr>
            <sz val="9"/>
            <color indexed="81"/>
            <rFont val="Tahoma"/>
            <family val="2"/>
          </rPr>
          <t xml:space="preserve">
1/2 NEMA</t>
        </r>
      </text>
    </comment>
  </commentList>
</comments>
</file>

<file path=xl/sharedStrings.xml><?xml version="1.0" encoding="utf-8"?>
<sst xmlns="http://schemas.openxmlformats.org/spreadsheetml/2006/main" count="982" uniqueCount="725">
  <si>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</si>
  <si>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</si>
  <si>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</si>
  <si>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</si>
  <si>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</si>
  <si>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</si>
  <si>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</si>
  <si>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</si>
  <si>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</si>
  <si>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</si>
  <si>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</si>
  <si>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</si>
  <si>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</si>
  <si>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</si>
  <si>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</si>
  <si>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</si>
  <si>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</si>
  <si>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</si>
  <si>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</si>
  <si>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</si>
  <si>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</si>
  <si>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</si>
  <si>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</si>
  <si>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</si>
  <si>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</si>
  <si>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</si>
  <si>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</si>
  <si>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</si>
  <si>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</si>
  <si>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</si>
  <si>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</si>
  <si>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</si>
  <si>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</si>
  <si>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</si>
  <si>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</si>
  <si>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</si>
  <si>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</si>
  <si>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</si>
  <si>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</si>
  <si>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</si>
  <si>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</si>
  <si>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</si>
  <si>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</si>
  <si>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</si>
  <si>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</si>
  <si>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</si>
  <si>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</si>
  <si>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</si>
  <si>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</si>
  <si>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</si>
  <si>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</si>
  <si>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</si>
  <si>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</si>
  <si>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</si>
  <si>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</si>
  <si>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</si>
  <si>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</si>
  <si>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</si>
  <si>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</si>
  <si>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</si>
  <si>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</si>
  <si>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</si>
  <si>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</si>
  <si>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</si>
  <si>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</si>
  <si>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</si>
  <si>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</si>
  <si>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</si>
  <si>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</si>
  <si>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</si>
  <si>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</si>
  <si>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</si>
  <si>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</si>
  <si>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</si>
  <si>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</si>
  <si>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</si>
  <si>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</si>
  <si>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</si>
  <si>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</si>
  <si>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</si>
  <si>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</si>
  <si>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</si>
  <si>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</si>
  <si>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</si>
  <si>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</si>
  <si>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</si>
  <si>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</si>
  <si>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</si>
  <si>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</si>
  <si>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</si>
  <si>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</si>
  <si>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</si>
  <si>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</si>
  <si>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</si>
  <si>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</si>
  <si>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</si>
  <si>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</si>
  <si>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</si>
  <si>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</si>
  <si>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</si>
  <si>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</si>
  <si>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</si>
  <si>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</si>
  <si>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</si>
  <si>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</si>
  <si>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</si>
  <si>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</si>
  <si>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</si>
  <si>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</si>
  <si>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</si>
  <si>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</si>
  <si>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</si>
  <si>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</si>
  <si>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</si>
  <si>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</si>
  <si>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</si>
  <si>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</si>
  <si>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</si>
  <si>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</si>
  <si>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</si>
  <si>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</si>
  <si>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</si>
  <si>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</si>
  <si>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</si>
  <si>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</si>
  <si>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</si>
  <si>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</si>
  <si>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</si>
  <si>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</si>
  <si>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</si>
  <si>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</si>
  <si>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</si>
  <si>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</si>
  <si>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</si>
  <si>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</si>
  <si>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</si>
  <si>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</si>
  <si>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</si>
  <si>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</si>
  <si>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</si>
  <si>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</si>
  <si>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</si>
  <si>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</si>
  <si>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</si>
  <si>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</si>
  <si>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</si>
  <si>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</si>
  <si>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</si>
  <si>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</si>
  <si>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</si>
  <si>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</si>
  <si>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</si>
  <si>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</si>
  <si>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</si>
  <si>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</si>
  <si>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</si>
  <si>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</si>
  <si>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</si>
  <si>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</si>
  <si>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</si>
  <si>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</si>
  <si>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</si>
  <si>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</si>
  <si>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</si>
  <si>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</si>
  <si>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</si>
  <si>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</si>
  <si>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</si>
  <si>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</si>
  <si>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</si>
  <si>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</si>
  <si>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</si>
  <si>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</si>
  <si>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</si>
  <si>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</si>
  <si>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</si>
  <si>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</si>
  <si>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</si>
  <si>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</si>
  <si>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</si>
  <si>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</si>
  <si>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</si>
  <si>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</si>
  <si>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</si>
  <si>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</si>
  <si>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</si>
  <si>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</si>
  <si>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</si>
  <si>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</si>
  <si>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</si>
  <si>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</si>
  <si>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</si>
  <si>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</si>
  <si>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FCKW</t>
  </si>
  <si>
    <t>Open</t>
  </si>
  <si>
    <t>Dbl - Closed</t>
  </si>
  <si>
    <t>6.04 - 6.04</t>
  </si>
  <si>
    <t>2.83 - 2.00</t>
  </si>
  <si>
    <t>Magnetic</t>
  </si>
  <si>
    <t>1 ~ 11</t>
  </si>
  <si>
    <t>(.114"x.204")x1</t>
  </si>
  <si>
    <t>Wye</t>
  </si>
  <si>
    <t>(105°C)</t>
  </si>
  <si>
    <t>CU</t>
  </si>
  <si>
    <t>AL</t>
  </si>
  <si>
    <t>ERD1: 246.0</t>
  </si>
  <si>
    <t>ERD2: 360.0</t>
  </si>
  <si>
    <t>LB:  -</t>
  </si>
  <si>
    <t>LER:  -</t>
  </si>
  <si>
    <t>UB: 221.9</t>
  </si>
  <si>
    <t>UER: 1650.0</t>
  </si>
  <si>
    <t>ERT: 30.0</t>
  </si>
  <si>
    <t>(Coeff.: 0.0915)</t>
  </si>
  <si>
    <t>Skew R.: 0.00</t>
  </si>
  <si>
    <t>G:\DESPRO\RATFILE\RF6400.rat</t>
  </si>
  <si>
    <t>2-2-2-0-1-2</t>
  </si>
  <si>
    <t>B.L.-1  P.F.-1</t>
  </si>
  <si>
    <t>4457.4 / 4636.4</t>
  </si>
  <si>
    <t>2525.8 / 4227.6</t>
  </si>
  <si>
    <t>10106.7 / 6105.0</t>
  </si>
  <si>
    <t>1700.0 / 1939.1</t>
  </si>
  <si>
    <t>7515.0 / 3356.0</t>
  </si>
  <si>
    <t>1322.9 / 590.8</t>
  </si>
  <si>
    <t>6192.0 / 2765.2</t>
  </si>
  <si>
    <t>1.75 / 0.78</t>
  </si>
  <si>
    <t>72 / 72</t>
  </si>
  <si>
    <t>Temp. Rise @ 100%:</t>
  </si>
  <si>
    <t>Stray Loss</t>
  </si>
  <si>
    <t>0.872 / 0.870</t>
  </si>
  <si>
    <t>0.927 / 0.925</t>
  </si>
  <si>
    <t>0.944 / 0.942</t>
  </si>
  <si>
    <t>0.950 / 0.948</t>
  </si>
  <si>
    <t>0.952 / 0.950</t>
  </si>
  <si>
    <t>0.337 / 0.337</t>
  </si>
  <si>
    <t>0.549 / 0.549</t>
  </si>
  <si>
    <t>0.673 / 0.673</t>
  </si>
  <si>
    <t>0.7422 / 0.7420</t>
  </si>
  <si>
    <t>0.779 / 0.779</t>
  </si>
  <si>
    <t>36.60 / 36.70</t>
  </si>
  <si>
    <t>42.33 / 42.44</t>
  </si>
  <si>
    <t>50.86 / 50.99</t>
  </si>
  <si>
    <t>61.06 / 61.22</t>
  </si>
  <si>
    <t>72.54 / 72.73</t>
  </si>
  <si>
    <t>4.22 / 4.24</t>
  </si>
  <si>
    <t>UB: 2.57 / 2.58</t>
  </si>
  <si>
    <t>UER: 1.07 / 1.07</t>
  </si>
  <si>
    <t>1197.5 / 1189.2</t>
  </si>
  <si>
    <t>1195.2 / 1186.9</t>
  </si>
  <si>
    <t>1192.8 / 1184.6</t>
  </si>
  <si>
    <t>1190.3 / 1182.1</t>
  </si>
  <si>
    <t>1187.8 / 1179.6</t>
  </si>
  <si>
    <t>0.0021 / 0.0090</t>
  </si>
  <si>
    <t>0.0040 / 0.0109</t>
  </si>
  <si>
    <t>0.0060 / 0.0129</t>
  </si>
  <si>
    <t>0.0081 / 0.0149</t>
  </si>
  <si>
    <t>0.0102 / 0.0170</t>
  </si>
  <si>
    <t>31.542 / 29.982</t>
  </si>
  <si>
    <t>1.084 / 1.030</t>
  </si>
  <si>
    <t>31.56 / 30.00</t>
  </si>
  <si>
    <t>313.2 / 369.7</t>
  </si>
  <si>
    <t>512.9 / 605.5</t>
  </si>
  <si>
    <t>441.9 / 556.0</t>
  </si>
  <si>
    <t>181.0 / 227.7</t>
  </si>
  <si>
    <t>231.5 / 277.5</t>
  </si>
  <si>
    <t>Correlated to: RF6400.dat</t>
  </si>
  <si>
    <t>USA Wire Std</t>
  </si>
  <si>
    <t>DesPro8AX Draft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</si>
  <si>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</si>
  <si>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</si>
  <si>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</si>
  <si>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</si>
  <si>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</si>
  <si>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</si>
  <si>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</si>
  <si>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</si>
  <si>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</si>
  <si>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</si>
  <si>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</si>
  <si>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</si>
  <si>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</si>
  <si>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</si>
  <si>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</si>
  <si>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</si>
  <si>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</si>
  <si>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</si>
  <si>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</si>
  <si>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</si>
  <si>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</si>
  <si>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</si>
  <si>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</si>
  <si>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</si>
  <si>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</si>
  <si>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</si>
  <si>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</si>
  <si>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</si>
  <si>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</si>
  <si>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</si>
  <si>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</si>
  <si>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</si>
  <si>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</si>
  <si>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</si>
  <si>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</si>
  <si>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</si>
  <si>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</si>
  <si>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</si>
  <si>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</si>
  <si>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</si>
  <si>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</si>
  <si>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</si>
  <si>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</si>
  <si>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</si>
  <si>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</si>
  <si>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</si>
  <si>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</si>
  <si>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</si>
  <si>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</si>
  <si>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</si>
  <si>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</si>
  <si>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</si>
  <si>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</si>
  <si>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</si>
  <si>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</si>
  <si>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</si>
  <si>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</si>
  <si>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</si>
  <si>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</si>
  <si>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</si>
  <si>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</si>
  <si>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</si>
  <si>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</si>
  <si>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</si>
  <si>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</si>
  <si>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</si>
  <si>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</si>
  <si>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</si>
  <si>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</si>
  <si>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</si>
  <si>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</si>
  <si>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</si>
  <si>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</si>
  <si>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</si>
  <si>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</si>
  <si>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</si>
  <si>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</si>
  <si>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</si>
  <si>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</si>
  <si>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</si>
  <si>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</si>
  <si>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</si>
  <si>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</si>
  <si>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</si>
  <si>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</si>
  <si>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</si>
  <si>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</si>
  <si>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</si>
  <si>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</si>
  <si>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</si>
  <si>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</si>
  <si>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</si>
  <si>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</si>
  <si>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</si>
  <si>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</si>
  <si>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</si>
  <si>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</si>
  <si>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</si>
  <si>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</si>
  <si>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</si>
  <si>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</si>
  <si>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</si>
  <si>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</si>
  <si>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</si>
  <si>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</si>
  <si>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</si>
  <si>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</si>
  <si>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</si>
  <si>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</si>
  <si>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</si>
  <si>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RF6400</t>
  </si>
  <si>
    <t>Type: TIKK - Form: FCKW - 6 Pole - 400 HP - 2300 / 4000 V - 60 Hz - 5011 - Class F</t>
  </si>
  <si>
    <t>11 x 1</t>
  </si>
  <si>
    <t>1D / 1Y</t>
  </si>
  <si>
    <t>106 / 61</t>
  </si>
  <si>
    <t>52 / 30</t>
  </si>
  <si>
    <t>641/ 370</t>
  </si>
  <si>
    <t>578 / 334</t>
  </si>
  <si>
    <t>72 / 95</t>
  </si>
  <si>
    <t>424 / 2572</t>
  </si>
  <si>
    <t>258 / 107</t>
  </si>
  <si>
    <t>5,6</t>
  </si>
  <si>
    <t>OUTER FAN OD: 550mmRADIAL W/PLATE</t>
  </si>
  <si>
    <t>REV0. FIRST ISSUE</t>
  </si>
  <si>
    <t>REV1.CHGD INSULATION FROM EDS-C-1059-3</t>
  </si>
  <si>
    <t>CHGD WIRE FROM .114"x.204"x1 JR 06/30/09</t>
  </si>
  <si>
    <t>Rev 2. Changed wire from .114 x .182 x 1 VP 05/25/10</t>
  </si>
  <si>
    <t>V.Phillips</t>
  </si>
  <si>
    <t>4006FTAL11E-A</t>
  </si>
  <si>
    <t>Rev.3 Re-run curves.  Z.X 11/12/2018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</si>
  <si>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</si>
  <si>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</si>
  <si>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</si>
  <si>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</si>
  <si>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</si>
  <si>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</si>
  <si>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</si>
  <si>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</si>
  <si>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</si>
  <si>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Acceleration Data (FV V)</t>
  </si>
  <si>
    <t>244.2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</si>
  <si>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</si>
  <si>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</si>
  <si>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</si>
  <si>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</si>
  <si>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</si>
  <si>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</si>
  <si>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</si>
  <si>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</si>
  <si>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</si>
  <si>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</si>
  <si>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</si>
  <si>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</si>
  <si>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</si>
  <si>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</si>
  <si>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</si>
  <si>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</si>
  <si>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</si>
  <si>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</si>
  <si>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</si>
  <si>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</si>
  <si>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</si>
  <si>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</si>
  <si>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</si>
  <si>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</si>
  <si>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</si>
  <si>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</si>
  <si>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</si>
  <si>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</si>
  <si>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</si>
  <si>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</si>
  <si>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</si>
  <si>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</si>
  <si>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</si>
  <si>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</si>
  <si>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</si>
  <si>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</si>
  <si>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</si>
  <si>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</si>
  <si>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</si>
  <si>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- 400.0 HP - 1200 RPM - 4000 V - 60 Hz</t>
  </si>
  <si>
    <t>0~120</t>
  </si>
  <si>
    <t>120~240</t>
  </si>
  <si>
    <t>240~360</t>
  </si>
  <si>
    <t>360~480</t>
  </si>
  <si>
    <t>480~600</t>
  </si>
  <si>
    <t>600~722</t>
  </si>
  <si>
    <t>722~844</t>
  </si>
  <si>
    <t>844~966</t>
  </si>
  <si>
    <t>966~1027</t>
  </si>
  <si>
    <t>1027~1087</t>
  </si>
  <si>
    <t>1087~1148</t>
  </si>
  <si>
    <t>1148~1190</t>
  </si>
  <si>
    <t>1190~1190</t>
  </si>
  <si>
    <t>204.6</t>
  </si>
  <si>
    <t>172.1</t>
  </si>
  <si>
    <t>153.0</t>
  </si>
  <si>
    <t>142.4</t>
  </si>
  <si>
    <t>136.8</t>
  </si>
  <si>
    <t>135.0</t>
  </si>
  <si>
    <t>136.4</t>
  </si>
  <si>
    <t>144.3</t>
  </si>
  <si>
    <t>161.6</t>
  </si>
  <si>
    <t>195.8</t>
  </si>
  <si>
    <t>247.1</t>
  </si>
  <si>
    <t>187.3</t>
  </si>
  <si>
    <t>99.8</t>
  </si>
  <si>
    <t>22.5</t>
  </si>
  <si>
    <t>11.5</t>
  </si>
  <si>
    <t>7.0</t>
  </si>
  <si>
    <t>11.0</t>
  </si>
  <si>
    <t>18.1</t>
  </si>
  <si>
    <t>27.9</t>
  </si>
  <si>
    <t>42.3</t>
  </si>
  <si>
    <t>56.7</t>
  </si>
  <si>
    <t>69.0</t>
  </si>
  <si>
    <t>82.3</t>
  </si>
  <si>
    <t>93.6</t>
  </si>
  <si>
    <t>99.1</t>
  </si>
  <si>
    <t>368.5</t>
  </si>
  <si>
    <t>365.3</t>
  </si>
  <si>
    <t>361.8</t>
  </si>
  <si>
    <t>357.7</t>
  </si>
  <si>
    <t>353.1</t>
  </si>
  <si>
    <t>348.0</t>
  </si>
  <si>
    <t>342.2</t>
  </si>
  <si>
    <t>333.8</t>
  </si>
  <si>
    <t>323.5</t>
  </si>
  <si>
    <t>307.1</t>
  </si>
  <si>
    <t>261.9</t>
  </si>
  <si>
    <t>149.5</t>
  </si>
  <si>
    <t>45.2</t>
  </si>
  <si>
    <t>51.4</t>
  </si>
  <si>
    <t>5.6°C / s</t>
  </si>
  <si>
    <t>33.6°C / s</t>
  </si>
  <si>
    <t>6.4°C / s</t>
  </si>
  <si>
    <t>207.8 kW</t>
  </si>
  <si>
    <t>619.5 kW</t>
  </si>
  <si>
    <t>51.9 kW</t>
  </si>
  <si>
    <t>28.3 s</t>
  </si>
  <si>
    <t>7.7 s</t>
  </si>
  <si>
    <t>28.1 s</t>
  </si>
  <si>
    <t>95°C    +</t>
  </si>
  <si>
    <t>133°C    +</t>
  </si>
  <si>
    <t>65°C    +</t>
  </si>
  <si>
    <t>127°C   +</t>
  </si>
  <si>
    <t>47°C   +</t>
  </si>
  <si>
    <t>11.5 s</t>
  </si>
  <si>
    <t>3.8 s</t>
  </si>
  <si>
    <t>7.3 s</t>
  </si>
  <si>
    <t>10.4 s</t>
  </si>
  <si>
    <t>2.7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</si>
  <si>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</si>
  <si>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</si>
  <si>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</si>
  <si>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</si>
  <si>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</si>
  <si>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</si>
  <si>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</si>
  <si>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</si>
  <si>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</si>
  <si>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</si>
  <si>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</si>
  <si>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</si>
  <si>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</si>
  <si>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</si>
  <si>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</si>
  <si>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</si>
  <si>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</si>
  <si>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</si>
  <si>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</si>
  <si>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</si>
  <si>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</si>
  <si>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221.5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</si>
  <si>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</si>
  <si>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</si>
  <si>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</si>
  <si>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</si>
  <si>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</si>
  <si>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</si>
  <si>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</si>
  <si>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353.8 kg.m²</t>
  </si>
  <si>
    <t>4.4 (s)</t>
  </si>
  <si>
    <t>Load Type: Fan / Pump - 2099.0 lb-ft²</t>
  </si>
  <si>
    <t>0.282</t>
  </si>
  <si>
    <t>0.319</t>
  </si>
  <si>
    <t>0.351</t>
  </si>
  <si>
    <t>0.379</t>
  </si>
  <si>
    <t>0.407</t>
  </si>
  <si>
    <t>0.445</t>
  </si>
  <si>
    <t>0.479</t>
  </si>
  <si>
    <t>0.510</t>
  </si>
  <si>
    <t>0.248</t>
  </si>
  <si>
    <t>0.205</t>
  </si>
  <si>
    <t>0.158</t>
  </si>
  <si>
    <t>0.188</t>
  </si>
  <si>
    <t>0.381</t>
  </si>
  <si>
    <t>46.1</t>
  </si>
  <si>
    <t>55.5</t>
  </si>
  <si>
    <t>58.6</t>
  </si>
  <si>
    <t>61.6</t>
  </si>
  <si>
    <t>65.5</t>
  </si>
  <si>
    <t>68.4</t>
  </si>
  <si>
    <t>70.1</t>
  </si>
  <si>
    <t>32.1</t>
  </si>
  <si>
    <t>24.9</t>
  </si>
  <si>
    <t>16.5</t>
  </si>
  <si>
    <t>11.7</t>
  </si>
  <si>
    <t>1.7</t>
  </si>
  <si>
    <t>176.9</t>
  </si>
  <si>
    <t>147.7</t>
  </si>
  <si>
    <t>125.5</t>
  </si>
  <si>
    <t>108.1</t>
  </si>
  <si>
    <t>94.6</t>
  </si>
  <si>
    <t>82.7</t>
  </si>
  <si>
    <t>70.9</t>
  </si>
  <si>
    <t>57.4</t>
  </si>
  <si>
    <t>40.2</t>
  </si>
  <si>
    <t>28.1</t>
  </si>
  <si>
    <t>17.9</t>
  </si>
  <si>
    <t>164.6</t>
  </si>
  <si>
    <t>564 kW / s</t>
  </si>
  <si>
    <t>1045 kW / s</t>
  </si>
  <si>
    <t>88 kW / s</t>
  </si>
  <si>
    <t>15°C</t>
  </si>
  <si>
    <t>57°C</t>
  </si>
  <si>
    <t>11°C</t>
  </si>
  <si>
    <t>31°C</t>
  </si>
  <si>
    <t>113°C</t>
  </si>
  <si>
    <t>22°C</t>
  </si>
  <si>
    <t>Acceleration Time:  4.4 s</t>
  </si>
  <si>
    <t>2099.0 lb-ft²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</si>
  <si>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</si>
  <si>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</si>
  <si>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</si>
  <si>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</si>
  <si>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</si>
  <si>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</si>
  <si>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</si>
  <si>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</si>
  <si>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</si>
  <si>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</si>
  <si>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</si>
  <si>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</si>
  <si>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</si>
  <si>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</si>
  <si>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</si>
  <si>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</si>
  <si>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</si>
  <si>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</si>
  <si>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</si>
  <si>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</si>
  <si>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</si>
  <si>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</si>
  <si>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</si>
  <si>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</si>
  <si>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</si>
  <si>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</si>
  <si>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</si>
  <si>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</si>
  <si>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</si>
  <si>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</si>
  <si>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</si>
  <si>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</si>
  <si>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</si>
  <si>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</si>
  <si>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</si>
  <si>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</si>
  <si>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</si>
  <si>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</si>
  <si>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</si>
  <si>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</si>
  <si>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</si>
  <si>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</si>
  <si>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</si>
  <si>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</si>
  <si>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</si>
  <si>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</si>
  <si>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</si>
  <si>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</si>
  <si>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</si>
  <si>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</si>
  <si>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</si>
  <si>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</si>
  <si>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</si>
  <si>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</si>
  <si>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</si>
  <si>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</si>
  <si>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</si>
  <si>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</si>
  <si>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</si>
  <si>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</si>
  <si>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</si>
  <si>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</si>
  <si>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</si>
  <si>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</si>
  <si>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</si>
  <si>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</si>
  <si>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</si>
  <si>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</si>
  <si>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</si>
  <si>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</si>
  <si>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</si>
  <si>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</si>
  <si>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</si>
  <si>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</si>
  <si>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</si>
  <si>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</si>
  <si>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</si>
  <si>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</si>
  <si>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</si>
  <si>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</si>
  <si>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</si>
  <si>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</si>
  <si>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</si>
  <si>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</si>
  <si>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</si>
  <si>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</si>
  <si>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</si>
  <si>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</si>
  <si>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</si>
  <si>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</si>
  <si>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</si>
  <si>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</si>
  <si>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</si>
  <si>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</si>
  <si>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</si>
  <si>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</si>
  <si>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</si>
  <si>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</si>
  <si>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</si>
  <si>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</si>
  <si>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</si>
  <si>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</si>
  <si>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</si>
  <si>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</si>
  <si>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</si>
  <si>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</si>
  <si>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</si>
  <si>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TIKK</t>
  </si>
  <si>
    <t>60 Hz</t>
  </si>
  <si>
    <t>MATLOCK ELECTRIC</t>
  </si>
  <si>
    <t>2111218.1</t>
  </si>
  <si>
    <t>5011UZ</t>
  </si>
  <si>
    <t>FCKW4</t>
  </si>
  <si>
    <t>2300/4000</t>
  </si>
  <si>
    <t>106/61</t>
  </si>
  <si>
    <t>1.15</t>
  </si>
  <si>
    <t>GP-10013067</t>
  </si>
  <si>
    <t>641/370</t>
  </si>
  <si>
    <t>61 A</t>
  </si>
  <si>
    <t>4000 V</t>
  </si>
  <si>
    <t>370 A</t>
  </si>
  <si>
    <t>2300 V</t>
  </si>
  <si>
    <t>106 A</t>
  </si>
  <si>
    <t>641 A</t>
  </si>
  <si>
    <t>N/A</t>
  </si>
  <si>
    <t>ref 6DL250L1A4CJDK01 lab 9889a (83.7 dBA)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</si>
</sst>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80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8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172" fontId="65" fillId="0" borderId="0"/>
  </cellStyleXfs>
  <cellXfs count="656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165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2" fontId="23" fillId="0" borderId="1" xfId="0" applyNumberFormat="1" applyFont="1" applyBorder="1" applyAlignment="1">
      <alignment horizontal="center"/>
    </xf>
    <xf numFmtId="167" fontId="23" fillId="0" borderId="9" xfId="0" applyNumberFormat="1" applyFont="1" applyBorder="1" applyAlignment="1">
      <alignment horizontal="center"/>
    </xf>
    <xf numFmtId="166" fontId="23" fillId="0" borderId="11" xfId="0" applyNumberFormat="1" applyFont="1" applyBorder="1" applyAlignment="1">
      <alignment horizontal="center"/>
    </xf>
    <xf numFmtId="2" fontId="23" fillId="0" borderId="11" xfId="0" applyNumberFormat="1" applyFont="1" applyBorder="1" applyAlignment="1">
      <alignment horizontal="center"/>
    </xf>
    <xf numFmtId="167" fontId="23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4" fillId="0" borderId="1" xfId="0" applyNumberFormat="1" applyFont="1" applyBorder="1" applyAlignment="1">
      <alignment horizontal="center"/>
    </xf>
    <xf numFmtId="2" fontId="24" fillId="0" borderId="9" xfId="0" applyNumberFormat="1" applyFont="1" applyBorder="1" applyAlignment="1">
      <alignment horizontal="center"/>
    </xf>
    <xf numFmtId="166" fontId="24" fillId="0" borderId="1" xfId="0" applyNumberFormat="1" applyFont="1" applyBorder="1" applyAlignment="1">
      <alignment horizontal="center"/>
    </xf>
    <xf numFmtId="166" fontId="24" fillId="0" borderId="9" xfId="0" applyNumberFormat="1" applyFont="1" applyBorder="1" applyAlignment="1">
      <alignment horizontal="center"/>
    </xf>
    <xf numFmtId="165" fontId="24" fillId="0" borderId="1" xfId="0" applyNumberFormat="1" applyFont="1" applyBorder="1" applyAlignment="1">
      <alignment horizontal="center"/>
    </xf>
    <xf numFmtId="165" fontId="24" fillId="0" borderId="9" xfId="0" applyNumberFormat="1" applyFont="1" applyBorder="1" applyAlignment="1">
      <alignment horizontal="center"/>
    </xf>
    <xf numFmtId="167" fontId="24" fillId="0" borderId="1" xfId="0" applyNumberFormat="1" applyFont="1" applyBorder="1" applyAlignment="1">
      <alignment horizontal="center"/>
    </xf>
    <xf numFmtId="167" fontId="24" fillId="0" borderId="9" xfId="0" applyNumberFormat="1" applyFont="1" applyBorder="1" applyAlignment="1">
      <alignment horizontal="center"/>
    </xf>
    <xf numFmtId="166" fontId="24" fillId="0" borderId="11" xfId="0" applyNumberFormat="1" applyFont="1" applyBorder="1" applyAlignment="1">
      <alignment horizontal="center"/>
    </xf>
    <xf numFmtId="166" fontId="25" fillId="0" borderId="31" xfId="0" applyNumberFormat="1" applyFont="1" applyBorder="1" applyAlignment="1">
      <alignment horizontal="center"/>
    </xf>
    <xf numFmtId="166" fontId="25" fillId="0" borderId="51" xfId="0" applyNumberFormat="1" applyFont="1" applyBorder="1" applyAlignment="1">
      <alignment horizontal="center"/>
    </xf>
    <xf numFmtId="166" fontId="25" fillId="0" borderId="32" xfId="0" applyNumberFormat="1" applyFont="1" applyBorder="1" applyAlignment="1">
      <alignment horizontal="center"/>
    </xf>
    <xf numFmtId="0" fontId="28" fillId="0" borderId="0" xfId="1" applyFont="1"/>
    <xf numFmtId="0" fontId="29" fillId="0" borderId="0" xfId="1" applyFont="1"/>
    <xf numFmtId="0" fontId="31" fillId="5" borderId="0" xfId="1" applyFont="1" applyFill="1" applyAlignment="1">
      <alignment horizontal="right"/>
    </xf>
    <xf numFmtId="0" fontId="32" fillId="5" borderId="0" xfId="1" applyFont="1" applyFill="1"/>
    <xf numFmtId="0" fontId="33" fillId="5" borderId="0" xfId="1" applyFont="1" applyFill="1"/>
    <xf numFmtId="0" fontId="30" fillId="5" borderId="0" xfId="1" applyFont="1" applyFill="1" applyAlignment="1">
      <alignment horizontal="center"/>
    </xf>
    <xf numFmtId="0" fontId="34" fillId="0" borderId="52" xfId="1" applyFont="1" applyBorder="1" applyAlignment="1">
      <alignment horizontal="left" vertical="center"/>
    </xf>
    <xf numFmtId="0" fontId="34" fillId="0" borderId="53" xfId="1" applyFont="1" applyBorder="1" applyAlignment="1">
      <alignment vertical="center"/>
    </xf>
    <xf numFmtId="0" fontId="26" fillId="0" borderId="53" xfId="1" applyBorder="1"/>
    <xf numFmtId="0" fontId="34" fillId="0" borderId="54" xfId="1" applyFont="1" applyBorder="1" applyAlignment="1">
      <alignment horizontal="right" vertical="center"/>
    </xf>
    <xf numFmtId="0" fontId="19" fillId="0" borderId="0" xfId="1" applyFont="1"/>
    <xf numFmtId="0" fontId="35" fillId="0" borderId="52" xfId="1" applyFont="1" applyBorder="1"/>
    <xf numFmtId="0" fontId="19" fillId="0" borderId="54" xfId="1" applyFont="1" applyBorder="1"/>
    <xf numFmtId="0" fontId="35" fillId="0" borderId="54" xfId="1" applyFont="1" applyBorder="1"/>
    <xf numFmtId="0" fontId="36" fillId="0" borderId="0" xfId="1" applyFont="1"/>
    <xf numFmtId="0" fontId="37" fillId="5" borderId="13" xfId="1" applyFont="1" applyFill="1" applyBorder="1" applyAlignment="1">
      <alignment horizontal="center"/>
    </xf>
    <xf numFmtId="0" fontId="37" fillId="5" borderId="55" xfId="1" applyFont="1" applyFill="1" applyBorder="1" applyAlignment="1">
      <alignment horizontal="center"/>
    </xf>
    <xf numFmtId="0" fontId="37" fillId="5" borderId="0" xfId="1" quotePrefix="1" applyFont="1" applyFill="1" applyAlignment="1">
      <alignment horizontal="left"/>
    </xf>
    <xf numFmtId="0" fontId="20" fillId="5" borderId="56" xfId="1" applyFont="1" applyFill="1" applyBorder="1" applyAlignment="1">
      <alignment horizontal="right"/>
    </xf>
    <xf numFmtId="0" fontId="37" fillId="5" borderId="57" xfId="1" applyFont="1" applyFill="1" applyBorder="1" applyAlignment="1">
      <alignment horizontal="center"/>
    </xf>
    <xf numFmtId="0" fontId="37" fillId="5" borderId="21" xfId="1" applyFont="1" applyFill="1" applyBorder="1" applyAlignment="1">
      <alignment horizontal="center"/>
    </xf>
    <xf numFmtId="0" fontId="35" fillId="0" borderId="45" xfId="1" applyFont="1" applyBorder="1"/>
    <xf numFmtId="0" fontId="19" fillId="0" borderId="21" xfId="1" applyFont="1" applyBorder="1"/>
    <xf numFmtId="0" fontId="35" fillId="0" borderId="21" xfId="1" applyFont="1" applyBorder="1"/>
    <xf numFmtId="0" fontId="38" fillId="5" borderId="67" xfId="1" applyFont="1" applyFill="1" applyBorder="1"/>
    <xf numFmtId="0" fontId="38" fillId="5" borderId="68" xfId="1" applyFont="1" applyFill="1" applyBorder="1"/>
    <xf numFmtId="0" fontId="41" fillId="5" borderId="68" xfId="1" applyFont="1" applyFill="1" applyBorder="1"/>
    <xf numFmtId="0" fontId="41" fillId="5" borderId="69" xfId="1" applyFont="1" applyFill="1" applyBorder="1"/>
    <xf numFmtId="167" fontId="40" fillId="5" borderId="64" xfId="1" applyNumberFormat="1" applyFont="1" applyFill="1" applyBorder="1" applyAlignment="1">
      <alignment horizontal="center"/>
    </xf>
    <xf numFmtId="0" fontId="40" fillId="5" borderId="70" xfId="1" applyFont="1" applyFill="1" applyBorder="1" applyAlignment="1">
      <alignment horizontal="center"/>
    </xf>
    <xf numFmtId="0" fontId="38" fillId="5" borderId="71" xfId="1" applyFont="1" applyFill="1" applyBorder="1"/>
    <xf numFmtId="0" fontId="38" fillId="5" borderId="72" xfId="1" applyFont="1" applyFill="1" applyBorder="1"/>
    <xf numFmtId="0" fontId="41" fillId="5" borderId="72" xfId="1" applyFont="1" applyFill="1" applyBorder="1"/>
    <xf numFmtId="0" fontId="41" fillId="5" borderId="73" xfId="1" applyFont="1" applyFill="1" applyBorder="1"/>
    <xf numFmtId="1" fontId="40" fillId="5" borderId="64" xfId="1" applyNumberFormat="1" applyFont="1" applyFill="1" applyBorder="1" applyAlignment="1">
      <alignment horizontal="center"/>
    </xf>
    <xf numFmtId="0" fontId="40" fillId="5" borderId="74" xfId="1" applyFont="1" applyFill="1" applyBorder="1" applyAlignment="1">
      <alignment horizontal="center"/>
    </xf>
    <xf numFmtId="0" fontId="42" fillId="5" borderId="68" xfId="1" applyFont="1" applyFill="1" applyBorder="1"/>
    <xf numFmtId="0" fontId="43" fillId="5" borderId="69" xfId="1" applyFont="1" applyFill="1" applyBorder="1" applyAlignment="1">
      <alignment horizontal="left"/>
    </xf>
    <xf numFmtId="0" fontId="40" fillId="5" borderId="64" xfId="1" applyFont="1" applyFill="1" applyBorder="1" applyAlignment="1">
      <alignment horizontal="center"/>
    </xf>
    <xf numFmtId="0" fontId="35" fillId="0" borderId="46" xfId="1" applyFont="1" applyBorder="1"/>
    <xf numFmtId="0" fontId="35" fillId="0" borderId="24" xfId="1" applyFont="1" applyBorder="1"/>
    <xf numFmtId="0" fontId="38" fillId="5" borderId="76" xfId="1" applyFont="1" applyFill="1" applyBorder="1"/>
    <xf numFmtId="0" fontId="38" fillId="5" borderId="77" xfId="1" applyFont="1" applyFill="1" applyBorder="1"/>
    <xf numFmtId="0" fontId="42" fillId="5" borderId="77" xfId="1" applyFont="1" applyFill="1" applyBorder="1"/>
    <xf numFmtId="0" fontId="40" fillId="5" borderId="78" xfId="1" applyFont="1" applyFill="1" applyBorder="1" applyAlignment="1">
      <alignment horizontal="center"/>
    </xf>
    <xf numFmtId="0" fontId="40" fillId="5" borderId="79" xfId="1" applyFont="1" applyFill="1" applyBorder="1" applyAlignment="1">
      <alignment horizontal="center"/>
    </xf>
    <xf numFmtId="0" fontId="19" fillId="0" borderId="24" xfId="1" applyFont="1" applyBorder="1"/>
    <xf numFmtId="0" fontId="38" fillId="5" borderId="63" xfId="1" quotePrefix="1" applyFont="1" applyFill="1" applyBorder="1" applyAlignment="1">
      <alignment horizontal="left"/>
    </xf>
    <xf numFmtId="0" fontId="36" fillId="0" borderId="69" xfId="1" applyFont="1" applyBorder="1"/>
    <xf numFmtId="0" fontId="38" fillId="5" borderId="83" xfId="1" quotePrefix="1" applyFont="1" applyFill="1" applyBorder="1" applyAlignment="1">
      <alignment horizontal="left"/>
    </xf>
    <xf numFmtId="0" fontId="38" fillId="5" borderId="59" xfId="1" applyFont="1" applyFill="1" applyBorder="1"/>
    <xf numFmtId="0" fontId="41" fillId="5" borderId="59" xfId="1" applyFont="1" applyFill="1" applyBorder="1"/>
    <xf numFmtId="0" fontId="21" fillId="5" borderId="59" xfId="1" applyFont="1" applyFill="1" applyBorder="1" applyAlignment="1">
      <alignment horizontal="right"/>
    </xf>
    <xf numFmtId="49" fontId="40" fillId="5" borderId="59" xfId="1" applyNumberFormat="1" applyFont="1" applyFill="1" applyBorder="1" applyAlignment="1">
      <alignment horizontal="center"/>
    </xf>
    <xf numFmtId="0" fontId="40" fillId="5" borderId="84" xfId="1" applyFont="1" applyFill="1" applyBorder="1" applyAlignment="1">
      <alignment horizontal="center"/>
    </xf>
    <xf numFmtId="0" fontId="38" fillId="5" borderId="64" xfId="1" applyFont="1" applyFill="1" applyBorder="1"/>
    <xf numFmtId="0" fontId="41" fillId="5" borderId="64" xfId="1" applyFont="1" applyFill="1" applyBorder="1"/>
    <xf numFmtId="0" fontId="38" fillId="5" borderId="85" xfId="1" quotePrefix="1" applyFont="1" applyFill="1" applyBorder="1" applyAlignment="1">
      <alignment horizontal="left"/>
    </xf>
    <xf numFmtId="0" fontId="38" fillId="5" borderId="78" xfId="1" applyFont="1" applyFill="1" applyBorder="1"/>
    <xf numFmtId="0" fontId="41" fillId="5" borderId="78" xfId="1" applyFont="1" applyFill="1" applyBorder="1"/>
    <xf numFmtId="0" fontId="38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8" fillId="5" borderId="63" xfId="1" applyFont="1" applyFill="1" applyBorder="1"/>
    <xf numFmtId="0" fontId="19" fillId="5" borderId="68" xfId="1" applyFont="1" applyFill="1" applyBorder="1"/>
    <xf numFmtId="0" fontId="38" fillId="5" borderId="86" xfId="1" applyFont="1" applyFill="1" applyBorder="1"/>
    <xf numFmtId="0" fontId="21" fillId="5" borderId="69" xfId="1" applyFont="1" applyFill="1" applyBorder="1" applyAlignment="1">
      <alignment horizontal="right"/>
    </xf>
    <xf numFmtId="0" fontId="38" fillId="5" borderId="58" xfId="1" quotePrefix="1" applyFont="1" applyFill="1" applyBorder="1" applyAlignment="1">
      <alignment horizontal="left"/>
    </xf>
    <xf numFmtId="0" fontId="36" fillId="0" borderId="93" xfId="1" applyFont="1" applyBorder="1"/>
    <xf numFmtId="0" fontId="38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8" fillId="5" borderId="94" xfId="1" applyFont="1" applyFill="1" applyBorder="1" applyAlignment="1">
      <alignment horizontal="left"/>
    </xf>
    <xf numFmtId="0" fontId="38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8" fillId="5" borderId="95" xfId="1" applyFont="1" applyFill="1" applyBorder="1"/>
    <xf numFmtId="0" fontId="36" fillId="0" borderId="96" xfId="1" applyFont="1" applyBorder="1"/>
    <xf numFmtId="0" fontId="40" fillId="0" borderId="96" xfId="1" applyFont="1" applyBorder="1" applyAlignment="1">
      <alignment horizontal="center"/>
    </xf>
    <xf numFmtId="0" fontId="40" fillId="0" borderId="97" xfId="1" applyFont="1" applyBorder="1" applyAlignment="1">
      <alignment horizontal="center"/>
    </xf>
    <xf numFmtId="0" fontId="38" fillId="5" borderId="98" xfId="1" applyFont="1" applyFill="1" applyBorder="1" applyAlignment="1">
      <alignment horizontal="center"/>
    </xf>
    <xf numFmtId="0" fontId="38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40" fillId="0" borderId="69" xfId="1" applyFont="1" applyBorder="1" applyAlignment="1">
      <alignment horizontal="center"/>
    </xf>
    <xf numFmtId="0" fontId="40" fillId="0" borderId="74" xfId="1" applyFont="1" applyBorder="1" applyAlignment="1">
      <alignment horizontal="center"/>
    </xf>
    <xf numFmtId="0" fontId="40" fillId="0" borderId="46" xfId="1" applyFont="1" applyBorder="1"/>
    <xf numFmtId="0" fontId="45" fillId="0" borderId="24" xfId="1" applyFont="1" applyBorder="1"/>
    <xf numFmtId="0" fontId="31" fillId="0" borderId="102" xfId="1" applyFont="1" applyBorder="1" applyAlignment="1">
      <alignment horizontal="left"/>
    </xf>
    <xf numFmtId="0" fontId="31" fillId="0" borderId="62" xfId="1" applyFont="1" applyBorder="1" applyAlignment="1">
      <alignment horizontal="left"/>
    </xf>
    <xf numFmtId="0" fontId="22" fillId="5" borderId="103" xfId="1" applyFont="1" applyFill="1" applyBorder="1" applyAlignment="1">
      <alignment horizontal="center"/>
    </xf>
    <xf numFmtId="167" fontId="40" fillId="0" borderId="69" xfId="1" applyNumberFormat="1" applyFont="1" applyBorder="1" applyAlignment="1">
      <alignment horizontal="center"/>
    </xf>
    <xf numFmtId="0" fontId="38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40" fillId="5" borderId="107" xfId="1" applyFont="1" applyFill="1" applyBorder="1" applyAlignment="1">
      <alignment horizontal="center"/>
    </xf>
    <xf numFmtId="0" fontId="36" fillId="0" borderId="78" xfId="1" applyFont="1" applyBorder="1"/>
    <xf numFmtId="0" fontId="36" fillId="0" borderId="79" xfId="1" applyFont="1" applyBorder="1"/>
    <xf numFmtId="0" fontId="36" fillId="0" borderId="87" xfId="1" applyFont="1" applyBorder="1"/>
    <xf numFmtId="0" fontId="38" fillId="5" borderId="96" xfId="1" applyFont="1" applyFill="1" applyBorder="1"/>
    <xf numFmtId="0" fontId="21" fillId="5" borderId="64" xfId="1" applyFont="1" applyFill="1" applyBorder="1" applyAlignment="1">
      <alignment horizontal="right" shrinkToFit="1"/>
    </xf>
    <xf numFmtId="9" fontId="36" fillId="0" borderId="0" xfId="1" applyNumberFormat="1" applyFont="1"/>
    <xf numFmtId="0" fontId="38" fillId="5" borderId="83" xfId="1" applyFont="1" applyFill="1" applyBorder="1"/>
    <xf numFmtId="0" fontId="38" fillId="5" borderId="56" xfId="1" applyFont="1" applyFill="1" applyBorder="1"/>
    <xf numFmtId="0" fontId="21" fillId="5" borderId="64" xfId="1" applyFont="1" applyFill="1" applyBorder="1" applyAlignment="1">
      <alignment horizontal="right"/>
    </xf>
    <xf numFmtId="2" fontId="40" fillId="5" borderId="64" xfId="1" applyNumberFormat="1" applyFont="1" applyFill="1" applyBorder="1" applyAlignment="1">
      <alignment horizontal="center"/>
    </xf>
    <xf numFmtId="0" fontId="21" fillId="5" borderId="56" xfId="1" applyFont="1" applyFill="1" applyBorder="1" applyAlignment="1">
      <alignment horizontal="right"/>
    </xf>
    <xf numFmtId="0" fontId="21" fillId="5" borderId="64" xfId="1" applyFont="1" applyFill="1" applyBorder="1"/>
    <xf numFmtId="0" fontId="38" fillId="5" borderId="110" xfId="1" applyFont="1" applyFill="1" applyBorder="1"/>
    <xf numFmtId="0" fontId="38" fillId="5" borderId="111" xfId="1" applyFont="1" applyFill="1" applyBorder="1"/>
    <xf numFmtId="0" fontId="38" fillId="5" borderId="112" xfId="1" applyFont="1" applyFill="1" applyBorder="1"/>
    <xf numFmtId="0" fontId="21" fillId="5" borderId="112" xfId="1" applyFont="1" applyFill="1" applyBorder="1"/>
    <xf numFmtId="167" fontId="40" fillId="5" borderId="112" xfId="1" applyNumberFormat="1" applyFont="1" applyFill="1" applyBorder="1" applyAlignment="1">
      <alignment horizontal="center"/>
    </xf>
    <xf numFmtId="0" fontId="40" fillId="5" borderId="113" xfId="1" applyFont="1" applyFill="1" applyBorder="1" applyAlignment="1">
      <alignment horizontal="center"/>
    </xf>
    <xf numFmtId="0" fontId="38" fillId="5" borderId="73" xfId="1" applyFont="1" applyFill="1" applyBorder="1"/>
    <xf numFmtId="0" fontId="38" fillId="5" borderId="103" xfId="1" applyFont="1" applyFill="1" applyBorder="1" applyAlignment="1">
      <alignment horizontal="left"/>
    </xf>
    <xf numFmtId="0" fontId="38" fillId="5" borderId="73" xfId="1" applyFont="1" applyFill="1" applyBorder="1" applyAlignment="1">
      <alignment horizontal="left"/>
    </xf>
    <xf numFmtId="1" fontId="40" fillId="5" borderId="59" xfId="1" applyNumberFormat="1" applyFont="1" applyFill="1" applyBorder="1" applyAlignment="1">
      <alignment horizontal="center"/>
    </xf>
    <xf numFmtId="0" fontId="40" fillId="5" borderId="114" xfId="1" applyFont="1" applyFill="1" applyBorder="1" applyAlignment="1">
      <alignment horizontal="center"/>
    </xf>
    <xf numFmtId="0" fontId="47" fillId="0" borderId="0" xfId="1" quotePrefix="1" applyFont="1" applyAlignment="1">
      <alignment horizontal="left"/>
    </xf>
    <xf numFmtId="0" fontId="38" fillId="5" borderId="0" xfId="1" applyFont="1" applyFill="1"/>
    <xf numFmtId="0" fontId="38" fillId="5" borderId="86" xfId="1" applyFont="1" applyFill="1" applyBorder="1" applyAlignment="1">
      <alignment horizontal="left"/>
    </xf>
    <xf numFmtId="0" fontId="38" fillId="5" borderId="69" xfId="1" applyFont="1" applyFill="1" applyBorder="1" applyAlignment="1">
      <alignment horizontal="left"/>
    </xf>
    <xf numFmtId="0" fontId="38" fillId="5" borderId="40" xfId="1" applyFont="1" applyFill="1" applyBorder="1"/>
    <xf numFmtId="0" fontId="38" fillId="5" borderId="107" xfId="1" applyFont="1" applyFill="1" applyBorder="1" applyAlignment="1">
      <alignment horizontal="left"/>
    </xf>
    <xf numFmtId="0" fontId="38" fillId="5" borderId="99" xfId="1" applyFont="1" applyFill="1" applyBorder="1" applyAlignment="1">
      <alignment horizontal="left"/>
    </xf>
    <xf numFmtId="1" fontId="40" fillId="5" borderId="78" xfId="1" applyNumberFormat="1" applyFont="1" applyFill="1" applyBorder="1" applyAlignment="1">
      <alignment horizontal="center"/>
    </xf>
    <xf numFmtId="0" fontId="40" fillId="5" borderId="115" xfId="1" applyFont="1" applyFill="1" applyBorder="1" applyAlignment="1">
      <alignment horizontal="center"/>
    </xf>
    <xf numFmtId="0" fontId="31" fillId="5" borderId="80" xfId="1" applyFont="1" applyFill="1" applyBorder="1" applyAlignment="1">
      <alignment horizontal="left"/>
    </xf>
    <xf numFmtId="0" fontId="33" fillId="5" borderId="83" xfId="1" applyFont="1" applyFill="1" applyBorder="1"/>
    <xf numFmtId="0" fontId="48" fillId="0" borderId="0" xfId="1" applyFont="1"/>
    <xf numFmtId="0" fontId="38" fillId="0" borderId="116" xfId="1" applyFont="1" applyBorder="1"/>
    <xf numFmtId="0" fontId="38" fillId="5" borderId="119" xfId="1" applyFont="1" applyFill="1" applyBorder="1"/>
    <xf numFmtId="0" fontId="49" fillId="5" borderId="120" xfId="1" applyFont="1" applyFill="1" applyBorder="1" applyAlignment="1">
      <alignment horizontal="center" shrinkToFit="1"/>
    </xf>
    <xf numFmtId="0" fontId="33" fillId="5" borderId="45" xfId="1" applyFont="1" applyFill="1" applyBorder="1"/>
    <xf numFmtId="0" fontId="38" fillId="5" borderId="121" xfId="1" applyFont="1" applyFill="1" applyBorder="1"/>
    <xf numFmtId="0" fontId="38" fillId="5" borderId="23" xfId="1" applyFont="1" applyFill="1" applyBorder="1"/>
    <xf numFmtId="14" fontId="19" fillId="5" borderId="124" xfId="1" applyNumberFormat="1" applyFont="1" applyFill="1" applyBorder="1" applyAlignment="1">
      <alignment horizontal="center"/>
    </xf>
    <xf numFmtId="0" fontId="33" fillId="0" borderId="23" xfId="1" applyFont="1" applyBorder="1"/>
    <xf numFmtId="0" fontId="33" fillId="0" borderId="0" xfId="1" applyFont="1"/>
    <xf numFmtId="0" fontId="1" fillId="0" borderId="6" xfId="2" applyBorder="1"/>
    <xf numFmtId="0" fontId="1" fillId="0" borderId="7" xfId="2" applyBorder="1"/>
    <xf numFmtId="0" fontId="1" fillId="0" borderId="41" xfId="2" applyBorder="1"/>
    <xf numFmtId="0" fontId="1" fillId="0" borderId="41" xfId="2" applyBorder="1" applyAlignment="1">
      <alignment horizontal="center"/>
    </xf>
    <xf numFmtId="0" fontId="52" fillId="0" borderId="41" xfId="2" applyFont="1" applyBorder="1" applyAlignment="1">
      <alignment horizontal="center"/>
    </xf>
    <xf numFmtId="0" fontId="1" fillId="0" borderId="0" xfId="2"/>
    <xf numFmtId="0" fontId="53" fillId="0" borderId="127" xfId="2" applyFont="1" applyBorder="1" applyAlignment="1">
      <alignment horizontal="center"/>
    </xf>
    <xf numFmtId="0" fontId="1" fillId="0" borderId="127" xfId="2" applyBorder="1" applyAlignment="1">
      <alignment horizontal="center"/>
    </xf>
    <xf numFmtId="0" fontId="52" fillId="0" borderId="127" xfId="2" applyFont="1" applyBorder="1" applyAlignment="1">
      <alignment horizontal="center"/>
    </xf>
    <xf numFmtId="0" fontId="53" fillId="0" borderId="45" xfId="2" applyFont="1" applyBorder="1" applyAlignment="1">
      <alignment horizontal="center"/>
    </xf>
    <xf numFmtId="0" fontId="53" fillId="0" borderId="0" xfId="2" applyFont="1" applyAlignment="1">
      <alignment horizontal="center"/>
    </xf>
    <xf numFmtId="0" fontId="1" fillId="0" borderId="45" xfId="2" applyBorder="1"/>
    <xf numFmtId="0" fontId="54" fillId="0" borderId="0" xfId="2" applyFont="1"/>
    <xf numFmtId="0" fontId="1" fillId="0" borderId="127" xfId="2" applyBorder="1"/>
    <xf numFmtId="0" fontId="52" fillId="0" borderId="0" xfId="2" applyFont="1"/>
    <xf numFmtId="0" fontId="52" fillId="0" borderId="127" xfId="2" applyFont="1" applyBorder="1"/>
    <xf numFmtId="170" fontId="1" fillId="0" borderId="3" xfId="2" applyNumberFormat="1" applyBorder="1"/>
    <xf numFmtId="49" fontId="1" fillId="0" borderId="1" xfId="2" applyNumberFormat="1" applyBorder="1" applyAlignment="1">
      <alignment horizontal="center"/>
    </xf>
    <xf numFmtId="49" fontId="1" fillId="0" borderId="1" xfId="2" applyNumberFormat="1" applyBorder="1"/>
    <xf numFmtId="49" fontId="52" fillId="0" borderId="1" xfId="2" applyNumberFormat="1" applyFont="1" applyBorder="1"/>
    <xf numFmtId="171" fontId="52" fillId="0" borderId="1" xfId="2" applyNumberFormat="1" applyFont="1" applyBorder="1"/>
    <xf numFmtId="0" fontId="1" fillId="0" borderId="1" xfId="2" applyBorder="1"/>
    <xf numFmtId="0" fontId="1" fillId="0" borderId="9" xfId="2" applyBorder="1"/>
    <xf numFmtId="171" fontId="1" fillId="0" borderId="1" xfId="2" applyNumberFormat="1" applyBorder="1"/>
    <xf numFmtId="0" fontId="1" fillId="0" borderId="1" xfId="2" applyBorder="1" applyAlignment="1">
      <alignment horizontal="center"/>
    </xf>
    <xf numFmtId="170" fontId="1" fillId="0" borderId="18" xfId="2" applyNumberFormat="1" applyBorder="1"/>
    <xf numFmtId="49" fontId="1" fillId="0" borderId="26" xfId="2" applyNumberFormat="1" applyBorder="1"/>
    <xf numFmtId="171" fontId="1" fillId="0" borderId="26" xfId="2" applyNumberFormat="1" applyBorder="1"/>
    <xf numFmtId="0" fontId="1" fillId="0" borderId="26" xfId="2" applyBorder="1"/>
    <xf numFmtId="0" fontId="1" fillId="0" borderId="128" xfId="2" applyBorder="1"/>
    <xf numFmtId="0" fontId="52" fillId="0" borderId="129" xfId="2" applyFont="1" applyBorder="1" applyAlignment="1">
      <alignment horizontal="center"/>
    </xf>
    <xf numFmtId="0" fontId="52" fillId="0" borderId="130" xfId="2" applyFont="1" applyBorder="1" applyAlignment="1">
      <alignment horizontal="center"/>
    </xf>
    <xf numFmtId="49" fontId="52" fillId="0" borderId="2" xfId="2" applyNumberFormat="1" applyFont="1" applyBorder="1" applyAlignment="1">
      <alignment horizontal="center"/>
    </xf>
    <xf numFmtId="0" fontId="1" fillId="0" borderId="55" xfId="2" applyBorder="1" applyAlignment="1">
      <alignment horizontal="left"/>
    </xf>
    <xf numFmtId="49" fontId="1" fillId="0" borderId="3" xfId="2" applyNumberFormat="1" applyBorder="1"/>
    <xf numFmtId="0" fontId="1" fillId="0" borderId="132" xfId="2" applyBorder="1" applyAlignment="1">
      <alignment horizontal="left"/>
    </xf>
    <xf numFmtId="49" fontId="1" fillId="0" borderId="4" xfId="2" applyNumberFormat="1" applyBorder="1"/>
    <xf numFmtId="0" fontId="1" fillId="0" borderId="133" xfId="2" applyBorder="1" applyAlignment="1">
      <alignment horizontal="left"/>
    </xf>
    <xf numFmtId="0" fontId="37" fillId="5" borderId="81" xfId="3" applyFont="1" applyFill="1" applyBorder="1" applyAlignment="1">
      <alignment horizontal="left"/>
    </xf>
    <xf numFmtId="0" fontId="31" fillId="5" borderId="81" xfId="3" applyFont="1" applyFill="1" applyBorder="1" applyAlignment="1">
      <alignment horizontal="left"/>
    </xf>
    <xf numFmtId="0" fontId="31" fillId="5" borderId="82" xfId="3" applyFont="1" applyFill="1" applyBorder="1" applyAlignment="1">
      <alignment horizontal="left"/>
    </xf>
    <xf numFmtId="0" fontId="36" fillId="5" borderId="84" xfId="3" applyFont="1" applyFill="1" applyBorder="1" applyAlignment="1">
      <alignment horizontal="left"/>
    </xf>
    <xf numFmtId="0" fontId="19" fillId="5" borderId="68" xfId="3" applyFont="1" applyFill="1" applyBorder="1" applyAlignment="1">
      <alignment horizontal="left"/>
    </xf>
    <xf numFmtId="0" fontId="33" fillId="5" borderId="68" xfId="3" applyFont="1" applyFill="1" applyBorder="1" applyAlignment="1">
      <alignment horizontal="left"/>
    </xf>
    <xf numFmtId="0" fontId="33" fillId="5" borderId="125" xfId="3" applyFont="1" applyFill="1" applyBorder="1" applyAlignment="1">
      <alignment horizontal="left"/>
    </xf>
    <xf numFmtId="0" fontId="33" fillId="5" borderId="126" xfId="3" applyFont="1" applyFill="1" applyBorder="1" applyAlignment="1">
      <alignment horizontal="left"/>
    </xf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7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7" fillId="0" borderId="0" xfId="4" applyFont="1"/>
    <xf numFmtId="0" fontId="55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5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55" fillId="0" borderId="131" xfId="4" applyFont="1" applyBorder="1" applyAlignment="1">
      <alignment horizontal="center"/>
    </xf>
    <xf numFmtId="0" fontId="55" fillId="0" borderId="132" xfId="4" quotePrefix="1" applyFont="1" applyBorder="1" applyAlignment="1">
      <alignment horizontal="center"/>
    </xf>
    <xf numFmtId="0" fontId="55" fillId="0" borderId="132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8" fillId="0" borderId="61" xfId="4" applyFont="1" applyBorder="1"/>
    <xf numFmtId="0" fontId="58" fillId="0" borderId="62" xfId="4" applyFont="1" applyBorder="1"/>
    <xf numFmtId="0" fontId="58" fillId="0" borderId="38" xfId="4" applyFont="1" applyBorder="1"/>
    <xf numFmtId="0" fontId="59" fillId="0" borderId="83" xfId="4" applyFont="1" applyBorder="1" applyAlignment="1">
      <alignment horizontal="centerContinuous"/>
    </xf>
    <xf numFmtId="0" fontId="58" fillId="0" borderId="0" xfId="4" applyFont="1" applyAlignment="1">
      <alignment horizontal="centerContinuous"/>
    </xf>
    <xf numFmtId="0" fontId="58" fillId="0" borderId="108" xfId="4" applyFont="1" applyBorder="1" applyAlignment="1">
      <alignment horizontal="centerContinuous"/>
    </xf>
    <xf numFmtId="0" fontId="60" fillId="0" borderId="83" xfId="4" applyFont="1" applyBorder="1" applyAlignment="1">
      <alignment horizontal="centerContinuous"/>
    </xf>
    <xf numFmtId="0" fontId="58" fillId="0" borderId="83" xfId="4" applyFont="1" applyBorder="1"/>
    <xf numFmtId="0" fontId="58" fillId="0" borderId="0" xfId="4" applyFont="1"/>
    <xf numFmtId="0" fontId="58" fillId="0" borderId="108" xfId="4" applyFont="1" applyBorder="1"/>
    <xf numFmtId="0" fontId="61" fillId="0" borderId="1" xfId="4" applyFont="1" applyBorder="1" applyAlignment="1">
      <alignment horizontal="right"/>
    </xf>
    <xf numFmtId="0" fontId="58" fillId="0" borderId="1" xfId="4" applyFont="1" applyBorder="1" applyAlignment="1">
      <alignment horizontal="center"/>
    </xf>
    <xf numFmtId="14" fontId="58" fillId="0" borderId="1" xfId="4" applyNumberFormat="1" applyFont="1" applyBorder="1" applyAlignment="1">
      <alignment horizontal="center"/>
    </xf>
    <xf numFmtId="0" fontId="61" fillId="0" borderId="0" xfId="4" applyFont="1" applyAlignment="1">
      <alignment horizontal="right"/>
    </xf>
    <xf numFmtId="0" fontId="58" fillId="0" borderId="0" xfId="4" applyFont="1" applyAlignment="1">
      <alignment horizontal="center"/>
    </xf>
    <xf numFmtId="9" fontId="58" fillId="0" borderId="0" xfId="4" applyNumberFormat="1" applyFont="1" applyAlignment="1">
      <alignment horizontal="center"/>
    </xf>
    <xf numFmtId="0" fontId="61" fillId="0" borderId="83" xfId="4" applyFont="1" applyBorder="1" applyAlignment="1">
      <alignment horizontal="right"/>
    </xf>
    <xf numFmtId="0" fontId="58" fillId="0" borderId="40" xfId="4" applyFont="1" applyBorder="1"/>
    <xf numFmtId="0" fontId="58" fillId="0" borderId="39" xfId="4" applyFont="1" applyBorder="1" applyAlignment="1">
      <alignment horizontal="center"/>
    </xf>
    <xf numFmtId="0" fontId="58" fillId="0" borderId="85" xfId="4" applyFont="1" applyBorder="1"/>
    <xf numFmtId="0" fontId="61" fillId="0" borderId="17" xfId="4" applyFont="1" applyBorder="1" applyAlignment="1">
      <alignment horizontal="right"/>
    </xf>
    <xf numFmtId="0" fontId="58" fillId="0" borderId="132" xfId="4" applyFont="1" applyBorder="1"/>
    <xf numFmtId="167" fontId="3" fillId="0" borderId="0" xfId="4" quotePrefix="1" applyNumberFormat="1" applyFont="1" applyAlignment="1">
      <alignment horizontal="center"/>
    </xf>
    <xf numFmtId="167" fontId="2" fillId="0" borderId="0" xfId="4" applyNumberFormat="1" applyFont="1" applyAlignment="1">
      <alignment horizontal="center"/>
    </xf>
    <xf numFmtId="167" fontId="3" fillId="0" borderId="0" xfId="4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63" fillId="0" borderId="0" xfId="4" applyFont="1"/>
    <xf numFmtId="0" fontId="64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18" fillId="0" borderId="0" xfId="4" applyFont="1"/>
    <xf numFmtId="0" fontId="2" fillId="0" borderId="44" xfId="4" applyFont="1" applyBorder="1" applyAlignment="1">
      <alignment horizontal="center"/>
    </xf>
    <xf numFmtId="0" fontId="2" fillId="0" borderId="54" xfId="4" applyFont="1" applyBorder="1" applyAlignment="1">
      <alignment horizontal="center"/>
    </xf>
    <xf numFmtId="167" fontId="3" fillId="0" borderId="135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6" xfId="4" applyNumberFormat="1" applyFont="1" applyBorder="1" applyAlignment="1">
      <alignment horizontal="center"/>
    </xf>
    <xf numFmtId="167" fontId="3" fillId="0" borderId="137" xfId="4" quotePrefix="1" applyNumberFormat="1" applyFont="1" applyBorder="1" applyAlignment="1">
      <alignment horizontal="center"/>
    </xf>
    <xf numFmtId="167" fontId="2" fillId="0" borderId="132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3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72" fontId="66" fillId="0" borderId="6" xfId="5" applyFont="1" applyBorder="1" applyAlignment="1">
      <alignment horizontal="centerContinuous"/>
    </xf>
    <xf numFmtId="172" fontId="66" fillId="0" borderId="7" xfId="5" applyFont="1" applyBorder="1" applyAlignment="1">
      <alignment horizontal="centerContinuous"/>
    </xf>
    <xf numFmtId="172" fontId="67" fillId="0" borderId="12" xfId="5" applyFont="1" applyBorder="1" applyAlignment="1">
      <alignment horizontal="left"/>
    </xf>
    <xf numFmtId="172" fontId="68" fillId="0" borderId="55" xfId="5" applyFont="1" applyBorder="1"/>
    <xf numFmtId="172" fontId="67" fillId="0" borderId="13" xfId="5" applyFont="1" applyBorder="1" applyAlignment="1">
      <alignment horizontal="centerContinuous"/>
    </xf>
    <xf numFmtId="172" fontId="68" fillId="0" borderId="14" xfId="5" applyFont="1" applyBorder="1" applyAlignment="1">
      <alignment horizontal="centerContinuous"/>
    </xf>
    <xf numFmtId="172" fontId="69" fillId="0" borderId="0" xfId="5" applyFont="1"/>
    <xf numFmtId="172" fontId="65" fillId="0" borderId="0" xfId="5"/>
    <xf numFmtId="172" fontId="66" fillId="0" borderId="45" xfId="5" applyFont="1" applyBorder="1" applyAlignment="1">
      <alignment horizontal="centerContinuous"/>
    </xf>
    <xf numFmtId="172" fontId="66" fillId="0" borderId="0" xfId="5" applyFont="1" applyAlignment="1">
      <alignment horizontal="centerContinuous"/>
    </xf>
    <xf numFmtId="172" fontId="67" fillId="0" borderId="109" xfId="5" applyFont="1" applyBorder="1" applyAlignment="1">
      <alignment horizontal="left"/>
    </xf>
    <xf numFmtId="172" fontId="68" fillId="0" borderId="39" xfId="5" applyFont="1" applyBorder="1"/>
    <xf numFmtId="172" fontId="67" fillId="0" borderId="40" xfId="5" applyFont="1" applyBorder="1" applyAlignment="1">
      <alignment horizontal="centerContinuous"/>
    </xf>
    <xf numFmtId="172" fontId="68" fillId="0" borderId="29" xfId="5" applyFont="1" applyBorder="1" applyAlignment="1">
      <alignment horizontal="centerContinuous"/>
    </xf>
    <xf numFmtId="172" fontId="68" fillId="0" borderId="45" xfId="5" applyFont="1" applyBorder="1" applyAlignment="1">
      <alignment horizontal="centerContinuous"/>
    </xf>
    <xf numFmtId="172" fontId="68" fillId="0" borderId="0" xfId="5" applyFont="1" applyAlignment="1">
      <alignment horizontal="centerContinuous"/>
    </xf>
    <xf numFmtId="172" fontId="67" fillId="0" borderId="40" xfId="5" quotePrefix="1" applyFont="1" applyBorder="1" applyAlignment="1">
      <alignment horizontal="centerContinuous"/>
    </xf>
    <xf numFmtId="172" fontId="70" fillId="0" borderId="45" xfId="5" applyFont="1" applyBorder="1" applyAlignment="1">
      <alignment horizontal="centerContinuous"/>
    </xf>
    <xf numFmtId="172" fontId="69" fillId="0" borderId="45" xfId="5" applyFont="1" applyBorder="1" applyAlignment="1">
      <alignment horizontal="centerContinuous"/>
    </xf>
    <xf numFmtId="172" fontId="69" fillId="0" borderId="46" xfId="5" applyFont="1" applyBorder="1" applyAlignment="1">
      <alignment horizontal="centerContinuous"/>
    </xf>
    <xf numFmtId="172" fontId="68" fillId="0" borderId="23" xfId="5" applyFont="1" applyBorder="1" applyAlignment="1">
      <alignment horizontal="centerContinuous"/>
    </xf>
    <xf numFmtId="172" fontId="67" fillId="0" borderId="46" xfId="5" applyFont="1" applyBorder="1" applyAlignment="1">
      <alignment horizontal="left"/>
    </xf>
    <xf numFmtId="172" fontId="68" fillId="0" borderId="48" xfId="5" applyFont="1" applyBorder="1"/>
    <xf numFmtId="172" fontId="71" fillId="0" borderId="23" xfId="5" applyFont="1" applyBorder="1" applyAlignment="1">
      <alignment horizontal="centerContinuous"/>
    </xf>
    <xf numFmtId="172" fontId="68" fillId="0" borderId="24" xfId="5" applyFont="1" applyBorder="1" applyAlignment="1">
      <alignment horizontal="centerContinuous"/>
    </xf>
    <xf numFmtId="172" fontId="69" fillId="0" borderId="0" xfId="5" applyFont="1" applyAlignment="1">
      <alignment horizontal="centerContinuous"/>
    </xf>
    <xf numFmtId="172" fontId="67" fillId="0" borderId="0" xfId="5" applyFont="1" applyAlignment="1">
      <alignment horizontal="left"/>
    </xf>
    <xf numFmtId="172" fontId="68" fillId="0" borderId="0" xfId="5" applyFont="1"/>
    <xf numFmtId="172" fontId="67" fillId="0" borderId="0" xfId="5" applyFont="1" applyAlignment="1">
      <alignment horizontal="centerContinuous"/>
    </xf>
    <xf numFmtId="172" fontId="72" fillId="0" borderId="0" xfId="5" applyFont="1"/>
    <xf numFmtId="172" fontId="72" fillId="0" borderId="0" xfId="5" applyFont="1" applyAlignment="1">
      <alignment horizontal="right"/>
    </xf>
    <xf numFmtId="172" fontId="72" fillId="0" borderId="0" xfId="5" applyFont="1" applyAlignment="1" applyProtection="1">
      <alignment horizontal="left"/>
      <protection locked="0"/>
    </xf>
    <xf numFmtId="172" fontId="72" fillId="0" borderId="0" xfId="5" applyFont="1" applyAlignment="1">
      <alignment horizontal="centerContinuous"/>
    </xf>
    <xf numFmtId="172" fontId="72" fillId="0" borderId="0" xfId="5" applyFont="1" applyAlignment="1">
      <alignment horizontal="left"/>
    </xf>
    <xf numFmtId="49" fontId="72" fillId="0" borderId="0" xfId="5" quotePrefix="1" applyNumberFormat="1" applyFont="1" applyAlignment="1" applyProtection="1">
      <alignment horizontal="left"/>
      <protection locked="0"/>
    </xf>
    <xf numFmtId="172" fontId="73" fillId="0" borderId="138" xfId="5" applyFont="1" applyBorder="1" applyAlignment="1">
      <alignment horizontal="centerContinuous"/>
    </xf>
    <xf numFmtId="172" fontId="69" fillId="0" borderId="139" xfId="5" applyFont="1" applyBorder="1" applyAlignment="1">
      <alignment horizontal="centerContinuous"/>
    </xf>
    <xf numFmtId="172" fontId="69" fillId="0" borderId="140" xfId="5" applyFont="1" applyBorder="1" applyAlignment="1">
      <alignment horizontal="centerContinuous"/>
    </xf>
    <xf numFmtId="172" fontId="72" fillId="0" borderId="45" xfId="5" applyFont="1" applyBorder="1"/>
    <xf numFmtId="172" fontId="72" fillId="0" borderId="0" xfId="5" applyFont="1" applyAlignment="1" applyProtection="1">
      <alignment horizontal="center"/>
      <protection locked="0"/>
    </xf>
    <xf numFmtId="172" fontId="72" fillId="0" borderId="21" xfId="5" applyFont="1" applyBorder="1" applyAlignment="1" applyProtection="1">
      <alignment horizontal="center"/>
      <protection locked="0"/>
    </xf>
    <xf numFmtId="172" fontId="72" fillId="0" borderId="0" xfId="5" applyFont="1" applyAlignment="1">
      <alignment horizontal="center"/>
    </xf>
    <xf numFmtId="49" fontId="72" fillId="0" borderId="0" xfId="5" applyNumberFormat="1" applyFont="1" applyAlignment="1">
      <alignment horizontal="center"/>
    </xf>
    <xf numFmtId="172" fontId="72" fillId="0" borderId="0" xfId="5" quotePrefix="1" applyFont="1" applyAlignment="1">
      <alignment horizontal="right"/>
    </xf>
    <xf numFmtId="172" fontId="72" fillId="0" borderId="0" xfId="5" quotePrefix="1" applyFont="1" applyAlignment="1" applyProtection="1">
      <alignment horizontal="center"/>
      <protection locked="0"/>
    </xf>
    <xf numFmtId="172" fontId="72" fillId="0" borderId="21" xfId="5" applyFont="1" applyBorder="1"/>
    <xf numFmtId="172" fontId="72" fillId="0" borderId="46" xfId="5" applyFont="1" applyBorder="1"/>
    <xf numFmtId="172" fontId="72" fillId="0" borderId="23" xfId="5" applyFont="1" applyBorder="1" applyAlignment="1">
      <alignment horizontal="right"/>
    </xf>
    <xf numFmtId="167" fontId="72" fillId="0" borderId="23" xfId="5" quotePrefix="1" applyNumberFormat="1" applyFont="1" applyBorder="1" applyAlignment="1" applyProtection="1">
      <alignment horizontal="center"/>
      <protection locked="0"/>
    </xf>
    <xf numFmtId="172" fontId="72" fillId="0" borderId="23" xfId="5" applyFont="1" applyBorder="1"/>
    <xf numFmtId="167" fontId="72" fillId="0" borderId="23" xfId="5" applyNumberFormat="1" applyFont="1" applyBorder="1"/>
    <xf numFmtId="172" fontId="72" fillId="0" borderId="24" xfId="5" applyFont="1" applyBorder="1"/>
    <xf numFmtId="172" fontId="74" fillId="0" borderId="45" xfId="5" quotePrefix="1" applyFont="1" applyBorder="1" applyAlignment="1">
      <alignment horizontal="left"/>
    </xf>
    <xf numFmtId="172" fontId="68" fillId="0" borderId="0" xfId="5" quotePrefix="1" applyFont="1" applyAlignment="1">
      <alignment horizontal="right"/>
    </xf>
    <xf numFmtId="172" fontId="68" fillId="0" borderId="108" xfId="5" applyFont="1" applyBorder="1"/>
    <xf numFmtId="172" fontId="74" fillId="0" borderId="0" xfId="5" applyFont="1" applyAlignment="1">
      <alignment horizontal="left"/>
    </xf>
    <xf numFmtId="172" fontId="68" fillId="0" borderId="0" xfId="5" applyFont="1" applyAlignment="1">
      <alignment horizontal="right"/>
    </xf>
    <xf numFmtId="172" fontId="68" fillId="0" borderId="108" xfId="5" applyFont="1" applyBorder="1" applyAlignment="1">
      <alignment horizontal="right"/>
    </xf>
    <xf numFmtId="172" fontId="74" fillId="0" borderId="0" xfId="5" quotePrefix="1" applyFont="1" applyAlignment="1">
      <alignment horizontal="left"/>
    </xf>
    <xf numFmtId="172" fontId="68" fillId="0" borderId="21" xfId="5" applyFont="1" applyBorder="1"/>
    <xf numFmtId="172" fontId="65" fillId="0" borderId="45" xfId="5" applyBorder="1"/>
    <xf numFmtId="172" fontId="72" fillId="0" borderId="108" xfId="5" applyFont="1" applyBorder="1" applyAlignment="1" applyProtection="1">
      <alignment horizontal="center"/>
      <protection locked="0"/>
    </xf>
    <xf numFmtId="1" fontId="72" fillId="0" borderId="108" xfId="5" applyNumberFormat="1" applyFont="1" applyBorder="1" applyAlignment="1">
      <alignment horizontal="center"/>
    </xf>
    <xf numFmtId="172" fontId="72" fillId="0" borderId="108" xfId="5" applyFont="1" applyBorder="1"/>
    <xf numFmtId="172" fontId="72" fillId="0" borderId="48" xfId="5" applyFont="1" applyBorder="1"/>
    <xf numFmtId="172" fontId="72" fillId="0" borderId="48" xfId="5" applyFont="1" applyBorder="1" applyAlignment="1">
      <alignment horizontal="left"/>
    </xf>
    <xf numFmtId="172" fontId="73" fillId="0" borderId="141" xfId="5" applyFont="1" applyBorder="1" applyAlignment="1">
      <alignment horizontal="centerContinuous"/>
    </xf>
    <xf numFmtId="172" fontId="69" fillId="0" borderId="142" xfId="5" applyFont="1" applyBorder="1" applyAlignment="1">
      <alignment horizontal="centerContinuous"/>
    </xf>
    <xf numFmtId="172" fontId="65" fillId="0" borderId="143" xfId="5" applyBorder="1"/>
    <xf numFmtId="172" fontId="69" fillId="0" borderId="144" xfId="5" applyFont="1" applyBorder="1" applyAlignment="1">
      <alignment horizontal="centerContinuous"/>
    </xf>
    <xf numFmtId="172" fontId="74" fillId="0" borderId="45" xfId="5" applyFont="1" applyBorder="1" applyAlignment="1">
      <alignment horizontal="left"/>
    </xf>
    <xf numFmtId="172" fontId="65" fillId="0" borderId="108" xfId="5" applyBorder="1"/>
    <xf numFmtId="167" fontId="72" fillId="0" borderId="0" xfId="5" applyNumberFormat="1" applyFont="1" applyAlignment="1" applyProtection="1">
      <alignment horizontal="center"/>
      <protection locked="0"/>
    </xf>
    <xf numFmtId="172" fontId="72" fillId="0" borderId="45" xfId="5" applyFont="1" applyBorder="1" applyAlignment="1">
      <alignment horizontal="left"/>
    </xf>
    <xf numFmtId="172" fontId="65" fillId="0" borderId="48" xfId="5" applyBorder="1"/>
    <xf numFmtId="172" fontId="69" fillId="0" borderId="0" xfId="5" applyFont="1" applyAlignment="1">
      <alignment horizontal="left"/>
    </xf>
    <xf numFmtId="172" fontId="69" fillId="0" borderId="141" xfId="5" applyFont="1" applyBorder="1"/>
    <xf numFmtId="172" fontId="68" fillId="0" borderId="142" xfId="5" applyFont="1" applyBorder="1" applyAlignment="1">
      <alignment horizontal="left"/>
    </xf>
    <xf numFmtId="172" fontId="68" fillId="0" borderId="144" xfId="5" applyFont="1" applyBorder="1" applyAlignment="1">
      <alignment horizontal="left"/>
    </xf>
    <xf numFmtId="172" fontId="72" fillId="0" borderId="45" xfId="5" quotePrefix="1" applyFont="1" applyBorder="1" applyAlignment="1">
      <alignment horizontal="left"/>
    </xf>
    <xf numFmtId="172" fontId="72" fillId="0" borderId="21" xfId="5" applyFont="1" applyBorder="1" applyAlignment="1">
      <alignment horizontal="left"/>
    </xf>
    <xf numFmtId="172" fontId="75" fillId="0" borderId="145" xfId="5" applyFont="1" applyBorder="1"/>
    <xf numFmtId="172" fontId="72" fillId="0" borderId="0" xfId="5" quotePrefix="1" applyFont="1" applyAlignment="1">
      <alignment horizontal="left"/>
    </xf>
    <xf numFmtId="172" fontId="72" fillId="0" borderId="146" xfId="5" quotePrefix="1" applyFont="1" applyBorder="1" applyAlignment="1">
      <alignment horizontal="left"/>
    </xf>
    <xf numFmtId="172" fontId="72" fillId="0" borderId="147" xfId="5" quotePrefix="1" applyFont="1" applyBorder="1" applyAlignment="1">
      <alignment horizontal="left"/>
    </xf>
    <xf numFmtId="172" fontId="72" fillId="0" borderId="46" xfId="5" applyFont="1" applyBorder="1" applyAlignment="1">
      <alignment horizontal="left"/>
    </xf>
    <xf numFmtId="172" fontId="72" fillId="0" borderId="23" xfId="5" applyFont="1" applyBorder="1" applyAlignment="1">
      <alignment horizontal="left"/>
    </xf>
    <xf numFmtId="172" fontId="72" fillId="0" borderId="24" xfId="5" applyFont="1" applyBorder="1" applyAlignment="1">
      <alignment horizontal="left"/>
    </xf>
    <xf numFmtId="172" fontId="68" fillId="0" borderId="0" xfId="5" applyFont="1" applyAlignment="1">
      <alignment horizontal="left"/>
    </xf>
    <xf numFmtId="172" fontId="76" fillId="0" borderId="0" xfId="5" applyFont="1" applyAlignment="1">
      <alignment horizontal="right"/>
    </xf>
    <xf numFmtId="172" fontId="65" fillId="0" borderId="0" xfId="5" applyAlignment="1">
      <alignment horizontal="right"/>
    </xf>
    <xf numFmtId="49" fontId="58" fillId="0" borderId="40" xfId="4" applyNumberFormat="1" applyFont="1" applyBorder="1"/>
    <xf numFmtId="0" fontId="27" fillId="0" borderId="0" xfId="1" applyFont="1" applyAlignment="1">
      <alignment horizontal="center"/>
    </xf>
    <xf numFmtId="0" fontId="30" fillId="5" borderId="0" xfId="1" applyFont="1" applyFill="1" applyAlignment="1">
      <alignment horizontal="center"/>
    </xf>
    <xf numFmtId="0" fontId="32" fillId="5" borderId="23" xfId="1" applyFont="1" applyFill="1" applyBorder="1" applyAlignment="1">
      <alignment horizontal="center"/>
    </xf>
    <xf numFmtId="0" fontId="37" fillId="5" borderId="12" xfId="1" applyFont="1" applyFill="1" applyBorder="1" applyAlignment="1">
      <alignment horizontal="left"/>
    </xf>
    <xf numFmtId="0" fontId="37" fillId="5" borderId="13" xfId="1" applyFont="1" applyFill="1" applyBorder="1" applyAlignment="1">
      <alignment horizontal="left"/>
    </xf>
    <xf numFmtId="0" fontId="38" fillId="0" borderId="58" xfId="1" applyFont="1" applyBorder="1" applyAlignment="1">
      <alignment horizontal="left"/>
    </xf>
    <xf numFmtId="0" fontId="38" fillId="0" borderId="59" xfId="1" applyFont="1" applyBorder="1" applyAlignment="1">
      <alignment horizontal="left"/>
    </xf>
    <xf numFmtId="0" fontId="39" fillId="5" borderId="60" xfId="1" applyFont="1" applyFill="1" applyBorder="1" applyAlignment="1">
      <alignment horizontal="center"/>
    </xf>
    <xf numFmtId="0" fontId="39" fillId="5" borderId="56" xfId="1" applyFont="1" applyFill="1" applyBorder="1" applyAlignment="1">
      <alignment horizontal="center"/>
    </xf>
    <xf numFmtId="0" fontId="31" fillId="5" borderId="61" xfId="1" applyFont="1" applyFill="1" applyBorder="1" applyAlignment="1">
      <alignment horizontal="left"/>
    </xf>
    <xf numFmtId="0" fontId="31" fillId="5" borderId="62" xfId="1" applyFont="1" applyFill="1" applyBorder="1" applyAlignment="1">
      <alignment horizontal="left"/>
    </xf>
    <xf numFmtId="0" fontId="31" fillId="5" borderId="27" xfId="1" applyFont="1" applyFill="1" applyBorder="1" applyAlignment="1">
      <alignment horizontal="left"/>
    </xf>
    <xf numFmtId="0" fontId="31" fillId="0" borderId="80" xfId="1" applyFont="1" applyBorder="1" applyAlignment="1">
      <alignment horizontal="left"/>
    </xf>
    <xf numFmtId="0" fontId="31" fillId="0" borderId="81" xfId="1" applyFont="1" applyBorder="1" applyAlignment="1">
      <alignment horizontal="left"/>
    </xf>
    <xf numFmtId="0" fontId="31" fillId="0" borderId="82" xfId="1" applyFont="1" applyBorder="1" applyAlignment="1">
      <alignment horizontal="left"/>
    </xf>
    <xf numFmtId="0" fontId="38" fillId="0" borderId="63" xfId="1" applyFont="1" applyBorder="1" applyAlignment="1">
      <alignment horizontal="left"/>
    </xf>
    <xf numFmtId="0" fontId="38" fillId="0" borderId="64" xfId="1" applyFont="1" applyBorder="1" applyAlignment="1">
      <alignment horizontal="left"/>
    </xf>
    <xf numFmtId="2" fontId="40" fillId="0" borderId="65" xfId="1" applyNumberFormat="1" applyFont="1" applyBorder="1" applyAlignment="1">
      <alignment horizontal="center"/>
    </xf>
    <xf numFmtId="2" fontId="40" fillId="0" borderId="66" xfId="1" applyNumberFormat="1" applyFont="1" applyBorder="1" applyAlignment="1">
      <alignment horizontal="center"/>
    </xf>
    <xf numFmtId="0" fontId="40" fillId="0" borderId="65" xfId="1" applyFont="1" applyBorder="1" applyAlignment="1">
      <alignment horizontal="center"/>
    </xf>
    <xf numFmtId="0" fontId="40" fillId="0" borderId="66" xfId="1" applyFont="1" applyBorder="1" applyAlignment="1">
      <alignment horizontal="center"/>
    </xf>
    <xf numFmtId="0" fontId="38" fillId="0" borderId="75" xfId="1" applyFont="1" applyBorder="1" applyAlignment="1">
      <alignment horizontal="left"/>
    </xf>
    <xf numFmtId="0" fontId="38" fillId="0" borderId="68" xfId="1" applyFont="1" applyBorder="1" applyAlignment="1">
      <alignment horizontal="left"/>
    </xf>
    <xf numFmtId="0" fontId="38" fillId="0" borderId="69" xfId="1" applyFont="1" applyBorder="1" applyAlignment="1">
      <alignment horizontal="left"/>
    </xf>
    <xf numFmtId="167" fontId="40" fillId="5" borderId="65" xfId="1" applyNumberFormat="1" applyFont="1" applyFill="1" applyBorder="1" applyAlignment="1">
      <alignment horizontal="center"/>
    </xf>
    <xf numFmtId="167" fontId="40" fillId="5" borderId="66" xfId="1" applyNumberFormat="1" applyFont="1" applyFill="1" applyBorder="1" applyAlignment="1">
      <alignment horizontal="center"/>
    </xf>
    <xf numFmtId="0" fontId="40" fillId="5" borderId="65" xfId="1" applyFont="1" applyFill="1" applyBorder="1" applyAlignment="1">
      <alignment horizontal="center"/>
    </xf>
    <xf numFmtId="0" fontId="40" fillId="5" borderId="66" xfId="1" applyFont="1" applyFill="1" applyBorder="1" applyAlignment="1">
      <alignment horizontal="center"/>
    </xf>
    <xf numFmtId="167" fontId="40" fillId="0" borderId="65" xfId="1" applyNumberFormat="1" applyFont="1" applyBorder="1" applyAlignment="1">
      <alignment horizontal="center"/>
    </xf>
    <xf numFmtId="167" fontId="40" fillId="0" borderId="66" xfId="1" applyNumberFormat="1" applyFont="1" applyBorder="1" applyAlignment="1">
      <alignment horizontal="center"/>
    </xf>
    <xf numFmtId="1" fontId="40" fillId="5" borderId="65" xfId="1" applyNumberFormat="1" applyFont="1" applyFill="1" applyBorder="1" applyAlignment="1">
      <alignment horizontal="center"/>
    </xf>
    <xf numFmtId="1" fontId="40" fillId="5" borderId="66" xfId="1" applyNumberFormat="1" applyFont="1" applyFill="1" applyBorder="1" applyAlignment="1">
      <alignment horizontal="center"/>
    </xf>
    <xf numFmtId="0" fontId="38" fillId="5" borderId="75" xfId="1" applyFont="1" applyFill="1" applyBorder="1" applyAlignment="1">
      <alignment horizontal="left"/>
    </xf>
    <xf numFmtId="0" fontId="38" fillId="5" borderId="68" xfId="1" applyFont="1" applyFill="1" applyBorder="1" applyAlignment="1">
      <alignment horizontal="left"/>
    </xf>
    <xf numFmtId="0" fontId="38" fillId="5" borderId="69" xfId="1" applyFont="1" applyFill="1" applyBorder="1" applyAlignment="1">
      <alignment horizontal="left"/>
    </xf>
    <xf numFmtId="2" fontId="40" fillId="5" borderId="65" xfId="1" applyNumberFormat="1" applyFont="1" applyFill="1" applyBorder="1" applyAlignment="1">
      <alignment horizontal="center"/>
    </xf>
    <xf numFmtId="2" fontId="40" fillId="5" borderId="66" xfId="1" applyNumberFormat="1" applyFont="1" applyFill="1" applyBorder="1" applyAlignment="1">
      <alignment horizontal="center"/>
    </xf>
    <xf numFmtId="0" fontId="38" fillId="5" borderId="75" xfId="1" quotePrefix="1" applyFont="1" applyFill="1" applyBorder="1" applyAlignment="1">
      <alignment horizontal="left"/>
    </xf>
    <xf numFmtId="0" fontId="38" fillId="5" borderId="68" xfId="1" quotePrefix="1" applyFont="1" applyFill="1" applyBorder="1" applyAlignment="1">
      <alignment horizontal="left"/>
    </xf>
    <xf numFmtId="0" fontId="38" fillId="5" borderId="69" xfId="1" quotePrefix="1" applyFont="1" applyFill="1" applyBorder="1" applyAlignment="1">
      <alignment horizontal="left"/>
    </xf>
    <xf numFmtId="0" fontId="38" fillId="5" borderId="87" xfId="1" applyFont="1" applyFill="1" applyBorder="1" applyAlignment="1">
      <alignment horizontal="center"/>
    </xf>
    <xf numFmtId="0" fontId="38" fillId="5" borderId="88" xfId="1" applyFont="1" applyFill="1" applyBorder="1" applyAlignment="1">
      <alignment horizontal="center"/>
    </xf>
    <xf numFmtId="0" fontId="38" fillId="5" borderId="83" xfId="1" applyFont="1" applyFill="1" applyBorder="1" applyAlignment="1">
      <alignment horizontal="center"/>
    </xf>
    <xf numFmtId="0" fontId="38" fillId="5" borderId="0" xfId="1" applyFont="1" applyFill="1" applyAlignment="1">
      <alignment horizontal="center"/>
    </xf>
    <xf numFmtId="0" fontId="38" fillId="5" borderId="85" xfId="1" applyFont="1" applyFill="1" applyBorder="1" applyAlignment="1">
      <alignment horizontal="center"/>
    </xf>
    <xf numFmtId="0" fontId="38" fillId="5" borderId="40" xfId="1" applyFont="1" applyFill="1" applyBorder="1" applyAlignment="1">
      <alignment horizontal="center"/>
    </xf>
    <xf numFmtId="0" fontId="38" fillId="5" borderId="89" xfId="1" applyFont="1" applyFill="1" applyBorder="1" applyAlignment="1">
      <alignment horizontal="left"/>
    </xf>
    <xf numFmtId="0" fontId="38" fillId="5" borderId="90" xfId="1" applyFont="1" applyFill="1" applyBorder="1" applyAlignment="1">
      <alignment horizontal="left"/>
    </xf>
    <xf numFmtId="0" fontId="38" fillId="5" borderId="91" xfId="1" applyFont="1" applyFill="1" applyBorder="1" applyAlignment="1">
      <alignment horizontal="left"/>
    </xf>
    <xf numFmtId="0" fontId="40" fillId="5" borderId="92" xfId="1" applyFont="1" applyFill="1" applyBorder="1" applyAlignment="1">
      <alignment horizontal="center"/>
    </xf>
    <xf numFmtId="0" fontId="40" fillId="0" borderId="92" xfId="1" applyFont="1" applyBorder="1" applyAlignment="1">
      <alignment horizontal="center"/>
    </xf>
    <xf numFmtId="169" fontId="40" fillId="5" borderId="65" xfId="1" applyNumberFormat="1" applyFont="1" applyFill="1" applyBorder="1" applyAlignment="1">
      <alignment horizontal="center"/>
    </xf>
    <xf numFmtId="169" fontId="40" fillId="5" borderId="66" xfId="1" applyNumberFormat="1" applyFont="1" applyFill="1" applyBorder="1" applyAlignment="1">
      <alignment horizontal="center"/>
    </xf>
    <xf numFmtId="1" fontId="40" fillId="5" borderId="100" xfId="1" applyNumberFormat="1" applyFont="1" applyFill="1" applyBorder="1" applyAlignment="1">
      <alignment horizontal="center"/>
    </xf>
    <xf numFmtId="1" fontId="40" fillId="5" borderId="101" xfId="1" applyNumberFormat="1" applyFont="1" applyFill="1" applyBorder="1" applyAlignment="1">
      <alignment horizontal="center"/>
    </xf>
    <xf numFmtId="0" fontId="36" fillId="0" borderId="107" xfId="1" applyFont="1" applyBorder="1" applyAlignment="1">
      <alignment horizontal="left"/>
    </xf>
    <xf numFmtId="0" fontId="36" fillId="0" borderId="77" xfId="1" applyFont="1" applyBorder="1" applyAlignment="1">
      <alignment horizontal="left"/>
    </xf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6" fillId="0" borderId="45" xfId="1" applyFont="1" applyBorder="1" applyAlignment="1">
      <alignment horizontal="center"/>
    </xf>
    <xf numFmtId="0" fontId="36" fillId="0" borderId="0" xfId="1" applyFont="1" applyAlignment="1">
      <alignment horizontal="center"/>
    </xf>
    <xf numFmtId="0" fontId="36" fillId="0" borderId="108" xfId="1" applyFont="1" applyBorder="1" applyAlignment="1">
      <alignment horizontal="center"/>
    </xf>
    <xf numFmtId="0" fontId="36" fillId="0" borderId="109" xfId="1" applyFont="1" applyBorder="1" applyAlignment="1">
      <alignment horizontal="center"/>
    </xf>
    <xf numFmtId="0" fontId="36" fillId="0" borderId="40" xfId="1" applyFont="1" applyBorder="1" applyAlignment="1">
      <alignment horizontal="center"/>
    </xf>
    <xf numFmtId="0" fontId="36" fillId="0" borderId="39" xfId="1" applyFont="1" applyBorder="1" applyAlignment="1">
      <alignment horizontal="center"/>
    </xf>
    <xf numFmtId="0" fontId="31" fillId="0" borderId="102" xfId="1" applyFont="1" applyBorder="1" applyAlignment="1">
      <alignment horizontal="left"/>
    </xf>
    <xf numFmtId="0" fontId="31" fillId="0" borderId="62" xfId="1" applyFont="1" applyBorder="1" applyAlignment="1">
      <alignment horizontal="left"/>
    </xf>
    <xf numFmtId="0" fontId="31" fillId="0" borderId="38" xfId="1" applyFont="1" applyBorder="1" applyAlignment="1">
      <alignment horizontal="left"/>
    </xf>
    <xf numFmtId="0" fontId="36" fillId="0" borderId="46" xfId="1" applyFont="1" applyBorder="1" applyAlignment="1">
      <alignment horizontal="center"/>
    </xf>
    <xf numFmtId="0" fontId="36" fillId="0" borderId="23" xfId="1" applyFont="1" applyBorder="1" applyAlignment="1">
      <alignment horizontal="center"/>
    </xf>
    <xf numFmtId="0" fontId="36" fillId="0" borderId="48" xfId="1" applyFont="1" applyBorder="1" applyAlignment="1">
      <alignment horizontal="center"/>
    </xf>
    <xf numFmtId="0" fontId="49" fillId="5" borderId="117" xfId="1" applyFont="1" applyFill="1" applyBorder="1" applyAlignment="1">
      <alignment horizontal="center"/>
    </xf>
    <xf numFmtId="0" fontId="49" fillId="5" borderId="118" xfId="1" applyFont="1" applyFill="1" applyBorder="1" applyAlignment="1">
      <alignment horizontal="center"/>
    </xf>
    <xf numFmtId="0" fontId="1" fillId="0" borderId="50" xfId="2" applyBorder="1" applyAlignment="1">
      <alignment horizontal="left"/>
    </xf>
    <xf numFmtId="0" fontId="1" fillId="0" borderId="13" xfId="2" applyBorder="1" applyAlignment="1">
      <alignment horizontal="left"/>
    </xf>
    <xf numFmtId="170" fontId="1" fillId="0" borderId="50" xfId="2" applyNumberFormat="1" applyBorder="1" applyAlignment="1">
      <alignment horizontal="center"/>
    </xf>
    <xf numFmtId="170" fontId="1" fillId="0" borderId="13" xfId="2" applyNumberFormat="1" applyBorder="1" applyAlignment="1">
      <alignment horizontal="center"/>
    </xf>
    <xf numFmtId="170" fontId="1" fillId="0" borderId="55" xfId="2" applyNumberFormat="1" applyBorder="1" applyAlignment="1">
      <alignment horizontal="center"/>
    </xf>
    <xf numFmtId="49" fontId="1" fillId="0" borderId="50" xfId="2" applyNumberFormat="1" applyBorder="1" applyAlignment="1">
      <alignment horizontal="center"/>
    </xf>
    <xf numFmtId="49" fontId="1" fillId="0" borderId="13" xfId="2" applyNumberFormat="1" applyBorder="1" applyAlignment="1">
      <alignment horizontal="center"/>
    </xf>
    <xf numFmtId="49" fontId="1" fillId="0" borderId="14" xfId="2" applyNumberFormat="1" applyBorder="1" applyAlignment="1">
      <alignment horizontal="center"/>
    </xf>
    <xf numFmtId="0" fontId="53" fillId="0" borderId="45" xfId="2" applyFont="1" applyBorder="1" applyAlignment="1">
      <alignment horizontal="center"/>
    </xf>
    <xf numFmtId="0" fontId="53" fillId="0" borderId="0" xfId="2" applyFont="1" applyAlignment="1">
      <alignment horizontal="center"/>
    </xf>
    <xf numFmtId="0" fontId="53" fillId="0" borderId="53" xfId="2" applyFont="1" applyBorder="1" applyAlignment="1">
      <alignment horizontal="center"/>
    </xf>
    <xf numFmtId="0" fontId="52" fillId="0" borderId="15" xfId="2" applyFont="1" applyBorder="1" applyAlignment="1">
      <alignment horizontal="center"/>
    </xf>
    <xf numFmtId="0" fontId="52" fillId="0" borderId="7" xfId="2" applyFont="1" applyBorder="1" applyAlignment="1">
      <alignment horizontal="center"/>
    </xf>
    <xf numFmtId="0" fontId="52" fillId="0" borderId="130" xfId="2" applyFont="1" applyBorder="1" applyAlignment="1">
      <alignment horizontal="center"/>
    </xf>
    <xf numFmtId="0" fontId="52" fillId="0" borderId="8" xfId="2" applyFont="1" applyBorder="1" applyAlignment="1">
      <alignment horizontal="center"/>
    </xf>
    <xf numFmtId="0" fontId="1" fillId="0" borderId="17" xfId="2" applyBorder="1" applyAlignment="1">
      <alignment horizontal="left"/>
    </xf>
    <xf numFmtId="0" fontId="1" fillId="0" borderId="131" xfId="2" applyBorder="1" applyAlignment="1">
      <alignment horizontal="left"/>
    </xf>
    <xf numFmtId="170" fontId="1" fillId="0" borderId="17" xfId="2" applyNumberFormat="1" applyBorder="1" applyAlignment="1">
      <alignment horizontal="center"/>
    </xf>
    <xf numFmtId="170" fontId="1" fillId="0" borderId="131" xfId="2" applyNumberFormat="1" applyBorder="1" applyAlignment="1">
      <alignment horizontal="center"/>
    </xf>
    <xf numFmtId="170" fontId="1" fillId="0" borderId="132" xfId="2" applyNumberFormat="1" applyBorder="1" applyAlignment="1">
      <alignment horizontal="center"/>
    </xf>
    <xf numFmtId="49" fontId="1" fillId="0" borderId="17" xfId="2" applyNumberFormat="1" applyBorder="1" applyAlignment="1">
      <alignment horizontal="center"/>
    </xf>
    <xf numFmtId="49" fontId="1" fillId="0" borderId="131" xfId="2" applyNumberFormat="1" applyBorder="1" applyAlignment="1">
      <alignment horizontal="center"/>
    </xf>
    <xf numFmtId="49" fontId="1" fillId="0" borderId="16" xfId="2" applyNumberFormat="1" applyBorder="1" applyAlignment="1">
      <alignment horizontal="center"/>
    </xf>
    <xf numFmtId="0" fontId="1" fillId="0" borderId="31" xfId="2" applyBorder="1" applyAlignment="1">
      <alignment horizontal="left"/>
    </xf>
    <xf numFmtId="0" fontId="1" fillId="0" borderId="51" xfId="2" applyBorder="1" applyAlignment="1">
      <alignment horizontal="left"/>
    </xf>
    <xf numFmtId="170" fontId="1" fillId="0" borderId="31" xfId="2" applyNumberFormat="1" applyBorder="1" applyAlignment="1">
      <alignment horizontal="center"/>
    </xf>
    <xf numFmtId="170" fontId="1" fillId="0" borderId="51" xfId="2" applyNumberFormat="1" applyBorder="1" applyAlignment="1">
      <alignment horizontal="center"/>
    </xf>
    <xf numFmtId="170" fontId="1" fillId="0" borderId="133" xfId="2" applyNumberFormat="1" applyBorder="1" applyAlignment="1">
      <alignment horizontal="center"/>
    </xf>
    <xf numFmtId="49" fontId="1" fillId="0" borderId="31" xfId="2" applyNumberFormat="1" applyBorder="1" applyAlignment="1">
      <alignment horizontal="center"/>
    </xf>
    <xf numFmtId="49" fontId="1" fillId="0" borderId="51" xfId="2" applyNumberFormat="1" applyBorder="1" applyAlignment="1">
      <alignment horizontal="center"/>
    </xf>
    <xf numFmtId="49" fontId="1" fillId="0" borderId="32" xfId="2" applyNumberFormat="1" applyBorder="1" applyAlignment="1">
      <alignment horizontal="center"/>
    </xf>
    <xf numFmtId="0" fontId="55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7" fillId="0" borderId="17" xfId="4" applyFont="1" applyBorder="1" applyAlignment="1">
      <alignment horizontal="center"/>
    </xf>
    <xf numFmtId="0" fontId="34" fillId="0" borderId="131" xfId="4" applyFont="1" applyBorder="1" applyAlignment="1">
      <alignment horizontal="center"/>
    </xf>
    <xf numFmtId="0" fontId="34" fillId="0" borderId="132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34" fillId="0" borderId="17" xfId="4" applyFont="1" applyBorder="1" applyAlignment="1">
      <alignment horizontal="center"/>
    </xf>
    <xf numFmtId="0" fontId="55" fillId="0" borderId="17" xfId="4" applyFont="1" applyBorder="1" applyAlignment="1">
      <alignment horizontal="right"/>
    </xf>
    <xf numFmtId="0" fontId="55" fillId="0" borderId="131" xfId="4" applyFont="1" applyBorder="1" applyAlignment="1">
      <alignment horizontal="right"/>
    </xf>
    <xf numFmtId="0" fontId="34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58" fillId="0" borderId="17" xfId="4" applyFont="1" applyBorder="1" applyAlignment="1">
      <alignment horizontal="center"/>
    </xf>
    <xf numFmtId="0" fontId="58" fillId="0" borderId="131" xfId="4" applyFont="1" applyBorder="1" applyAlignment="1">
      <alignment horizontal="center"/>
    </xf>
    <xf numFmtId="0" fontId="58" fillId="0" borderId="132" xfId="4" applyFont="1" applyBorder="1" applyAlignment="1">
      <alignment horizontal="center"/>
    </xf>
    <xf numFmtId="172" fontId="77" fillId="0" borderId="148" xfId="5" applyFont="1" applyBorder="1" applyAlignment="1" applyProtection="1">
      <alignment horizontal="center"/>
      <protection locked="0"/>
    </xf>
    <xf numFmtId="14" fontId="26" fillId="0" borderId="148" xfId="5" quotePrefix="1" applyNumberFormat="1" applyFont="1" applyBorder="1" applyAlignment="1" applyProtection="1">
      <alignment horizontal="center"/>
      <protection locked="0"/>
    </xf>
    <xf numFmtId="0" fontId="60" fillId="0" borderId="83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60" fillId="0" borderId="108" xfId="4" applyFont="1" applyBorder="1" applyAlignment="1">
      <alignment horizontal="center"/>
    </xf>
    <xf numFmtId="0" fontId="62" fillId="0" borderId="83" xfId="4" applyFont="1" applyBorder="1" applyAlignment="1">
      <alignment horizontal="center"/>
    </xf>
    <xf numFmtId="0" fontId="62" fillId="0" borderId="0" xfId="4" applyFont="1" applyAlignment="1">
      <alignment horizontal="center"/>
    </xf>
    <xf numFmtId="0" fontId="62" fillId="0" borderId="108" xfId="4" applyFont="1" applyBorder="1" applyAlignment="1">
      <alignment horizontal="center"/>
    </xf>
    <xf numFmtId="0" fontId="36" fillId="6" borderId="72" xfId="3" applyFont="1" applyFill="1" applyBorder="1" applyAlignment="1">
      <alignment horizontal="left"/>
    </xf>
    <xf numFmtId="0" fontId="36" fillId="6" borderId="84" xfId="3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3" xr:uid="{00000000-0005-0000-0000-000004000000}"/>
    <cellStyle name="Normal_PROJ_REV_HIST" xfId="2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8.6000002920627594E-3</c:v>
                </c:pt>
                <c:pt idx="2">
                  <c:v>4.3000001460313797E-2</c:v>
                </c:pt>
                <c:pt idx="3" formatCode="0.00">
                  <c:v>9.3777783215045929E-2</c:v>
                </c:pt>
                <c:pt idx="4" formatCode="0.00">
                  <c:v>0.14455556869506836</c:v>
                </c:pt>
                <c:pt idx="5" formatCode="0.00">
                  <c:v>0.195333331823349</c:v>
                </c:pt>
                <c:pt idx="6" formatCode="0.00">
                  <c:v>0.29688888788223267</c:v>
                </c:pt>
                <c:pt idx="7" formatCode="0.00">
                  <c:v>0.39844444394111633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99.623999280405215</c:v>
                </c:pt>
                <c:pt idx="2">
                  <c:v>275</c:v>
                </c:pt>
                <c:pt idx="3">
                  <c:v>219.21829593438105</c:v>
                </c:pt>
                <c:pt idx="4">
                  <c:v>172.47412784355811</c:v>
                </c:pt>
                <c:pt idx="5">
                  <c:v>150.72315996247772</c:v>
                </c:pt>
                <c:pt idx="6">
                  <c:v>137.79323806636654</c:v>
                </c:pt>
                <c:pt idx="7">
                  <c:v>135.01410857654523</c:v>
                </c:pt>
                <c:pt idx="8">
                  <c:v>135</c:v>
                </c:pt>
                <c:pt idx="9">
                  <c:v>138.59330015189391</c:v>
                </c:pt>
                <c:pt idx="10">
                  <c:v>146.12388025627214</c:v>
                </c:pt>
                <c:pt idx="11">
                  <c:v>159.969985635862</c:v>
                </c:pt>
                <c:pt idx="12">
                  <c:v>184.15572009368708</c:v>
                </c:pt>
                <c:pt idx="13">
                  <c:v>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86-4797-873C-8146FCDDE6E8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8.6000002920627594E-3</c:v>
                </c:pt>
                <c:pt idx="2">
                  <c:v>4.3000001460313797E-2</c:v>
                </c:pt>
                <c:pt idx="3" formatCode="0.00">
                  <c:v>9.3777783215045929E-2</c:v>
                </c:pt>
                <c:pt idx="4" formatCode="0.00">
                  <c:v>0.14455556869506836</c:v>
                </c:pt>
                <c:pt idx="5" formatCode="0.00">
                  <c:v>0.195333331823349</c:v>
                </c:pt>
                <c:pt idx="6" formatCode="0.00">
                  <c:v>0.29688888788223267</c:v>
                </c:pt>
                <c:pt idx="7" formatCode="0.00">
                  <c:v>0.39844444394111633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98.279998779296875</c:v>
                </c:pt>
                <c:pt idx="2">
                  <c:v>88.925003051757813</c:v>
                </c:pt>
                <c:pt idx="3">
                  <c:v>75.617774963378906</c:v>
                </c:pt>
                <c:pt idx="4">
                  <c:v>62.415550231933594</c:v>
                </c:pt>
                <c:pt idx="5">
                  <c:v>51.026668548583984</c:v>
                </c:pt>
                <c:pt idx="6">
                  <c:v>33.528888702392578</c:v>
                </c:pt>
                <c:pt idx="7">
                  <c:v>22.171112060546875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86-4797-873C-8146FCDD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304640"/>
        <c:axId val="258306816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8.6000002920627594E-3</c:v>
                </c:pt>
                <c:pt idx="2">
                  <c:v>4.3000001460313797E-2</c:v>
                </c:pt>
                <c:pt idx="3" formatCode="0.00">
                  <c:v>9.3777783215045929E-2</c:v>
                </c:pt>
                <c:pt idx="4" formatCode="0.00">
                  <c:v>0.14455556869506836</c:v>
                </c:pt>
                <c:pt idx="5" formatCode="0.00">
                  <c:v>0.195333331823349</c:v>
                </c:pt>
                <c:pt idx="6" formatCode="0.00">
                  <c:v>0.29688888788223267</c:v>
                </c:pt>
                <c:pt idx="7" formatCode="0.00">
                  <c:v>0.39844444394111633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0.51738888025283813</c:v>
                </c:pt>
                <c:pt idx="1">
                  <c:v>116.59449005126953</c:v>
                </c:pt>
                <c:pt idx="2">
                  <c:v>373.54248046875</c:v>
                </c:pt>
                <c:pt idx="3">
                  <c:v>484.9869384765625</c:v>
                </c:pt>
                <c:pt idx="4">
                  <c:v>521.98443603515625</c:v>
                </c:pt>
                <c:pt idx="5">
                  <c:v>538.81573486328125</c:v>
                </c:pt>
                <c:pt idx="6">
                  <c:v>555.5889892578125</c:v>
                </c:pt>
                <c:pt idx="7">
                  <c:v>566.30706787109375</c:v>
                </c:pt>
                <c:pt idx="8">
                  <c:v>574.8345947265625</c:v>
                </c:pt>
                <c:pt idx="9">
                  <c:v>582.89642333984375</c:v>
                </c:pt>
                <c:pt idx="10">
                  <c:v>590.01336669921875</c:v>
                </c:pt>
                <c:pt idx="11">
                  <c:v>596.15618896484375</c:v>
                </c:pt>
                <c:pt idx="12">
                  <c:v>601.70220947265625</c:v>
                </c:pt>
                <c:pt idx="13">
                  <c:v>606.557373046875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86-4797-873C-8146FCDD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308736"/>
        <c:axId val="258326912"/>
      </c:scatterChart>
      <c:valAx>
        <c:axId val="25830464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58306816"/>
        <c:crossesAt val="0"/>
        <c:crossBetween val="midCat"/>
        <c:majorUnit val="0.2"/>
        <c:minorUnit val="0.2"/>
      </c:valAx>
      <c:valAx>
        <c:axId val="258306816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58304640"/>
        <c:crosses val="max"/>
        <c:crossBetween val="midCat"/>
        <c:majorUnit val="50"/>
        <c:minorUnit val="50"/>
      </c:valAx>
      <c:valAx>
        <c:axId val="258308736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58326912"/>
        <c:crosses val="autoZero"/>
        <c:crossBetween val="midCat"/>
      </c:valAx>
      <c:valAx>
        <c:axId val="25832691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58308736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99.139999970793724</c:v>
                </c:pt>
                <c:pt idx="2">
                  <c:v>95.69999985396862</c:v>
                </c:pt>
                <c:pt idx="3">
                  <c:v>90.622221678495407</c:v>
                </c:pt>
                <c:pt idx="4">
                  <c:v>85.544443130493164</c:v>
                </c:pt>
                <c:pt idx="5">
                  <c:v>80.4666668176651</c:v>
                </c:pt>
                <c:pt idx="6">
                  <c:v>70.311111211776733</c:v>
                </c:pt>
                <c:pt idx="7">
                  <c:v>60.155555605888367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99.623999280405215</c:v>
                </c:pt>
                <c:pt idx="2">
                  <c:v>275</c:v>
                </c:pt>
                <c:pt idx="3">
                  <c:v>219.21829593438105</c:v>
                </c:pt>
                <c:pt idx="4">
                  <c:v>172.47412784355811</c:v>
                </c:pt>
                <c:pt idx="5">
                  <c:v>150.72315996247772</c:v>
                </c:pt>
                <c:pt idx="6">
                  <c:v>137.79323806636654</c:v>
                </c:pt>
                <c:pt idx="7">
                  <c:v>135.01410857654523</c:v>
                </c:pt>
                <c:pt idx="8">
                  <c:v>135</c:v>
                </c:pt>
                <c:pt idx="9">
                  <c:v>138.59330015189391</c:v>
                </c:pt>
                <c:pt idx="10">
                  <c:v>146.12388025627214</c:v>
                </c:pt>
                <c:pt idx="11">
                  <c:v>159.969985635862</c:v>
                </c:pt>
                <c:pt idx="12">
                  <c:v>184.15572009368708</c:v>
                </c:pt>
                <c:pt idx="13">
                  <c:v>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9B-4040-B8D7-5A87D1709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44960"/>
        <c:axId val="312751232"/>
      </c:scatterChar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99.139999970793724</c:v>
                </c:pt>
                <c:pt idx="2">
                  <c:v>95.69999985396862</c:v>
                </c:pt>
                <c:pt idx="3">
                  <c:v>90.622221678495407</c:v>
                </c:pt>
                <c:pt idx="4">
                  <c:v>85.544443130493164</c:v>
                </c:pt>
                <c:pt idx="5">
                  <c:v>80.4666668176651</c:v>
                </c:pt>
                <c:pt idx="6">
                  <c:v>70.311111211776733</c:v>
                </c:pt>
                <c:pt idx="7">
                  <c:v>60.155555605888367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98.279998779296875</c:v>
                </c:pt>
                <c:pt idx="2">
                  <c:v>88.925003051757813</c:v>
                </c:pt>
                <c:pt idx="3">
                  <c:v>75.617774963378906</c:v>
                </c:pt>
                <c:pt idx="4">
                  <c:v>62.415550231933594</c:v>
                </c:pt>
                <c:pt idx="5">
                  <c:v>51.026668548583984</c:v>
                </c:pt>
                <c:pt idx="6">
                  <c:v>33.528888702392578</c:v>
                </c:pt>
                <c:pt idx="7">
                  <c:v>22.171112060546875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9B-4040-B8D7-5A87D1709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44960"/>
        <c:axId val="312751232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99.139999970793724</c:v>
                </c:pt>
                <c:pt idx="2">
                  <c:v>95.69999985396862</c:v>
                </c:pt>
                <c:pt idx="3">
                  <c:v>90.622221678495407</c:v>
                </c:pt>
                <c:pt idx="4">
                  <c:v>85.544443130493164</c:v>
                </c:pt>
                <c:pt idx="5">
                  <c:v>80.4666668176651</c:v>
                </c:pt>
                <c:pt idx="6">
                  <c:v>70.311111211776733</c:v>
                </c:pt>
                <c:pt idx="7">
                  <c:v>60.155555605888367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0.51738888025283813</c:v>
                </c:pt>
                <c:pt idx="1">
                  <c:v>116.59449005126953</c:v>
                </c:pt>
                <c:pt idx="2">
                  <c:v>373.54248046875</c:v>
                </c:pt>
                <c:pt idx="3">
                  <c:v>484.9869384765625</c:v>
                </c:pt>
                <c:pt idx="4">
                  <c:v>521.98443603515625</c:v>
                </c:pt>
                <c:pt idx="5">
                  <c:v>538.81573486328125</c:v>
                </c:pt>
                <c:pt idx="6">
                  <c:v>555.5889892578125</c:v>
                </c:pt>
                <c:pt idx="7">
                  <c:v>566.30706787109375</c:v>
                </c:pt>
                <c:pt idx="8">
                  <c:v>574.8345947265625</c:v>
                </c:pt>
                <c:pt idx="9">
                  <c:v>582.89642333984375</c:v>
                </c:pt>
                <c:pt idx="10">
                  <c:v>590.01336669921875</c:v>
                </c:pt>
                <c:pt idx="11">
                  <c:v>596.15618896484375</c:v>
                </c:pt>
                <c:pt idx="12">
                  <c:v>601.70220947265625</c:v>
                </c:pt>
                <c:pt idx="13">
                  <c:v>606.557373046875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9B-4040-B8D7-5A87D1709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53152"/>
        <c:axId val="312754944"/>
      </c:scatterChart>
      <c:valAx>
        <c:axId val="312744960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2751232"/>
        <c:crosses val="autoZero"/>
        <c:crossBetween val="midCat"/>
        <c:majorUnit val="20"/>
        <c:minorUnit val="20"/>
      </c:valAx>
      <c:valAx>
        <c:axId val="312751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2744960"/>
        <c:crosses val="autoZero"/>
        <c:crossBetween val="midCat"/>
      </c:valAx>
      <c:valAx>
        <c:axId val="312753152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312754944"/>
        <c:crosses val="autoZero"/>
        <c:crossBetween val="midCat"/>
      </c:valAx>
      <c:valAx>
        <c:axId val="31275494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2753152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89036835224494282"/>
          <c:w val="0.25090132154533312"/>
          <c:h val="0.1096316477550572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606.55737704918033</c:v>
                </c:pt>
                <c:pt idx="1">
                  <c:v>584.37380327868857</c:v>
                </c:pt>
                <c:pt idx="2">
                  <c:v>562.18357377049176</c:v>
                </c:pt>
                <c:pt idx="3">
                  <c:v>540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14.794942310878209</c:v>
                </c:pt>
                <c:pt idx="1">
                  <c:v>15.939532387936895</c:v>
                </c:pt>
                <c:pt idx="2">
                  <c:v>17.222680707694337</c:v>
                </c:pt>
                <c:pt idx="3">
                  <c:v>18.666785393317159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29-4869-9A41-038612E0BF59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606.55737704918033</c:v>
                </c:pt>
                <c:pt idx="1">
                  <c:v>584.37380327868857</c:v>
                </c:pt>
                <c:pt idx="2">
                  <c:v>562.18357377049176</c:v>
                </c:pt>
                <c:pt idx="3">
                  <c:v>540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3.8497618266514371</c:v>
                </c:pt>
                <c:pt idx="1">
                  <c:v>4.147593281025185</c:v>
                </c:pt>
                <c:pt idx="2">
                  <c:v>4.481478693724771</c:v>
                </c:pt>
                <c:pt idx="3">
                  <c:v>4.8572462347926084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29-4869-9A41-038612E0BF59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440</c:v>
                </c:pt>
                <c:pt idx="1">
                  <c:v>340</c:v>
                </c:pt>
                <c:pt idx="2">
                  <c:v>275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18.72889920086644</c:v>
                </c:pt>
                <c:pt idx="3">
                  <c:v>43.715216113133479</c:v>
                </c:pt>
                <c:pt idx="4">
                  <c:v>67.366135651154565</c:v>
                </c:pt>
                <c:pt idx="5" formatCode="0">
                  <c:v>200</c:v>
                </c:pt>
                <c:pt idx="6" formatCode="0">
                  <c:v>400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29-4869-9A41-038612E0BF59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606.55737704918033</c:v>
                </c:pt>
                <c:pt idx="1">
                  <c:v>604.09836065573768</c:v>
                </c:pt>
                <c:pt idx="2">
                  <c:v>598.85245901639348</c:v>
                </c:pt>
                <c:pt idx="3">
                  <c:v>593.11475409836066</c:v>
                </c:pt>
                <c:pt idx="4">
                  <c:v>586.39344262295083</c:v>
                </c:pt>
                <c:pt idx="5">
                  <c:v>578.85245901639348</c:v>
                </c:pt>
                <c:pt idx="6">
                  <c:v>570.49180327868851</c:v>
                </c:pt>
                <c:pt idx="7">
                  <c:v>560.98360655737702</c:v>
                </c:pt>
                <c:pt idx="8">
                  <c:v>547.21311475409834</c:v>
                </c:pt>
                <c:pt idx="9">
                  <c:v>530.32786885245901</c:v>
                </c:pt>
                <c:pt idx="10">
                  <c:v>503.44262295081973</c:v>
                </c:pt>
                <c:pt idx="11">
                  <c:v>429.34426229508193</c:v>
                </c:pt>
                <c:pt idx="12">
                  <c:v>275</c:v>
                </c:pt>
                <c:pt idx="13">
                  <c:v>125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0.28200000524520874</c:v>
                </c:pt>
                <c:pt idx="2">
                  <c:v>0.60100001096725464</c:v>
                </c:pt>
                <c:pt idx="3">
                  <c:v>0.95200002193450928</c:v>
                </c:pt>
                <c:pt idx="4">
                  <c:v>1.3309999704360962</c:v>
                </c:pt>
                <c:pt idx="5">
                  <c:v>1.7379999160766602</c:v>
                </c:pt>
                <c:pt idx="6">
                  <c:v>2.182999849319458</c:v>
                </c:pt>
                <c:pt idx="7">
                  <c:v>2.6619999408721924</c:v>
                </c:pt>
                <c:pt idx="8">
                  <c:v>3.1719999313354492</c:v>
                </c:pt>
                <c:pt idx="9">
                  <c:v>3.4199998378753662</c:v>
                </c:pt>
                <c:pt idx="10">
                  <c:v>3.6249997615814209</c:v>
                </c:pt>
                <c:pt idx="11">
                  <c:v>3.7829997539520264</c:v>
                </c:pt>
                <c:pt idx="12">
                  <c:v>3.9709997177124023</c:v>
                </c:pt>
                <c:pt idx="13">
                  <c:v>4.3519997596740723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29-4869-9A41-038612E0B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393536"/>
        <c:axId val="313395456"/>
      </c:scatterChart>
      <c:valAx>
        <c:axId val="313393536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3395456"/>
        <c:crossesAt val="0.1"/>
        <c:crossBetween val="midCat"/>
        <c:majorUnit val="100"/>
      </c:valAx>
      <c:valAx>
        <c:axId val="313395456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339353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87.040771484375</c:v>
                </c:pt>
                <c:pt idx="2">
                  <c:v>92.515525817871094</c:v>
                </c:pt>
                <c:pt idx="3">
                  <c:v>94.191276550292969</c:v>
                </c:pt>
                <c:pt idx="4">
                  <c:v>94.843727111816406</c:v>
                </c:pt>
                <c:pt idx="5">
                  <c:v>95.049171447753906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3D-44FF-B188-EF22CEC93E6F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33.715747833251953</c:v>
                </c:pt>
                <c:pt idx="1">
                  <c:v>54.859210968017578</c:v>
                </c:pt>
                <c:pt idx="2">
                  <c:v>67.266136169433594</c:v>
                </c:pt>
                <c:pt idx="3">
                  <c:v>74.19305419921875</c:v>
                </c:pt>
                <c:pt idx="4">
                  <c:v>77.892494201660156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3D-44FF-B188-EF22CEC93E6F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67.704516689751685</c:v>
                </c:pt>
                <c:pt idx="2">
                  <c:v>61.93349558574576</c:v>
                </c:pt>
                <c:pt idx="3">
                  <c:v>56.002239254802433</c:v>
                </c:pt>
                <c:pt idx="4">
                  <c:v>49.873756808134573</c:v>
                </c:pt>
                <c:pt idx="5">
                  <c:v>43.705225075439188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3D-44FF-B188-EF22CEC93E6F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0.76312500000000005</c:v>
                </c:pt>
                <c:pt idx="1">
                  <c:v>10.714714251122006</c:v>
                </c:pt>
                <c:pt idx="2">
                  <c:v>20.161310088337213</c:v>
                </c:pt>
                <c:pt idx="3">
                  <c:v>29.703934130038757</c:v>
                </c:pt>
                <c:pt idx="4">
                  <c:v>39.332796522228584</c:v>
                </c:pt>
                <c:pt idx="5">
                  <c:v>49.059725953605877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3D-44FF-B188-EF22CEC93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55744"/>
        <c:axId val="313457664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31.642776772918459</c:v>
                </c:pt>
                <c:pt idx="1">
                  <c:v>36.696941375732422</c:v>
                </c:pt>
                <c:pt idx="2">
                  <c:v>42.437648773193359</c:v>
                </c:pt>
                <c:pt idx="3">
                  <c:v>50.991710662841797</c:v>
                </c:pt>
                <c:pt idx="4">
                  <c:v>61.217231750488281</c:v>
                </c:pt>
                <c:pt idx="5">
                  <c:v>72.72967529296875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3D-44FF-B188-EF22CEC93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72128"/>
        <c:axId val="313473664"/>
      </c:scatterChart>
      <c:valAx>
        <c:axId val="31345574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3457664"/>
        <c:crossesAt val="0"/>
        <c:crossBetween val="midCat"/>
        <c:majorUnit val="25"/>
        <c:minorUnit val="12.5"/>
      </c:valAx>
      <c:valAx>
        <c:axId val="31345766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3455744"/>
        <c:crosses val="autoZero"/>
        <c:crossBetween val="midCat"/>
        <c:majorUnit val="10"/>
        <c:minorUnit val="5"/>
      </c:valAx>
      <c:valAx>
        <c:axId val="31347212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313473664"/>
        <c:crosses val="autoZero"/>
        <c:crossBetween val="midCat"/>
      </c:valAx>
      <c:valAx>
        <c:axId val="313473664"/>
        <c:scaling>
          <c:orientation val="minMax"/>
          <c:max val="8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3472128"/>
        <c:crosses val="max"/>
        <c:crossBetween val="midCat"/>
        <c:majorUnit val="8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87.040771484375</c:v>
                </c:pt>
                <c:pt idx="2">
                  <c:v>92.515525817871094</c:v>
                </c:pt>
                <c:pt idx="3">
                  <c:v>94.191276550292969</c:v>
                </c:pt>
                <c:pt idx="4">
                  <c:v>94.843727111816406</c:v>
                </c:pt>
                <c:pt idx="5">
                  <c:v>95.049171447753906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95-4227-B2E5-ABB539551E93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33.715747833251953</c:v>
                </c:pt>
                <c:pt idx="1">
                  <c:v>54.859210968017578</c:v>
                </c:pt>
                <c:pt idx="2">
                  <c:v>67.266136169433594</c:v>
                </c:pt>
                <c:pt idx="3">
                  <c:v>74.19305419921875</c:v>
                </c:pt>
                <c:pt idx="4">
                  <c:v>77.892494201660156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95-4227-B2E5-ABB539551E93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67.704516689751685</c:v>
                </c:pt>
                <c:pt idx="2">
                  <c:v>61.93349558574576</c:v>
                </c:pt>
                <c:pt idx="3">
                  <c:v>56.002239254802433</c:v>
                </c:pt>
                <c:pt idx="4">
                  <c:v>49.873756808134573</c:v>
                </c:pt>
                <c:pt idx="5">
                  <c:v>43.705225075439188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95-4227-B2E5-ABB539551E93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0.76312500000000005</c:v>
                </c:pt>
                <c:pt idx="1">
                  <c:v>10.714714251122006</c:v>
                </c:pt>
                <c:pt idx="2">
                  <c:v>20.161310088337213</c:v>
                </c:pt>
                <c:pt idx="3">
                  <c:v>29.703934130038757</c:v>
                </c:pt>
                <c:pt idx="4">
                  <c:v>39.332796522228584</c:v>
                </c:pt>
                <c:pt idx="5">
                  <c:v>49.059725953605877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95-4227-B2E5-ABB539551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55744"/>
        <c:axId val="313457664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54.806897063255128</c:v>
                </c:pt>
                <c:pt idx="1">
                  <c:v>63.560966945145083</c:v>
                </c:pt>
                <c:pt idx="2">
                  <c:v>73.504163828933926</c:v>
                </c:pt>
                <c:pt idx="3">
                  <c:v>88.320233632893661</c:v>
                </c:pt>
                <c:pt idx="4">
                  <c:v>106.03135569056434</c:v>
                </c:pt>
                <c:pt idx="5">
                  <c:v>125.97149282540875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95-4227-B2E5-ABB539551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72128"/>
        <c:axId val="313473664"/>
      </c:scatterChart>
      <c:valAx>
        <c:axId val="31345574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3457664"/>
        <c:crossesAt val="0"/>
        <c:crossBetween val="midCat"/>
        <c:majorUnit val="25"/>
        <c:minorUnit val="12.5"/>
      </c:valAx>
      <c:valAx>
        <c:axId val="31345766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3455744"/>
        <c:crosses val="autoZero"/>
        <c:crossBetween val="midCat"/>
        <c:majorUnit val="10"/>
        <c:minorUnit val="5"/>
      </c:valAx>
      <c:valAx>
        <c:axId val="31347212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313473664"/>
        <c:crosses val="autoZero"/>
        <c:crossBetween val="midCat"/>
      </c:valAx>
      <c:valAx>
        <c:axId val="31347366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3472128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51497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8162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9115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50545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457200</xdr:colOff>
      <xdr:row>29</xdr:row>
      <xdr:rowOff>209550</xdr:rowOff>
    </xdr:to>
    <xdr:sp macro="" textlink="">
      <xdr:nvSpPr>
        <xdr:cNvPr id="7" name="Depth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895475" y="6781800"/>
          <a:ext cx="2571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1</xdr:col>
      <xdr:colOff>95250</xdr:colOff>
      <xdr:row>31</xdr:row>
      <xdr:rowOff>0</xdr:rowOff>
    </xdr:from>
    <xdr:to>
      <xdr:col>2</xdr:col>
      <xdr:colOff>76200</xdr:colOff>
      <xdr:row>31</xdr:row>
      <xdr:rowOff>104775</xdr:rowOff>
    </xdr:to>
    <xdr:sp macro="" textlink="">
      <xdr:nvSpPr>
        <xdr:cNvPr id="8" name="Ti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9048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219075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9" name="Width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38275" y="6210300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8.7</a:t>
          </a:r>
        </a:p>
      </xdr:txBody>
    </xdr:sp>
    <xdr:clientData/>
  </xdr:twoCellAnchor>
  <xdr:twoCellAnchor>
    <xdr:from>
      <xdr:col>1</xdr:col>
      <xdr:colOff>390525</xdr:colOff>
      <xdr:row>27</xdr:row>
      <xdr:rowOff>57150</xdr:rowOff>
    </xdr:from>
    <xdr:to>
      <xdr:col>3</xdr:col>
      <xdr:colOff>447675</xdr:colOff>
      <xdr:row>31</xdr:row>
      <xdr:rowOff>219075</xdr:rowOff>
    </xdr:to>
    <xdr:grpSp>
      <xdr:nvGrpSpPr>
        <xdr:cNvPr id="10" name="Group 53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>
          <a:grpSpLocks/>
        </xdr:cNvGrpSpPr>
      </xdr:nvGrpSpPr>
      <xdr:grpSpPr bwMode="auto">
        <a:xfrm>
          <a:off x="1221105" y="6282690"/>
          <a:ext cx="963930" cy="1076325"/>
          <a:chOff x="126" y="661"/>
          <a:chExt cx="99" cy="113"/>
        </a:xfrm>
      </xdr:grpSpPr>
      <xdr:sp macro="" textlink="">
        <xdr:nvSpPr>
          <xdr:cNvPr id="11" name="Line 298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438150</xdr:colOff>
      <xdr:row>42</xdr:row>
      <xdr:rowOff>180975</xdr:rowOff>
    </xdr:from>
    <xdr:to>
      <xdr:col>3</xdr:col>
      <xdr:colOff>304800</xdr:colOff>
      <xdr:row>43</xdr:row>
      <xdr:rowOff>66675</xdr:rowOff>
    </xdr:to>
    <xdr:sp macro="" textlink="">
      <xdr:nvSpPr>
        <xdr:cNvPr id="36" name="Area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1657350" y="9848850"/>
          <a:ext cx="3429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1650.0</a:t>
          </a:r>
        </a:p>
      </xdr:txBody>
    </xdr:sp>
    <xdr:clientData/>
  </xdr:twoCellAnchor>
  <xdr:twoCellAnchor>
    <xdr:from>
      <xdr:col>1</xdr:col>
      <xdr:colOff>257175</xdr:colOff>
      <xdr:row>40</xdr:row>
      <xdr:rowOff>200025</xdr:rowOff>
    </xdr:from>
    <xdr:to>
      <xdr:col>2</xdr:col>
      <xdr:colOff>247650</xdr:colOff>
      <xdr:row>41</xdr:row>
      <xdr:rowOff>104775</xdr:rowOff>
    </xdr:to>
    <xdr:sp macro="" textlink="">
      <xdr:nvSpPr>
        <xdr:cNvPr id="37" name="OD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1066800" y="9410700"/>
          <a:ext cx="4000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360.0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342900</xdr:colOff>
      <xdr:row>40</xdr:row>
      <xdr:rowOff>152400</xdr:rowOff>
    </xdr:to>
    <xdr:sp macro="" textlink="">
      <xdr:nvSpPr>
        <xdr:cNvPr id="38" name="Height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1285875" y="9267825"/>
          <a:ext cx="2762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2</xdr:col>
      <xdr:colOff>352425</xdr:colOff>
      <xdr:row>40</xdr:row>
      <xdr:rowOff>57150</xdr:rowOff>
    </xdr:from>
    <xdr:to>
      <xdr:col>3</xdr:col>
      <xdr:colOff>180975</xdr:colOff>
      <xdr:row>40</xdr:row>
      <xdr:rowOff>180975</xdr:rowOff>
    </xdr:to>
    <xdr:sp macro="" textlink="">
      <xdr:nvSpPr>
        <xdr:cNvPr id="39" name="Thickness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1571625" y="926782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30.0</a:t>
          </a:r>
        </a:p>
      </xdr:txBody>
    </xdr:sp>
    <xdr:clientData/>
  </xdr:twoCellAnchor>
  <xdr:twoCellAnchor>
    <xdr:from>
      <xdr:col>1</xdr:col>
      <xdr:colOff>295275</xdr:colOff>
      <xdr:row>42</xdr:row>
      <xdr:rowOff>0</xdr:rowOff>
    </xdr:from>
    <xdr:to>
      <xdr:col>2</xdr:col>
      <xdr:colOff>190500</xdr:colOff>
      <xdr:row>42</xdr:row>
      <xdr:rowOff>123825</xdr:rowOff>
    </xdr:to>
    <xdr:sp macro="" textlink="">
      <xdr:nvSpPr>
        <xdr:cNvPr id="40" name="ID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104900" y="96678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246.0</a:t>
          </a:r>
        </a:p>
      </xdr:txBody>
    </xdr:sp>
    <xdr:clientData/>
  </xdr:twoCellAnchor>
  <xdr:twoCellAnchor>
    <xdr:from>
      <xdr:col>3</xdr:col>
      <xdr:colOff>133350</xdr:colOff>
      <xdr:row>32</xdr:row>
      <xdr:rowOff>85725</xdr:rowOff>
    </xdr:from>
    <xdr:to>
      <xdr:col>3</xdr:col>
      <xdr:colOff>381000</xdr:colOff>
      <xdr:row>32</xdr:row>
      <xdr:rowOff>200025</xdr:rowOff>
    </xdr:to>
    <xdr:sp macro="" textlink="">
      <xdr:nvSpPr>
        <xdr:cNvPr id="41" name="Tip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1828800" y="7467600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0.70</a:t>
          </a:r>
        </a:p>
      </xdr:txBody>
    </xdr:sp>
    <xdr:clientData/>
  </xdr:twoCellAnchor>
  <xdr:twoCellAnchor>
    <xdr:from>
      <xdr:col>3</xdr:col>
      <xdr:colOff>209550</xdr:colOff>
      <xdr:row>35</xdr:row>
      <xdr:rowOff>47625</xdr:rowOff>
    </xdr:from>
    <xdr:to>
      <xdr:col>3</xdr:col>
      <xdr:colOff>485775</xdr:colOff>
      <xdr:row>35</xdr:row>
      <xdr:rowOff>161925</xdr:rowOff>
    </xdr:to>
    <xdr:sp macro="" textlink="">
      <xdr:nvSpPr>
        <xdr:cNvPr id="42" name="Depth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905000" y="8115300"/>
          <a:ext cx="27622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35.00</a:t>
          </a:r>
        </a:p>
      </xdr:txBody>
    </xdr:sp>
    <xdr:clientData/>
  </xdr:twoCellAnchor>
  <xdr:twoCellAnchor>
    <xdr:from>
      <xdr:col>2</xdr:col>
      <xdr:colOff>409575</xdr:colOff>
      <xdr:row>33</xdr:row>
      <xdr:rowOff>142875</xdr:rowOff>
    </xdr:from>
    <xdr:to>
      <xdr:col>3</xdr:col>
      <xdr:colOff>171450</xdr:colOff>
      <xdr:row>34</xdr:row>
      <xdr:rowOff>9525</xdr:rowOff>
    </xdr:to>
    <xdr:sp macro="" textlink="">
      <xdr:nvSpPr>
        <xdr:cNvPr id="43" name="Hat Depth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1628775" y="7753350"/>
          <a:ext cx="2381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2.0</a:t>
          </a:r>
        </a:p>
      </xdr:txBody>
    </xdr:sp>
    <xdr:clientData/>
  </xdr:twoCellAnchor>
  <xdr:twoCellAnchor>
    <xdr:from>
      <xdr:col>2</xdr:col>
      <xdr:colOff>390525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44" name="Up Bar Depth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1609725" y="78771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10.3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142875</xdr:colOff>
      <xdr:row>34</xdr:row>
      <xdr:rowOff>171450</xdr:rowOff>
    </xdr:to>
    <xdr:sp macro="" textlink="">
      <xdr:nvSpPr>
        <xdr:cNvPr id="45" name="Up Bar Width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1162050" y="7858125"/>
          <a:ext cx="200025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3.0</a:t>
          </a:r>
        </a:p>
      </xdr:txBody>
    </xdr:sp>
    <xdr:clientData/>
  </xdr:twoCellAnchor>
  <xdr:twoCellAnchor>
    <xdr:from>
      <xdr:col>2</xdr:col>
      <xdr:colOff>171450</xdr:colOff>
      <xdr:row>35</xdr:row>
      <xdr:rowOff>85725</xdr:rowOff>
    </xdr:from>
    <xdr:to>
      <xdr:col>2</xdr:col>
      <xdr:colOff>466725</xdr:colOff>
      <xdr:row>35</xdr:row>
      <xdr:rowOff>190500</xdr:rowOff>
    </xdr:to>
    <xdr:sp macro="" textlink="">
      <xdr:nvSpPr>
        <xdr:cNvPr id="46" name="Width2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1390650" y="8153400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9.74</a:t>
          </a:r>
        </a:p>
      </xdr:txBody>
    </xdr:sp>
    <xdr:clientData/>
  </xdr:twoCellAnchor>
  <xdr:twoCellAnchor>
    <xdr:from>
      <xdr:col>3</xdr:col>
      <xdr:colOff>57150</xdr:colOff>
      <xdr:row>36</xdr:row>
      <xdr:rowOff>19050</xdr:rowOff>
    </xdr:from>
    <xdr:to>
      <xdr:col>3</xdr:col>
      <xdr:colOff>352425</xdr:colOff>
      <xdr:row>36</xdr:row>
      <xdr:rowOff>142875</xdr:rowOff>
    </xdr:to>
    <xdr:sp macro="" textlink="">
      <xdr:nvSpPr>
        <xdr:cNvPr id="47" name="Low Bar Depth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1752600" y="831532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22.00</a:t>
          </a:r>
        </a:p>
      </xdr:txBody>
    </xdr:sp>
    <xdr:clientData/>
  </xdr:twoCellAnchor>
  <xdr:twoCellAnchor>
    <xdr:from>
      <xdr:col>2</xdr:col>
      <xdr:colOff>190500</xdr:colOff>
      <xdr:row>36</xdr:row>
      <xdr:rowOff>152400</xdr:rowOff>
    </xdr:from>
    <xdr:to>
      <xdr:col>2</xdr:col>
      <xdr:colOff>419100</xdr:colOff>
      <xdr:row>37</xdr:row>
      <xdr:rowOff>28575</xdr:rowOff>
    </xdr:to>
    <xdr:sp macro="" textlink="">
      <xdr:nvSpPr>
        <xdr:cNvPr id="48" name="Width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1409700" y="8448675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7.35</a:t>
          </a:r>
        </a:p>
      </xdr:txBody>
    </xdr:sp>
    <xdr:clientData/>
  </xdr:twoCellAnchor>
  <xdr:twoCellAnchor>
    <xdr:from>
      <xdr:col>1</xdr:col>
      <xdr:colOff>161925</xdr:colOff>
      <xdr:row>39</xdr:row>
      <xdr:rowOff>95250</xdr:rowOff>
    </xdr:from>
    <xdr:to>
      <xdr:col>3</xdr:col>
      <xdr:colOff>542925</xdr:colOff>
      <xdr:row>43</xdr:row>
      <xdr:rowOff>66675</xdr:rowOff>
    </xdr:to>
    <xdr:grpSp>
      <xdr:nvGrpSpPr>
        <xdr:cNvPr id="49" name="Group 512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>
          <a:grpSpLocks/>
        </xdr:cNvGrpSpPr>
      </xdr:nvGrpSpPr>
      <xdr:grpSpPr bwMode="auto">
        <a:xfrm>
          <a:off x="992505" y="9063990"/>
          <a:ext cx="1287780" cy="885825"/>
          <a:chOff x="102" y="929"/>
          <a:chExt cx="133" cy="93"/>
        </a:xfrm>
      </xdr:grpSpPr>
      <xdr:sp macro="" textlink="">
        <xdr:nvSpPr>
          <xdr:cNvPr id="50" name="Line 47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3" name="Rectangle 51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rrowheads="1"/>
        </xdr:cNvSpPr>
      </xdr:nvSpPr>
      <xdr:spPr bwMode="auto">
        <a:xfrm>
          <a:off x="551497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84" name="Rectangle 514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538162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85" name="Rectangle 515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rrowheads="1"/>
        </xdr:cNvSpPr>
      </xdr:nvSpPr>
      <xdr:spPr bwMode="auto">
        <a:xfrm>
          <a:off x="539115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86" name="Rectangle 51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7" name="Rectangle 517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rrowheads="1"/>
        </xdr:cNvSpPr>
      </xdr:nvSpPr>
      <xdr:spPr bwMode="auto">
        <a:xfrm>
          <a:off x="550545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381000</xdr:colOff>
      <xdr:row>32</xdr:row>
      <xdr:rowOff>180975</xdr:rowOff>
    </xdr:from>
    <xdr:to>
      <xdr:col>3</xdr:col>
      <xdr:colOff>323850</xdr:colOff>
      <xdr:row>37</xdr:row>
      <xdr:rowOff>152400</xdr:rowOff>
    </xdr:to>
    <xdr:grpSp>
      <xdr:nvGrpSpPr>
        <xdr:cNvPr id="88" name="Group 523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GrpSpPr>
          <a:grpSpLocks/>
        </xdr:cNvGrpSpPr>
      </xdr:nvGrpSpPr>
      <xdr:grpSpPr bwMode="auto">
        <a:xfrm>
          <a:off x="1211580" y="7549515"/>
          <a:ext cx="849630" cy="1114425"/>
          <a:chOff x="774" y="670"/>
          <a:chExt cx="87" cy="117"/>
        </a:xfrm>
      </xdr:grpSpPr>
      <xdr:grpSp>
        <xdr:nvGrpSpPr>
          <xdr:cNvPr id="89" name="Group 522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>
              <a:extLst>
                <a:ext uri="{FF2B5EF4-FFF2-40B4-BE49-F238E27FC236}">
                  <a16:creationId xmlns:a16="http://schemas.microsoft.com/office/drawing/2014/main" id="{00000000-0008-0000-0100-00005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>
              <a:extLst>
                <a:ext uri="{FF2B5EF4-FFF2-40B4-BE49-F238E27FC236}">
                  <a16:creationId xmlns:a16="http://schemas.microsoft.com/office/drawing/2014/main" id="{00000000-0008-0000-0100-00005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>
              <a:extLst>
                <a:ext uri="{FF2B5EF4-FFF2-40B4-BE49-F238E27FC236}">
                  <a16:creationId xmlns:a16="http://schemas.microsoft.com/office/drawing/2014/main" id="{00000000-0008-0000-0100-00006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>
              <a:extLst>
                <a:ext uri="{FF2B5EF4-FFF2-40B4-BE49-F238E27FC236}">
                  <a16:creationId xmlns:a16="http://schemas.microsoft.com/office/drawing/2014/main" id="{00000000-0008-0000-0100-00006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>
              <a:extLst>
                <a:ext uri="{FF2B5EF4-FFF2-40B4-BE49-F238E27FC236}">
                  <a16:creationId xmlns:a16="http://schemas.microsoft.com/office/drawing/2014/main" id="{00000000-0008-0000-0100-00006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>
              <a:extLst>
                <a:ext uri="{FF2B5EF4-FFF2-40B4-BE49-F238E27FC236}">
                  <a16:creationId xmlns:a16="http://schemas.microsoft.com/office/drawing/2014/main" id="{00000000-0008-0000-0100-00006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>
              <a:extLst>
                <a:ext uri="{FF2B5EF4-FFF2-40B4-BE49-F238E27FC236}">
                  <a16:creationId xmlns:a16="http://schemas.microsoft.com/office/drawing/2014/main" id="{00000000-0008-0000-0100-00006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>
              <a:extLst>
                <a:ext uri="{FF2B5EF4-FFF2-40B4-BE49-F238E27FC236}">
                  <a16:creationId xmlns:a16="http://schemas.microsoft.com/office/drawing/2014/main" id="{00000000-0008-0000-0100-00006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>
              <a:extLst>
                <a:ext uri="{FF2B5EF4-FFF2-40B4-BE49-F238E27FC236}">
                  <a16:creationId xmlns:a16="http://schemas.microsoft.com/office/drawing/2014/main" id="{00000000-0008-0000-0100-00006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>
              <a:extLst>
                <a:ext uri="{FF2B5EF4-FFF2-40B4-BE49-F238E27FC236}">
                  <a16:creationId xmlns:a16="http://schemas.microsoft.com/office/drawing/2014/main" id="{00000000-0008-0000-0100-00006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>
              <a:extLst>
                <a:ext uri="{FF2B5EF4-FFF2-40B4-BE49-F238E27FC236}">
                  <a16:creationId xmlns:a16="http://schemas.microsoft.com/office/drawing/2014/main" id="{00000000-0008-0000-0100-00006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>
              <a:extLst>
                <a:ext uri="{FF2B5EF4-FFF2-40B4-BE49-F238E27FC236}">
                  <a16:creationId xmlns:a16="http://schemas.microsoft.com/office/drawing/2014/main" id="{00000000-0008-0000-0100-00006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>
              <a:extLst>
                <a:ext uri="{FF2B5EF4-FFF2-40B4-BE49-F238E27FC236}">
                  <a16:creationId xmlns:a16="http://schemas.microsoft.com/office/drawing/2014/main" id="{00000000-0008-0000-0100-00006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>
              <a:extLst>
                <a:ext uri="{FF2B5EF4-FFF2-40B4-BE49-F238E27FC236}">
                  <a16:creationId xmlns:a16="http://schemas.microsoft.com/office/drawing/2014/main" id="{00000000-0008-0000-0100-00006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>
              <a:extLst>
                <a:ext uri="{FF2B5EF4-FFF2-40B4-BE49-F238E27FC236}">
                  <a16:creationId xmlns:a16="http://schemas.microsoft.com/office/drawing/2014/main" id="{00000000-0008-0000-0100-00006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>
              <a:extLst>
                <a:ext uri="{FF2B5EF4-FFF2-40B4-BE49-F238E27FC236}">
                  <a16:creationId xmlns:a16="http://schemas.microsoft.com/office/drawing/2014/main" id="{00000000-0008-0000-0100-00006D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>
              <a:extLst>
                <a:ext uri="{FF2B5EF4-FFF2-40B4-BE49-F238E27FC236}">
                  <a16:creationId xmlns:a16="http://schemas.microsoft.com/office/drawing/2014/main" id="{00000000-0008-0000-0100-00006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>
              <a:extLst>
                <a:ext uri="{FF2B5EF4-FFF2-40B4-BE49-F238E27FC236}">
                  <a16:creationId xmlns:a16="http://schemas.microsoft.com/office/drawing/2014/main" id="{00000000-0008-0000-0100-00006F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>
              <a:extLst>
                <a:ext uri="{FF2B5EF4-FFF2-40B4-BE49-F238E27FC236}">
                  <a16:creationId xmlns:a16="http://schemas.microsoft.com/office/drawing/2014/main" id="{00000000-0008-0000-0100-00007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>
              <a:extLst>
                <a:ext uri="{FF2B5EF4-FFF2-40B4-BE49-F238E27FC236}">
                  <a16:creationId xmlns:a16="http://schemas.microsoft.com/office/drawing/2014/main" id="{00000000-0008-0000-0100-00007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>
              <a:extLst>
                <a:ext uri="{FF2B5EF4-FFF2-40B4-BE49-F238E27FC236}">
                  <a16:creationId xmlns:a16="http://schemas.microsoft.com/office/drawing/2014/main" id="{00000000-0008-0000-0100-00007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>
              <a:extLst>
                <a:ext uri="{FF2B5EF4-FFF2-40B4-BE49-F238E27FC236}">
                  <a16:creationId xmlns:a16="http://schemas.microsoft.com/office/drawing/2014/main" id="{00000000-0008-0000-0100-00007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>
              <a:extLst>
                <a:ext uri="{FF2B5EF4-FFF2-40B4-BE49-F238E27FC236}">
                  <a16:creationId xmlns:a16="http://schemas.microsoft.com/office/drawing/2014/main" id="{00000000-0008-0000-0100-00007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>
              <a:extLst>
                <a:ext uri="{FF2B5EF4-FFF2-40B4-BE49-F238E27FC236}">
                  <a16:creationId xmlns:a16="http://schemas.microsoft.com/office/drawing/2014/main" id="{00000000-0008-0000-0100-00007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>
              <a:extLst>
                <a:ext uri="{FF2B5EF4-FFF2-40B4-BE49-F238E27FC236}">
                  <a16:creationId xmlns:a16="http://schemas.microsoft.com/office/drawing/2014/main" id="{00000000-0008-0000-0100-00007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>
              <a:extLst>
                <a:ext uri="{FF2B5EF4-FFF2-40B4-BE49-F238E27FC236}">
                  <a16:creationId xmlns:a16="http://schemas.microsoft.com/office/drawing/2014/main" id="{00000000-0008-0000-0100-00007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>
              <a:extLst>
                <a:ext uri="{FF2B5EF4-FFF2-40B4-BE49-F238E27FC236}">
                  <a16:creationId xmlns:a16="http://schemas.microsoft.com/office/drawing/2014/main" id="{00000000-0008-0000-0100-000078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>
              <a:extLst>
                <a:ext uri="{FF2B5EF4-FFF2-40B4-BE49-F238E27FC236}">
                  <a16:creationId xmlns:a16="http://schemas.microsoft.com/office/drawing/2014/main" id="{00000000-0008-0000-0100-00007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22" name="Rectangle 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Arrowheads="1"/>
        </xdr:cNvSpPr>
      </xdr:nvSpPr>
      <xdr:spPr bwMode="auto">
        <a:xfrm>
          <a:off x="551497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123" name="Rectangle 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Arrowheads="1"/>
        </xdr:cNvSpPr>
      </xdr:nvSpPr>
      <xdr:spPr bwMode="auto">
        <a:xfrm>
          <a:off x="538162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124" name="Rectangle 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Arrowheads="1"/>
        </xdr:cNvSpPr>
      </xdr:nvSpPr>
      <xdr:spPr bwMode="auto">
        <a:xfrm>
          <a:off x="539115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125" name="Rectangle 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26" name="Rectangle 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Arrowheads="1"/>
        </xdr:cNvSpPr>
      </xdr:nvSpPr>
      <xdr:spPr bwMode="auto">
        <a:xfrm>
          <a:off x="550545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27" name="Rectangle 513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Arrowheads="1"/>
        </xdr:cNvSpPr>
      </xdr:nvSpPr>
      <xdr:spPr bwMode="auto">
        <a:xfrm>
          <a:off x="551497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128" name="Rectangle 514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Arrowheads="1"/>
        </xdr:cNvSpPr>
      </xdr:nvSpPr>
      <xdr:spPr bwMode="auto">
        <a:xfrm>
          <a:off x="538162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29" name="Rectangle 515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Arrowheads="1"/>
        </xdr:cNvSpPr>
      </xdr:nvSpPr>
      <xdr:spPr bwMode="auto">
        <a:xfrm>
          <a:off x="539115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30" name="Rectangle 516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31" name="Rectangle 517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Arrowheads="1"/>
        </xdr:cNvSpPr>
      </xdr:nvSpPr>
      <xdr:spPr bwMode="auto">
        <a:xfrm>
          <a:off x="550545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32" name="Rectangle 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ChangeArrowheads="1"/>
        </xdr:cNvSpPr>
      </xdr:nvSpPr>
      <xdr:spPr bwMode="auto">
        <a:xfrm>
          <a:off x="551497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133" name="Rectangle 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Arrowheads="1"/>
        </xdr:cNvSpPr>
      </xdr:nvSpPr>
      <xdr:spPr bwMode="auto">
        <a:xfrm>
          <a:off x="538162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134" name="Rectangle 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Arrowheads="1"/>
        </xdr:cNvSpPr>
      </xdr:nvSpPr>
      <xdr:spPr bwMode="auto">
        <a:xfrm>
          <a:off x="539115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135" name="Rectangle 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36" name="Rectangle 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Arrowheads="1"/>
        </xdr:cNvSpPr>
      </xdr:nvSpPr>
      <xdr:spPr bwMode="auto">
        <a:xfrm>
          <a:off x="550545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152400</xdr:colOff>
      <xdr:row>41</xdr:row>
      <xdr:rowOff>0</xdr:rowOff>
    </xdr:from>
    <xdr:to>
      <xdr:col>9</xdr:col>
      <xdr:colOff>361950</xdr:colOff>
      <xdr:row>41</xdr:row>
      <xdr:rowOff>0</xdr:rowOff>
    </xdr:to>
    <xdr:sp macro="" textlink="">
      <xdr:nvSpPr>
        <xdr:cNvPr id="137" name="Rectangle 85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Arrowheads="1"/>
        </xdr:cNvSpPr>
      </xdr:nvSpPr>
      <xdr:spPr bwMode="auto">
        <a:xfrm>
          <a:off x="5514975" y="94392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41</xdr:row>
      <xdr:rowOff>0</xdr:rowOff>
    </xdr:from>
    <xdr:to>
      <xdr:col>9</xdr:col>
      <xdr:colOff>333375</xdr:colOff>
      <xdr:row>41</xdr:row>
      <xdr:rowOff>0</xdr:rowOff>
    </xdr:to>
    <xdr:sp macro="" textlink="">
      <xdr:nvSpPr>
        <xdr:cNvPr id="138" name="Rectangle 86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Arrowheads="1"/>
        </xdr:cNvSpPr>
      </xdr:nvSpPr>
      <xdr:spPr bwMode="auto">
        <a:xfrm>
          <a:off x="5381625" y="94392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41</xdr:row>
      <xdr:rowOff>0</xdr:rowOff>
    </xdr:from>
    <xdr:to>
      <xdr:col>9</xdr:col>
      <xdr:colOff>342900</xdr:colOff>
      <xdr:row>41</xdr:row>
      <xdr:rowOff>0</xdr:rowOff>
    </xdr:to>
    <xdr:sp macro="" textlink="">
      <xdr:nvSpPr>
        <xdr:cNvPr id="139" name="Rectangle 87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Arrowheads="1"/>
        </xdr:cNvSpPr>
      </xdr:nvSpPr>
      <xdr:spPr bwMode="auto">
        <a:xfrm>
          <a:off x="5391150" y="94392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41</xdr:row>
      <xdr:rowOff>0</xdr:rowOff>
    </xdr:from>
    <xdr:to>
      <xdr:col>9</xdr:col>
      <xdr:colOff>409575</xdr:colOff>
      <xdr:row>41</xdr:row>
      <xdr:rowOff>0</xdr:rowOff>
    </xdr:to>
    <xdr:sp macro="" textlink="">
      <xdr:nvSpPr>
        <xdr:cNvPr id="140" name="Rectangle 88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Arrowheads="1"/>
        </xdr:cNvSpPr>
      </xdr:nvSpPr>
      <xdr:spPr bwMode="auto">
        <a:xfrm>
          <a:off x="5362575" y="94392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41</xdr:row>
      <xdr:rowOff>0</xdr:rowOff>
    </xdr:from>
    <xdr:to>
      <xdr:col>9</xdr:col>
      <xdr:colOff>361950</xdr:colOff>
      <xdr:row>41</xdr:row>
      <xdr:rowOff>0</xdr:rowOff>
    </xdr:to>
    <xdr:sp macro="" textlink="">
      <xdr:nvSpPr>
        <xdr:cNvPr id="141" name="Rectangle 89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Arrowheads="1"/>
        </xdr:cNvSpPr>
      </xdr:nvSpPr>
      <xdr:spPr bwMode="auto">
        <a:xfrm>
          <a:off x="5505450" y="94392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0.65346</cdr:x>
      <cdr:y>0.73975</cdr:y>
    </cdr:from>
    <cdr:to>
      <cdr:x>0.88931</cdr:x>
      <cdr:y>0.76044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1659" y="476315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0.64369</cdr:x>
      <cdr:y>0.60597</cdr:y>
    </cdr:from>
    <cdr:to>
      <cdr:x>0.92651</cdr:x>
      <cdr:y>0.6311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64509" y="390178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0.64868</cdr:x>
      <cdr:y>0.82716</cdr:y>
    </cdr:from>
    <cdr:to>
      <cdr:x>0.89412</cdr:x>
      <cdr:y>0.85229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93684" y="5325988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628650" y="39624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619125" y="43815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609600" y="47910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609600" y="52006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619125" y="56102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619125" y="60198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609600" y="64293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1176</a:t>
          </a:r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600075" y="68389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1172</a:t>
          </a:r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600075" y="72580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1168</a:t>
          </a:r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600075" y="76676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1164</a:t>
          </a:r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609600" y="80772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1160</a:t>
          </a:r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85725</xdr:rowOff>
    </xdr:from>
    <xdr:to>
      <xdr:col>5</xdr:col>
      <xdr:colOff>769200</xdr:colOff>
      <xdr:row>17</xdr:row>
      <xdr:rowOff>38100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5924549" y="39814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371474</xdr:colOff>
      <xdr:row>26</xdr:row>
      <xdr:rowOff>180975</xdr:rowOff>
    </xdr:from>
    <xdr:to>
      <xdr:col>5</xdr:col>
      <xdr:colOff>788250</xdr:colOff>
      <xdr:row>27</xdr:row>
      <xdr:rowOff>133350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5943599" y="64579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</a:t>
          </a:r>
        </a:p>
      </xdr:txBody>
    </xdr:sp>
    <xdr:clientData/>
  </xdr:twoCellAnchor>
  <xdr:twoCellAnchor>
    <xdr:from>
      <xdr:col>5</xdr:col>
      <xdr:colOff>380999</xdr:colOff>
      <xdr:row>28</xdr:row>
      <xdr:rowOff>114300</xdr:rowOff>
    </xdr:from>
    <xdr:to>
      <xdr:col>5</xdr:col>
      <xdr:colOff>797775</xdr:colOff>
      <xdr:row>29</xdr:row>
      <xdr:rowOff>66675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5953124" y="68675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</a:t>
          </a:r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5943599" y="72675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</a:t>
          </a:r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5943599" y="76866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</a:t>
          </a:r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66675</xdr:rowOff>
    </xdr:from>
    <xdr:to>
      <xdr:col>5</xdr:col>
      <xdr:colOff>788250</xdr:colOff>
      <xdr:row>24</xdr:row>
      <xdr:rowOff>19050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5943599" y="56292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</a:t>
          </a:r>
        </a:p>
      </xdr:txBody>
    </xdr:sp>
    <xdr:clientData/>
  </xdr:twoCellAnchor>
  <xdr:twoCellAnchor>
    <xdr:from>
      <xdr:col>5</xdr:col>
      <xdr:colOff>371474</xdr:colOff>
      <xdr:row>21</xdr:row>
      <xdr:rowOff>133350</xdr:rowOff>
    </xdr:from>
    <xdr:to>
      <xdr:col>5</xdr:col>
      <xdr:colOff>788250</xdr:colOff>
      <xdr:row>22</xdr:row>
      <xdr:rowOff>85725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5943599" y="521970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560</a:t>
          </a:r>
        </a:p>
      </xdr:txBody>
    </xdr:sp>
    <xdr:clientData/>
  </xdr:twoCellAnchor>
  <xdr:twoCellAnchor>
    <xdr:from>
      <xdr:col>5</xdr:col>
      <xdr:colOff>361949</xdr:colOff>
      <xdr:row>19</xdr:row>
      <xdr:rowOff>200025</xdr:rowOff>
    </xdr:from>
    <xdr:to>
      <xdr:col>5</xdr:col>
      <xdr:colOff>778725</xdr:colOff>
      <xdr:row>20</xdr:row>
      <xdr:rowOff>152400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5934074" y="48101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640</a:t>
          </a:r>
        </a:p>
      </xdr:txBody>
    </xdr:sp>
    <xdr:clientData/>
  </xdr:twoCellAnchor>
  <xdr:twoCellAnchor>
    <xdr:from>
      <xdr:col>5</xdr:col>
      <xdr:colOff>361949</xdr:colOff>
      <xdr:row>18</xdr:row>
      <xdr:rowOff>28575</xdr:rowOff>
    </xdr:from>
    <xdr:to>
      <xdr:col>5</xdr:col>
      <xdr:colOff>778725</xdr:colOff>
      <xdr:row>18</xdr:row>
      <xdr:rowOff>219075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5934074" y="44005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123825</xdr:colOff>
      <xdr:row>22</xdr:row>
      <xdr:rowOff>28575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3467100" y="53530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85725</xdr:colOff>
      <xdr:row>21</xdr:row>
      <xdr:rowOff>76200</xdr:rowOff>
    </xdr:from>
    <xdr:to>
      <xdr:col>2</xdr:col>
      <xdr:colOff>428625</xdr:colOff>
      <xdr:row>21</xdr:row>
      <xdr:rowOff>219075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2314575" y="516255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762000</xdr:colOff>
      <xdr:row>25</xdr:row>
      <xdr:rowOff>152400</xdr:rowOff>
    </xdr:from>
    <xdr:to>
      <xdr:col>2</xdr:col>
      <xdr:colOff>85725</xdr:colOff>
      <xdr:row>26</xdr:row>
      <xdr:rowOff>66675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1876425" y="619125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533400</xdr:colOff>
      <xdr:row>31</xdr:row>
      <xdr:rowOff>180975</xdr:rowOff>
    </xdr:from>
    <xdr:to>
      <xdr:col>2</xdr:col>
      <xdr:colOff>1038225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276225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5934074" y="8086725"/>
          <a:ext cx="43814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628650" y="393763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619125" y="43529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609600" y="476059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609600" y="5166360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619125" y="55721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619125" y="597979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609600" y="6385560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1176</a:t>
          </a:r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600075" y="679132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1172</a:t>
          </a:r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600075" y="720661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1168</a:t>
          </a:r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600075" y="761428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1164</a:t>
          </a:r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609600" y="8020050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1160</a:t>
          </a:r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865495"/>
          <a:ext cx="209550" cy="5772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85725</xdr:rowOff>
    </xdr:from>
    <xdr:to>
      <xdr:col>5</xdr:col>
      <xdr:colOff>769200</xdr:colOff>
      <xdr:row>17</xdr:row>
      <xdr:rowOff>38100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6067424" y="3956685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6096000" y="599694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371474</xdr:colOff>
      <xdr:row>26</xdr:row>
      <xdr:rowOff>180975</xdr:rowOff>
    </xdr:from>
    <xdr:to>
      <xdr:col>5</xdr:col>
      <xdr:colOff>788250</xdr:colOff>
      <xdr:row>27</xdr:row>
      <xdr:rowOff>133350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6086474" y="6414135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</a:t>
          </a:r>
        </a:p>
      </xdr:txBody>
    </xdr:sp>
    <xdr:clientData/>
  </xdr:twoCellAnchor>
  <xdr:twoCellAnchor>
    <xdr:from>
      <xdr:col>5</xdr:col>
      <xdr:colOff>380999</xdr:colOff>
      <xdr:row>28</xdr:row>
      <xdr:rowOff>114300</xdr:rowOff>
    </xdr:from>
    <xdr:to>
      <xdr:col>5</xdr:col>
      <xdr:colOff>797775</xdr:colOff>
      <xdr:row>29</xdr:row>
      <xdr:rowOff>66675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6095999" y="6819900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</a:t>
          </a:r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6086474" y="721614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</a:t>
          </a:r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6086474" y="7633335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</a:t>
          </a:r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6448425" y="5534025"/>
          <a:ext cx="219075" cy="1314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66675</xdr:rowOff>
    </xdr:from>
    <xdr:to>
      <xdr:col>5</xdr:col>
      <xdr:colOff>788250</xdr:colOff>
      <xdr:row>24</xdr:row>
      <xdr:rowOff>19050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6086474" y="5591175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</a:t>
          </a:r>
        </a:p>
      </xdr:txBody>
    </xdr:sp>
    <xdr:clientData/>
  </xdr:twoCellAnchor>
  <xdr:twoCellAnchor>
    <xdr:from>
      <xdr:col>5</xdr:col>
      <xdr:colOff>371474</xdr:colOff>
      <xdr:row>21</xdr:row>
      <xdr:rowOff>133350</xdr:rowOff>
    </xdr:from>
    <xdr:to>
      <xdr:col>5</xdr:col>
      <xdr:colOff>788250</xdr:colOff>
      <xdr:row>22</xdr:row>
      <xdr:rowOff>85725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6086474" y="5185410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560</a:t>
          </a:r>
        </a:p>
      </xdr:txBody>
    </xdr:sp>
    <xdr:clientData/>
  </xdr:twoCellAnchor>
  <xdr:twoCellAnchor>
    <xdr:from>
      <xdr:col>5</xdr:col>
      <xdr:colOff>361949</xdr:colOff>
      <xdr:row>19</xdr:row>
      <xdr:rowOff>200025</xdr:rowOff>
    </xdr:from>
    <xdr:to>
      <xdr:col>5</xdr:col>
      <xdr:colOff>778725</xdr:colOff>
      <xdr:row>20</xdr:row>
      <xdr:rowOff>152400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6076949" y="4779645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640</a:t>
          </a:r>
        </a:p>
      </xdr:txBody>
    </xdr:sp>
    <xdr:clientData/>
  </xdr:twoCellAnchor>
  <xdr:twoCellAnchor>
    <xdr:from>
      <xdr:col>5</xdr:col>
      <xdr:colOff>361949</xdr:colOff>
      <xdr:row>18</xdr:row>
      <xdr:rowOff>28575</xdr:rowOff>
    </xdr:from>
    <xdr:to>
      <xdr:col>5</xdr:col>
      <xdr:colOff>778725</xdr:colOff>
      <xdr:row>18</xdr:row>
      <xdr:rowOff>219075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6076949" y="43719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3143250" y="4126230"/>
          <a:ext cx="3714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123825</xdr:colOff>
      <xdr:row>22</xdr:row>
      <xdr:rowOff>28575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3552825" y="531685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85725</xdr:colOff>
      <xdr:row>21</xdr:row>
      <xdr:rowOff>76200</xdr:rowOff>
    </xdr:from>
    <xdr:to>
      <xdr:col>2</xdr:col>
      <xdr:colOff>428625</xdr:colOff>
      <xdr:row>21</xdr:row>
      <xdr:rowOff>219075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2371725" y="512826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762000</xdr:colOff>
      <xdr:row>25</xdr:row>
      <xdr:rowOff>152400</xdr:rowOff>
    </xdr:from>
    <xdr:to>
      <xdr:col>2</xdr:col>
      <xdr:colOff>85725</xdr:colOff>
      <xdr:row>26</xdr:row>
      <xdr:rowOff>66675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1905000" y="6149340"/>
          <a:ext cx="466725" cy="150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533400</xdr:colOff>
      <xdr:row>31</xdr:row>
      <xdr:rowOff>180975</xdr:rowOff>
    </xdr:from>
    <xdr:to>
      <xdr:col>2</xdr:col>
      <xdr:colOff>1038225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2819400" y="7595235"/>
          <a:ext cx="504825" cy="150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6076949" y="8029575"/>
          <a:ext cx="438149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O113"/>
  <sheetViews>
    <sheetView topLeftCell="A21" zoomScale="95" zoomScaleNormal="95" workbookViewId="0">
      <selection activeCell="O16" sqref="O16"/>
    </sheetView>
  </sheetViews>
  <sheetFormatPr defaultRowHeight="13.2"/>
  <cols>
    <col min="1" max="6" width="12.33203125" customWidth="1"/>
    <col min="7" max="7" width="12.44140625" customWidth="1"/>
    <col min="8" max="8" width="12.6640625" customWidth="1"/>
    <col min="9" max="10" width="12.33203125" customWidth="1"/>
    <col min="12" max="12" width="13.44140625" bestFit="1" customWidth="1"/>
    <col min="13" max="13" width="9" bestFit="1" customWidth="1"/>
  </cols>
  <sheetData>
    <row r="1" spans="1:10" ht="17.399999999999999">
      <c r="A1" s="32" t="s">
        <v>168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215</v>
      </c>
    </row>
    <row r="2" spans="1:10" ht="17.399999999999999">
      <c r="A2" s="32" t="s">
        <v>174</v>
      </c>
      <c r="B2" s="2"/>
      <c r="C2" s="2"/>
      <c r="D2" s="2"/>
      <c r="E2" s="2"/>
      <c r="F2" s="2"/>
      <c r="G2" s="2"/>
      <c r="H2" s="2"/>
      <c r="I2" s="2"/>
      <c r="J2" s="128" t="s">
        <v>216</v>
      </c>
    </row>
    <row r="3" spans="1:10" ht="15" customHeight="1" thickBot="1">
      <c r="A3" s="47" t="s">
        <v>1</v>
      </c>
      <c r="B3" s="94" t="s">
        <v>214</v>
      </c>
      <c r="C3" s="1"/>
      <c r="D3" s="47"/>
      <c r="E3" s="1"/>
      <c r="F3" s="1"/>
      <c r="G3" s="47" t="s">
        <v>2</v>
      </c>
      <c r="H3" s="169">
        <v>43416</v>
      </c>
      <c r="I3" s="47" t="s">
        <v>3</v>
      </c>
      <c r="J3" s="170">
        <v>0.42935185185185182</v>
      </c>
    </row>
    <row r="4" spans="1:10" ht="15" customHeight="1" thickBot="1">
      <c r="A4" s="11" t="s">
        <v>4</v>
      </c>
      <c r="B4" s="11" t="s">
        <v>172</v>
      </c>
      <c r="C4" s="11" t="s">
        <v>5</v>
      </c>
      <c r="D4" s="11" t="s">
        <v>173</v>
      </c>
      <c r="E4" s="155" t="s">
        <v>6</v>
      </c>
      <c r="F4" s="11" t="s">
        <v>7</v>
      </c>
      <c r="G4" s="11" t="s">
        <v>176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6</v>
      </c>
      <c r="B5" s="110">
        <v>400</v>
      </c>
      <c r="C5" s="138">
        <v>1200</v>
      </c>
      <c r="D5" s="48" t="s">
        <v>193</v>
      </c>
      <c r="E5" s="156">
        <v>4000</v>
      </c>
      <c r="F5" s="138">
        <v>60</v>
      </c>
      <c r="G5" s="48">
        <v>105</v>
      </c>
      <c r="H5" s="76" t="s">
        <v>249</v>
      </c>
      <c r="I5" s="75" t="s">
        <v>254</v>
      </c>
      <c r="J5" s="48">
        <v>5011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 t="s">
        <v>265</v>
      </c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15.926115972222222</v>
      </c>
      <c r="J7" s="104" t="s">
        <v>19</v>
      </c>
    </row>
    <row r="8" spans="1:10" ht="15" customHeight="1">
      <c r="A8" s="9" t="s">
        <v>20</v>
      </c>
      <c r="B8" s="67">
        <v>1.2000000476837158</v>
      </c>
      <c r="C8" s="50"/>
      <c r="D8" s="5"/>
      <c r="E8" s="49"/>
      <c r="F8" s="3"/>
      <c r="G8" s="15"/>
      <c r="H8" s="9" t="s">
        <v>21</v>
      </c>
      <c r="I8" s="66">
        <v>19.640354029317148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199</v>
      </c>
      <c r="F9" s="105" t="s">
        <v>25</v>
      </c>
      <c r="G9" s="29"/>
      <c r="H9" s="9" t="s">
        <v>26</v>
      </c>
      <c r="I9" s="67">
        <v>17.783235000769686</v>
      </c>
      <c r="J9" s="102">
        <v>801.67180656426376</v>
      </c>
    </row>
    <row r="10" spans="1:10" ht="15" customHeight="1">
      <c r="A10" s="9" t="s">
        <v>27</v>
      </c>
      <c r="B10" s="67">
        <v>600</v>
      </c>
      <c r="C10" s="71">
        <v>600</v>
      </c>
      <c r="D10" s="5"/>
      <c r="E10" s="49"/>
      <c r="F10" s="114" t="s">
        <v>209</v>
      </c>
      <c r="G10" s="112" t="s">
        <v>210</v>
      </c>
      <c r="H10" s="9" t="s">
        <v>28</v>
      </c>
      <c r="I10" s="66">
        <v>9.8880913270215967</v>
      </c>
      <c r="J10" s="101" t="s">
        <v>29</v>
      </c>
    </row>
    <row r="11" spans="1:10" ht="15" customHeight="1" thickBot="1">
      <c r="A11" s="9" t="s">
        <v>30</v>
      </c>
      <c r="B11" s="67">
        <v>550</v>
      </c>
      <c r="C11" s="71">
        <v>362.59999990463257</v>
      </c>
      <c r="D11" s="9" t="s">
        <v>31</v>
      </c>
      <c r="E11" s="66">
        <v>0.83324999999999994</v>
      </c>
      <c r="F11" s="115"/>
      <c r="G11" s="111" t="s">
        <v>211</v>
      </c>
      <c r="H11" s="9" t="s">
        <v>32</v>
      </c>
      <c r="I11" s="66">
        <v>19.640354029317148</v>
      </c>
      <c r="J11" s="102">
        <v>25112.367798510018</v>
      </c>
    </row>
    <row r="12" spans="1:10" ht="15" customHeight="1">
      <c r="A12" s="9" t="s">
        <v>33</v>
      </c>
      <c r="B12" s="67">
        <v>365</v>
      </c>
      <c r="C12" s="71">
        <v>140</v>
      </c>
      <c r="D12" s="9" t="s">
        <v>34</v>
      </c>
      <c r="E12" s="151" t="s">
        <v>175</v>
      </c>
      <c r="F12" s="121"/>
      <c r="G12" s="113" t="s">
        <v>205</v>
      </c>
      <c r="H12" s="9" t="s">
        <v>35</v>
      </c>
      <c r="I12" s="66">
        <v>1.2251186051037406</v>
      </c>
      <c r="J12" s="101" t="s">
        <v>36</v>
      </c>
    </row>
    <row r="13" spans="1:10" ht="15" customHeight="1" thickBot="1">
      <c r="A13" s="9" t="s">
        <v>37</v>
      </c>
      <c r="B13" s="67">
        <v>42.5</v>
      </c>
      <c r="C13" s="71">
        <v>76.299999952316284</v>
      </c>
      <c r="D13" s="9" t="s">
        <v>38</v>
      </c>
      <c r="E13" s="68">
        <v>11</v>
      </c>
      <c r="F13" s="121"/>
      <c r="G13" s="113" t="s">
        <v>206</v>
      </c>
      <c r="H13" s="9" t="s">
        <v>40</v>
      </c>
      <c r="I13" s="66">
        <v>1</v>
      </c>
      <c r="J13" s="102">
        <v>61.058483123779297</v>
      </c>
    </row>
    <row r="14" spans="1:10" ht="15" customHeight="1" thickBot="1">
      <c r="A14" s="160" t="s">
        <v>41</v>
      </c>
      <c r="B14" s="131">
        <v>558</v>
      </c>
      <c r="C14" s="132">
        <v>558</v>
      </c>
      <c r="D14" s="9" t="s">
        <v>42</v>
      </c>
      <c r="E14" s="49" t="s">
        <v>200</v>
      </c>
      <c r="F14" s="49"/>
      <c r="G14" s="113"/>
      <c r="H14" s="47" t="s">
        <v>43</v>
      </c>
      <c r="I14" s="66">
        <v>1.2251186051037406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175</v>
      </c>
      <c r="F15" s="49"/>
      <c r="G15" s="113"/>
      <c r="H15" s="9" t="s">
        <v>47</v>
      </c>
      <c r="I15" s="66">
        <v>0.96589165240170005</v>
      </c>
      <c r="J15" s="102">
        <v>17.495975378787879</v>
      </c>
    </row>
    <row r="16" spans="1:10" ht="15" customHeight="1">
      <c r="A16" s="9" t="s">
        <v>48</v>
      </c>
      <c r="B16" s="49">
        <v>72</v>
      </c>
      <c r="C16" s="50">
        <v>58</v>
      </c>
      <c r="D16" s="9" t="s">
        <v>49</v>
      </c>
      <c r="E16" s="49">
        <v>1</v>
      </c>
      <c r="F16" s="49"/>
      <c r="G16" s="113"/>
      <c r="H16" s="9" t="s">
        <v>50</v>
      </c>
      <c r="I16" s="66">
        <v>0.95749474318512517</v>
      </c>
      <c r="J16" s="103" t="s">
        <v>51</v>
      </c>
    </row>
    <row r="17" spans="1:14" ht="15" customHeight="1" thickBot="1">
      <c r="A17" s="9" t="s">
        <v>52</v>
      </c>
      <c r="B17" s="49" t="s">
        <v>194</v>
      </c>
      <c r="C17" s="50" t="s">
        <v>195</v>
      </c>
      <c r="D17" s="47" t="s">
        <v>53</v>
      </c>
      <c r="E17" s="49" t="s">
        <v>201</v>
      </c>
      <c r="F17" s="49"/>
      <c r="G17" s="113"/>
      <c r="H17" s="9" t="s">
        <v>54</v>
      </c>
      <c r="I17" s="66">
        <v>0.92483617966102194</v>
      </c>
      <c r="J17" s="102">
        <v>421.72449047402972</v>
      </c>
    </row>
    <row r="18" spans="1:14" ht="15" customHeight="1">
      <c r="A18" s="9" t="s">
        <v>55</v>
      </c>
      <c r="B18" s="49" t="s">
        <v>175</v>
      </c>
      <c r="C18" s="71">
        <v>0</v>
      </c>
      <c r="D18" s="9" t="s">
        <v>56</v>
      </c>
      <c r="E18" s="135">
        <v>939</v>
      </c>
      <c r="F18" s="68">
        <v>630</v>
      </c>
      <c r="G18" s="72"/>
      <c r="H18" s="12" t="s">
        <v>57</v>
      </c>
      <c r="I18" s="129" t="s">
        <v>212</v>
      </c>
      <c r="J18" s="130"/>
    </row>
    <row r="19" spans="1:14" ht="15" customHeight="1">
      <c r="A19" s="9" t="s">
        <v>58</v>
      </c>
      <c r="B19" s="67">
        <v>50</v>
      </c>
      <c r="C19" s="71">
        <v>35</v>
      </c>
      <c r="D19" s="9" t="s">
        <v>59</v>
      </c>
      <c r="E19" s="68">
        <v>264</v>
      </c>
      <c r="F19" s="49"/>
      <c r="G19" s="50"/>
      <c r="H19" s="141"/>
      <c r="I19" s="3" t="s">
        <v>60</v>
      </c>
      <c r="J19" s="30" t="s">
        <v>61</v>
      </c>
    </row>
    <row r="20" spans="1:14" ht="15" customHeight="1">
      <c r="A20" s="9" t="s">
        <v>62</v>
      </c>
      <c r="B20" s="67" t="s">
        <v>196</v>
      </c>
      <c r="C20" s="71"/>
      <c r="D20" s="9" t="s">
        <v>167</v>
      </c>
      <c r="E20" s="159">
        <v>0.29875543666992488</v>
      </c>
      <c r="F20" s="49"/>
      <c r="G20" s="50"/>
      <c r="H20" s="9" t="s">
        <v>63</v>
      </c>
      <c r="I20" s="66">
        <v>25.870933532714844</v>
      </c>
      <c r="J20" s="70">
        <v>25.870933532714844</v>
      </c>
    </row>
    <row r="21" spans="1:14" ht="15" customHeight="1">
      <c r="A21" s="9" t="s">
        <v>64</v>
      </c>
      <c r="B21" s="67">
        <v>8.6999998092651367</v>
      </c>
      <c r="C21" s="71">
        <v>0</v>
      </c>
      <c r="D21" s="9" t="s">
        <v>202</v>
      </c>
      <c r="E21" s="65">
        <v>0.39853623084259132</v>
      </c>
      <c r="F21" s="65">
        <v>0.38149440288543701</v>
      </c>
      <c r="G21" s="69">
        <v>3.1986631816854988E-2</v>
      </c>
      <c r="H21" s="9" t="s">
        <v>65</v>
      </c>
      <c r="I21" s="66">
        <v>61.550865173339844</v>
      </c>
      <c r="J21" s="70">
        <v>35.225563049316406</v>
      </c>
    </row>
    <row r="22" spans="1:14" ht="15" customHeight="1">
      <c r="A22" s="9" t="s">
        <v>66</v>
      </c>
      <c r="B22" s="67">
        <v>2.8299999237060547</v>
      </c>
      <c r="C22" s="71">
        <v>0.69999998807907104</v>
      </c>
      <c r="D22" s="9" t="s">
        <v>67</v>
      </c>
      <c r="E22" s="49" t="s">
        <v>203</v>
      </c>
      <c r="F22" s="49" t="s">
        <v>204</v>
      </c>
      <c r="G22" s="50" t="s">
        <v>204</v>
      </c>
      <c r="H22" s="9" t="s">
        <v>68</v>
      </c>
      <c r="I22" s="66">
        <v>8.5007123947143555</v>
      </c>
      <c r="J22" s="70">
        <v>7.1432681083679199</v>
      </c>
    </row>
    <row r="23" spans="1:14" ht="15" customHeight="1">
      <c r="A23" s="9" t="s">
        <v>69</v>
      </c>
      <c r="B23" s="67">
        <v>7.2261161804199219</v>
      </c>
      <c r="C23" s="71">
        <v>8.5</v>
      </c>
      <c r="D23" s="9" t="s">
        <v>70</v>
      </c>
      <c r="E23" s="66">
        <v>1.7419999837875366</v>
      </c>
      <c r="F23" s="66">
        <v>3.25</v>
      </c>
      <c r="G23" s="70">
        <v>3.25</v>
      </c>
      <c r="H23" s="9" t="s">
        <v>71</v>
      </c>
      <c r="I23" s="66">
        <v>4.8514455462320631</v>
      </c>
      <c r="J23" s="15" t="s">
        <v>213</v>
      </c>
    </row>
    <row r="24" spans="1:14" ht="15" customHeight="1">
      <c r="A24" s="9" t="s">
        <v>72</v>
      </c>
      <c r="B24" s="67">
        <v>0</v>
      </c>
      <c r="C24" s="71">
        <v>2</v>
      </c>
      <c r="D24" s="9" t="s">
        <v>73</v>
      </c>
      <c r="E24" s="66">
        <v>8.8900003433227539</v>
      </c>
      <c r="F24" s="66">
        <v>2.6700000762939453</v>
      </c>
      <c r="G24" s="70">
        <v>2.6700000762939453</v>
      </c>
      <c r="H24" s="9" t="s">
        <v>74</v>
      </c>
      <c r="I24" s="66">
        <v>4.4116177620247878</v>
      </c>
      <c r="J24" s="70">
        <v>3.847904644132508</v>
      </c>
    </row>
    <row r="25" spans="1:14" ht="15" customHeight="1">
      <c r="A25" s="9" t="s">
        <v>75</v>
      </c>
      <c r="B25" s="49" t="s">
        <v>175</v>
      </c>
      <c r="C25" s="71">
        <v>2</v>
      </c>
      <c r="D25" s="107" t="s">
        <v>76</v>
      </c>
      <c r="E25" s="51"/>
      <c r="F25" s="51"/>
      <c r="G25" s="58"/>
      <c r="H25" s="9" t="s">
        <v>77</v>
      </c>
      <c r="I25" s="66">
        <v>0.81201726198196411</v>
      </c>
      <c r="J25" s="70">
        <v>2.2453000545501709</v>
      </c>
    </row>
    <row r="26" spans="1:14" ht="15" customHeight="1">
      <c r="A26" s="9" t="s">
        <v>78</v>
      </c>
      <c r="B26" s="51" t="s">
        <v>197</v>
      </c>
      <c r="C26" s="58" t="s">
        <v>198</v>
      </c>
      <c r="D26" s="9" t="s">
        <v>79</v>
      </c>
      <c r="E26" s="67">
        <v>95.564017722819486</v>
      </c>
      <c r="F26" s="67">
        <v>20.616350572500565</v>
      </c>
      <c r="G26" s="71">
        <v>9.0487718845353822</v>
      </c>
      <c r="H26" s="9" t="s">
        <v>80</v>
      </c>
      <c r="I26" s="66">
        <v>9.6212682723999023</v>
      </c>
      <c r="J26" s="70">
        <v>7.0247044563293457</v>
      </c>
    </row>
    <row r="27" spans="1:14" ht="15" customHeight="1" thickBot="1">
      <c r="A27" s="9" t="s">
        <v>81</v>
      </c>
      <c r="B27" s="49" t="s">
        <v>175</v>
      </c>
      <c r="C27" s="50" t="s">
        <v>175</v>
      </c>
      <c r="D27" s="10" t="s">
        <v>82</v>
      </c>
      <c r="E27" s="78" t="s">
        <v>175</v>
      </c>
      <c r="F27" s="78" t="s">
        <v>175</v>
      </c>
      <c r="G27" s="80" t="s">
        <v>175</v>
      </c>
      <c r="H27" s="10" t="s">
        <v>83</v>
      </c>
      <c r="I27" s="77">
        <v>9.6554737091064453</v>
      </c>
      <c r="J27" s="79">
        <v>7.3748116493225098</v>
      </c>
    </row>
    <row r="28" spans="1:14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</row>
    <row r="29" spans="1:14" ht="15" customHeight="1">
      <c r="A29" s="6"/>
      <c r="B29" s="33" t="s">
        <v>87</v>
      </c>
      <c r="C29" s="73">
        <v>34.287369960865696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50" t="str">
        <f>RIGHT(F$41,SEARCH("/",F$41,1)-1)</f>
        <v xml:space="preserve"> 1179.6</v>
      </c>
      <c r="N29" t="s">
        <v>187</v>
      </c>
    </row>
    <row r="30" spans="1:14" ht="15" customHeight="1" thickBot="1">
      <c r="A30" s="7"/>
      <c r="B30" s="61" t="s">
        <v>94</v>
      </c>
      <c r="C30" s="74">
        <v>34.296390131194627</v>
      </c>
      <c r="D30" s="9" t="s">
        <v>95</v>
      </c>
      <c r="E30" s="163">
        <v>14.398954166666668</v>
      </c>
      <c r="F30" s="163">
        <v>474.3</v>
      </c>
      <c r="G30" s="163">
        <v>14.972213198713078</v>
      </c>
      <c r="H30" s="164">
        <v>257.20344354407865</v>
      </c>
      <c r="I30" s="68">
        <v>37810.174476375003</v>
      </c>
      <c r="J30" s="72">
        <v>2579.502443595899</v>
      </c>
      <c r="M30" s="150" t="str">
        <f>RIGHT(E$41,SEARCH("/",E$41,1)-1)</f>
        <v xml:space="preserve"> 1182.1</v>
      </c>
      <c r="N30" t="s">
        <v>188</v>
      </c>
    </row>
    <row r="31" spans="1:14" ht="15" customHeight="1">
      <c r="A31" s="22" t="s">
        <v>96</v>
      </c>
      <c r="B31" s="142"/>
      <c r="C31" s="26"/>
      <c r="D31" s="9" t="s">
        <v>97</v>
      </c>
      <c r="E31" s="163">
        <v>5</v>
      </c>
      <c r="F31" s="163">
        <v>483.860739440918</v>
      </c>
      <c r="G31" s="163">
        <v>14.676373057989597</v>
      </c>
      <c r="H31" s="164">
        <v>81.958814947557173</v>
      </c>
      <c r="I31" s="68">
        <v>14515.822183227539</v>
      </c>
      <c r="J31" s="72">
        <v>958.7998121429838</v>
      </c>
      <c r="M31" s="150" t="str">
        <f>RIGHT(D$41,SEARCH("/",D$41,1)-1)</f>
        <v xml:space="preserve"> 1184.6</v>
      </c>
      <c r="N31" t="s">
        <v>189</v>
      </c>
    </row>
    <row r="32" spans="1:14" ht="15" customHeight="1">
      <c r="A32" s="5" t="s">
        <v>98</v>
      </c>
      <c r="B32" s="66" t="s">
        <v>256</v>
      </c>
      <c r="C32" s="108"/>
      <c r="D32" s="9" t="s">
        <v>99</v>
      </c>
      <c r="E32" s="163">
        <v>7.6602436141699561</v>
      </c>
      <c r="F32" s="163">
        <v>851.5079994678498</v>
      </c>
      <c r="G32" s="163">
        <v>8.3396993622932332</v>
      </c>
      <c r="H32" s="164">
        <v>20.14229850319153</v>
      </c>
      <c r="I32" s="8" t="s">
        <v>100</v>
      </c>
      <c r="J32" s="72">
        <v>3538.3022557388826</v>
      </c>
      <c r="M32" s="150" t="str">
        <f>RIGHT(C$41,SEARCH("/",C$41,1)-1)</f>
        <v xml:space="preserve"> 1186.9</v>
      </c>
      <c r="N32" t="s">
        <v>190</v>
      </c>
    </row>
    <row r="33" spans="1:15" ht="15" customHeight="1">
      <c r="A33" s="5" t="s">
        <v>101</v>
      </c>
      <c r="B33" s="66" t="s">
        <v>257</v>
      </c>
      <c r="C33" s="109" t="s">
        <v>102</v>
      </c>
      <c r="D33" s="9" t="s">
        <v>97</v>
      </c>
      <c r="E33" s="163">
        <v>3.5</v>
      </c>
      <c r="F33" s="163">
        <v>458.49</v>
      </c>
      <c r="G33" s="163">
        <v>15.488496412461805</v>
      </c>
      <c r="H33" s="164">
        <v>83.245401597509883</v>
      </c>
      <c r="I33" s="8" t="s">
        <v>103</v>
      </c>
      <c r="J33" s="71" t="s">
        <v>224</v>
      </c>
      <c r="M33" s="150" t="str">
        <f>RIGHT(B$41,SEARCH("/",B$41,1)-1)</f>
        <v xml:space="preserve"> 1189.2</v>
      </c>
      <c r="N33" t="s">
        <v>191</v>
      </c>
    </row>
    <row r="34" spans="1:15" ht="15" customHeight="1" thickBot="1">
      <c r="A34" s="16" t="s">
        <v>104</v>
      </c>
      <c r="B34" s="77" t="s">
        <v>258</v>
      </c>
      <c r="C34" s="158">
        <v>7.1013207201496122</v>
      </c>
      <c r="D34" s="10" t="s">
        <v>20</v>
      </c>
      <c r="E34" s="165">
        <v>0.12000000476837158</v>
      </c>
      <c r="F34" s="166">
        <v>935.97497027881752</v>
      </c>
      <c r="G34" s="166">
        <v>7.587083998660991</v>
      </c>
      <c r="H34" s="167">
        <v>724.5137939843795</v>
      </c>
      <c r="I34" s="8" t="s">
        <v>105</v>
      </c>
      <c r="J34" s="71">
        <v>6.0500001907348633</v>
      </c>
    </row>
    <row r="35" spans="1:15" ht="15" customHeight="1">
      <c r="A35" s="12" t="s">
        <v>106</v>
      </c>
      <c r="B35" s="13"/>
      <c r="C35" s="13"/>
      <c r="D35" s="133" t="s">
        <v>226</v>
      </c>
      <c r="E35" s="143" t="s">
        <v>225</v>
      </c>
      <c r="F35" s="14"/>
      <c r="G35" s="25" t="s">
        <v>107</v>
      </c>
      <c r="H35" s="83" t="s">
        <v>219</v>
      </c>
      <c r="I35" s="9" t="s">
        <v>108</v>
      </c>
      <c r="J35" s="72" t="s">
        <v>223</v>
      </c>
    </row>
    <row r="36" spans="1:15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217</v>
      </c>
      <c r="I36" s="9" t="s">
        <v>111</v>
      </c>
      <c r="J36" s="72" t="s">
        <v>222</v>
      </c>
    </row>
    <row r="37" spans="1:15" ht="15" customHeight="1" thickBot="1">
      <c r="A37" s="9" t="s">
        <v>112</v>
      </c>
      <c r="B37" s="171" t="s">
        <v>238</v>
      </c>
      <c r="C37" s="171" t="s">
        <v>239</v>
      </c>
      <c r="D37" s="171" t="s">
        <v>240</v>
      </c>
      <c r="E37" s="171" t="s">
        <v>241</v>
      </c>
      <c r="F37" s="172" t="s">
        <v>242</v>
      </c>
      <c r="G37" s="9" t="s">
        <v>113</v>
      </c>
      <c r="H37" s="72" t="s">
        <v>218</v>
      </c>
      <c r="I37" s="10" t="s">
        <v>114</v>
      </c>
      <c r="J37" s="81" t="s">
        <v>221</v>
      </c>
      <c r="O37" s="148"/>
    </row>
    <row r="38" spans="1:15" ht="15" customHeight="1" thickBot="1">
      <c r="A38" s="9" t="s">
        <v>115</v>
      </c>
      <c r="B38" s="173" t="s">
        <v>228</v>
      </c>
      <c r="C38" s="173" t="s">
        <v>229</v>
      </c>
      <c r="D38" s="173" t="s">
        <v>230</v>
      </c>
      <c r="E38" s="173" t="s">
        <v>231</v>
      </c>
      <c r="F38" s="174" t="s">
        <v>232</v>
      </c>
      <c r="G38" s="16" t="s">
        <v>116</v>
      </c>
      <c r="H38" s="81" t="s">
        <v>220</v>
      </c>
      <c r="I38" s="134" t="s">
        <v>227</v>
      </c>
      <c r="J38" s="82">
        <v>2172.800048828125</v>
      </c>
      <c r="L38" t="str">
        <f>LEFT(E38,SEARCH("/",E38,1)-1)</f>
        <v xml:space="preserve">0.950 </v>
      </c>
      <c r="M38" t="str">
        <f>RIGHT(E38,SEARCH("/",E38,1)-1)</f>
        <v xml:space="preserve"> 0.948</v>
      </c>
      <c r="N38" s="149">
        <f>M38/L38</f>
        <v>0.99789473684210528</v>
      </c>
      <c r="O38" s="148" t="s">
        <v>178</v>
      </c>
    </row>
    <row r="39" spans="1:15" ht="15" customHeight="1">
      <c r="A39" s="9" t="s">
        <v>117</v>
      </c>
      <c r="B39" s="173" t="s">
        <v>233</v>
      </c>
      <c r="C39" s="173" t="s">
        <v>234</v>
      </c>
      <c r="D39" s="173" t="s">
        <v>235</v>
      </c>
      <c r="E39" s="173" t="s">
        <v>236</v>
      </c>
      <c r="F39" s="174" t="s">
        <v>237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0.7422 </v>
      </c>
      <c r="M39" t="str">
        <f>RIGHT(E39,SEARCH("/",E39,1)-1)</f>
        <v xml:space="preserve"> 0.7420</v>
      </c>
      <c r="N39" s="149">
        <f>M39/L39</f>
        <v>0.99973053085421726</v>
      </c>
      <c r="O39" s="148" t="s">
        <v>179</v>
      </c>
    </row>
    <row r="40" spans="1:15" ht="15" customHeight="1">
      <c r="A40" s="9" t="s">
        <v>119</v>
      </c>
      <c r="B40" s="175" t="s">
        <v>251</v>
      </c>
      <c r="C40" s="175" t="s">
        <v>252</v>
      </c>
      <c r="D40" s="175" t="s">
        <v>253</v>
      </c>
      <c r="E40" s="175" t="s">
        <v>254</v>
      </c>
      <c r="F40" s="176" t="s">
        <v>255</v>
      </c>
      <c r="G40" s="34" t="s">
        <v>121</v>
      </c>
      <c r="H40" s="89" t="s">
        <v>259</v>
      </c>
      <c r="I40" s="53"/>
      <c r="J40" s="54"/>
      <c r="L40" t="str">
        <f>LEFT(E37,SEARCH("/",E37,1)-1)</f>
        <v xml:space="preserve">61.06 </v>
      </c>
      <c r="M40" t="str">
        <f>RIGHT(E37,SEARCH("/",E37,1)-1)</f>
        <v xml:space="preserve"> 61.22</v>
      </c>
      <c r="N40" s="149">
        <f>M40/L40</f>
        <v>1.00262037340321</v>
      </c>
      <c r="O40" s="148" t="s">
        <v>177</v>
      </c>
    </row>
    <row r="41" spans="1:15" ht="15" customHeight="1">
      <c r="A41" s="9" t="s">
        <v>5</v>
      </c>
      <c r="B41" s="177" t="s">
        <v>246</v>
      </c>
      <c r="C41" s="177" t="s">
        <v>247</v>
      </c>
      <c r="D41" s="177" t="s">
        <v>248</v>
      </c>
      <c r="E41" s="177" t="s">
        <v>249</v>
      </c>
      <c r="F41" s="178" t="s">
        <v>250</v>
      </c>
      <c r="G41" s="35" t="s">
        <v>122</v>
      </c>
      <c r="H41" s="90" t="s">
        <v>260</v>
      </c>
      <c r="I41" s="55"/>
      <c r="J41" s="56"/>
      <c r="L41" t="str">
        <f>LEFT(E41,SEARCH("/",E41,1)-1)</f>
        <v xml:space="preserve">1190.3 </v>
      </c>
      <c r="M41">
        <v>1180</v>
      </c>
      <c r="N41" s="149">
        <f>M41/L41</f>
        <v>0.99134671931445861</v>
      </c>
      <c r="O41" s="148" t="s">
        <v>5</v>
      </c>
    </row>
    <row r="42" spans="1:15" ht="15" customHeight="1">
      <c r="A42" s="9" t="s">
        <v>123</v>
      </c>
      <c r="B42" s="173">
        <v>16.457503769317256</v>
      </c>
      <c r="C42" s="173">
        <v>15.435848150787065</v>
      </c>
      <c r="D42" s="173">
        <v>14.66571549929138</v>
      </c>
      <c r="E42" s="173">
        <v>14.117652361489702</v>
      </c>
      <c r="F42" s="174">
        <v>13.729644313908665</v>
      </c>
      <c r="G42" s="34" t="s">
        <v>124</v>
      </c>
      <c r="H42" s="89" t="s">
        <v>261</v>
      </c>
      <c r="I42" s="53"/>
      <c r="J42" s="95">
        <v>0.30446431356549203</v>
      </c>
    </row>
    <row r="43" spans="1:15" ht="15" customHeight="1" thickBot="1">
      <c r="A43" s="10" t="s">
        <v>125</v>
      </c>
      <c r="B43" s="179">
        <v>18.95339773372746</v>
      </c>
      <c r="C43" s="180"/>
      <c r="D43" s="181" t="s">
        <v>264</v>
      </c>
      <c r="E43" s="181"/>
      <c r="F43" s="182"/>
      <c r="G43" s="35" t="s">
        <v>122</v>
      </c>
      <c r="H43" s="90" t="s">
        <v>262</v>
      </c>
      <c r="I43" s="55"/>
      <c r="J43" s="56"/>
    </row>
    <row r="44" spans="1:15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696.41675351360732</v>
      </c>
      <c r="I44" s="88">
        <v>4.2938908343799057E-2</v>
      </c>
      <c r="J44" s="95">
        <v>0.5788807213717222</v>
      </c>
    </row>
    <row r="45" spans="1:15" ht="15" customHeight="1">
      <c r="A45" s="9" t="s">
        <v>129</v>
      </c>
      <c r="B45" s="66">
        <v>0.69899731874465942</v>
      </c>
      <c r="C45" s="161" t="s">
        <v>130</v>
      </c>
      <c r="D45" s="70">
        <v>1.048650499433279E-2</v>
      </c>
      <c r="E45" s="9" t="s">
        <v>131</v>
      </c>
      <c r="F45" s="72">
        <v>880.10047753143738</v>
      </c>
      <c r="G45" s="36" t="s">
        <v>122</v>
      </c>
      <c r="H45" s="84" t="s">
        <v>263</v>
      </c>
      <c r="I45" s="57"/>
      <c r="J45" s="58"/>
    </row>
    <row r="46" spans="1:15" ht="15" customHeight="1">
      <c r="A46" s="9" t="s">
        <v>132</v>
      </c>
      <c r="B46" s="66">
        <v>0.18799033761024475</v>
      </c>
      <c r="C46" s="161" t="s">
        <v>133</v>
      </c>
      <c r="D46" s="70">
        <v>8.0790221691131592E-3</v>
      </c>
      <c r="E46" s="9" t="s">
        <v>134</v>
      </c>
      <c r="F46" s="72">
        <v>1593.6137287721929</v>
      </c>
      <c r="G46" s="35" t="s">
        <v>135</v>
      </c>
      <c r="H46" s="92">
        <v>166.18294074301832</v>
      </c>
      <c r="I46" s="55"/>
      <c r="J46" s="56"/>
      <c r="L46" s="144" t="s">
        <v>180</v>
      </c>
      <c r="M46" s="146">
        <f>B5^0.95</f>
        <v>296.45377964277901</v>
      </c>
    </row>
    <row r="47" spans="1:15" ht="15" customHeight="1">
      <c r="A47" s="9" t="s">
        <v>136</v>
      </c>
      <c r="B47" s="66">
        <v>0.88698768615722656</v>
      </c>
      <c r="C47" s="161" t="s">
        <v>137</v>
      </c>
      <c r="D47" s="70">
        <v>5.6970510631799698E-3</v>
      </c>
      <c r="E47" s="9" t="s">
        <v>138</v>
      </c>
      <c r="F47" s="72">
        <v>1319.3412437152049</v>
      </c>
      <c r="G47" s="62" t="s">
        <v>139</v>
      </c>
      <c r="H47" s="91">
        <v>667.18046653184979</v>
      </c>
      <c r="I47" s="88">
        <v>4.1064940171215453E-2</v>
      </c>
      <c r="J47" s="93">
        <v>0.59281745519271578</v>
      </c>
      <c r="L47" s="144" t="s">
        <v>181</v>
      </c>
      <c r="M47" s="146">
        <f>B5^1.5</f>
        <v>8000</v>
      </c>
    </row>
    <row r="48" spans="1:15" ht="15" customHeight="1">
      <c r="A48" s="9" t="s">
        <v>140</v>
      </c>
      <c r="B48" s="66">
        <v>1.783132366836071E-2</v>
      </c>
      <c r="C48" s="161" t="s">
        <v>100</v>
      </c>
      <c r="D48" s="70">
        <v>4.2093902826309204E-2</v>
      </c>
      <c r="E48" s="9" t="s">
        <v>141</v>
      </c>
      <c r="F48" s="72">
        <v>14.104304375421098</v>
      </c>
      <c r="G48" s="63" t="s">
        <v>122</v>
      </c>
      <c r="H48" s="84">
        <v>223.58595180243074</v>
      </c>
      <c r="I48" s="57"/>
      <c r="J48" s="58"/>
      <c r="L48" s="144" t="s">
        <v>182</v>
      </c>
      <c r="M48" s="145">
        <f>IF(A5="",0,(7200/(1000*A5))^2.4)</f>
        <v>1.5489414099829009</v>
      </c>
    </row>
    <row r="49" spans="1:15" ht="15" customHeight="1" thickBot="1">
      <c r="A49" s="7"/>
      <c r="B49" s="52"/>
      <c r="C49" s="162" t="s">
        <v>142</v>
      </c>
      <c r="D49" s="79">
        <v>0.95790612697601318</v>
      </c>
      <c r="E49" s="10" t="s">
        <v>143</v>
      </c>
      <c r="F49" s="81">
        <v>24.267931877587714</v>
      </c>
      <c r="G49" s="64" t="s">
        <v>135</v>
      </c>
      <c r="H49" s="92">
        <v>162.43850924967762</v>
      </c>
      <c r="I49" s="55"/>
      <c r="J49" s="59"/>
      <c r="L49" s="144" t="s">
        <v>183</v>
      </c>
      <c r="M49" s="145">
        <f>IF(A5="",0,(7200/(1000*A5))^1.8)</f>
        <v>1.388437205763783</v>
      </c>
    </row>
    <row r="50" spans="1:15" ht="15" customHeight="1">
      <c r="A50" s="12" t="s">
        <v>144</v>
      </c>
      <c r="B50" s="13"/>
      <c r="C50" s="13"/>
      <c r="D50" s="13"/>
      <c r="E50" s="13"/>
      <c r="F50" s="14"/>
      <c r="G50" s="12" t="s">
        <v>145</v>
      </c>
      <c r="H50" s="13"/>
      <c r="I50" s="40"/>
      <c r="J50" s="26"/>
      <c r="L50" s="144" t="s">
        <v>184</v>
      </c>
      <c r="M50" s="147">
        <f>IF(A5=2,27,24)</f>
        <v>24</v>
      </c>
    </row>
    <row r="51" spans="1:15" ht="15" customHeight="1">
      <c r="A51" s="9" t="s">
        <v>146</v>
      </c>
      <c r="B51" s="49">
        <v>58</v>
      </c>
      <c r="C51" s="8" t="s">
        <v>147</v>
      </c>
      <c r="D51" s="67">
        <v>3</v>
      </c>
      <c r="E51" s="8" t="s">
        <v>148</v>
      </c>
      <c r="F51" s="71">
        <v>8.5</v>
      </c>
      <c r="G51" s="8" t="s">
        <v>149</v>
      </c>
      <c r="H51" s="65">
        <v>5.4858082100825829E-2</v>
      </c>
      <c r="I51" s="43" t="s">
        <v>150</v>
      </c>
      <c r="J51" s="37"/>
      <c r="L51" s="144" t="s">
        <v>185</v>
      </c>
      <c r="M51" s="147">
        <v>6.8500000000000005E-2</v>
      </c>
    </row>
    <row r="52" spans="1:15" ht="15" customHeight="1">
      <c r="A52" s="9" t="s">
        <v>58</v>
      </c>
      <c r="B52" s="67">
        <v>35</v>
      </c>
      <c r="C52" s="8" t="s">
        <v>151</v>
      </c>
      <c r="D52" s="67">
        <v>8.300000011920929</v>
      </c>
      <c r="E52" s="8" t="s">
        <v>152</v>
      </c>
      <c r="F52" s="71">
        <v>0</v>
      </c>
      <c r="G52" s="8" t="s">
        <v>169</v>
      </c>
      <c r="H52" s="67">
        <v>78887.255958503723</v>
      </c>
      <c r="I52" s="96" t="s">
        <v>243</v>
      </c>
      <c r="J52" s="60"/>
      <c r="L52" s="144" t="s">
        <v>192</v>
      </c>
      <c r="M52" s="168">
        <f>F5</f>
        <v>60</v>
      </c>
    </row>
    <row r="53" spans="1:15" ht="15" customHeight="1">
      <c r="A53" s="9" t="s">
        <v>64</v>
      </c>
      <c r="B53" s="67">
        <v>0</v>
      </c>
      <c r="C53" s="8" t="s">
        <v>153</v>
      </c>
      <c r="D53" s="67">
        <v>9.737421989440918</v>
      </c>
      <c r="E53" s="8" t="s">
        <v>154</v>
      </c>
      <c r="F53" s="71">
        <v>0</v>
      </c>
      <c r="G53" s="8" t="s">
        <v>170</v>
      </c>
      <c r="H53" s="66">
        <v>37.339193926824017</v>
      </c>
      <c r="I53" s="42" t="s">
        <v>155</v>
      </c>
      <c r="J53" s="37"/>
      <c r="L53" s="144" t="s">
        <v>186</v>
      </c>
      <c r="M53" s="150">
        <f>IF(F5=60,M50*M46/M48-M51*M47/M49,IF(F5&lt;&gt;60,(60/M52)^2*(M50*M46/M48-M51*M47/M49),0))</f>
        <v>4198.7008216085751</v>
      </c>
      <c r="O53">
        <f>M53/2</f>
        <v>2099.3504108042875</v>
      </c>
    </row>
    <row r="54" spans="1:15" ht="15" customHeight="1">
      <c r="A54" s="9" t="s">
        <v>66</v>
      </c>
      <c r="B54" s="67">
        <v>0.69999998807907104</v>
      </c>
      <c r="C54" s="8" t="s">
        <v>156</v>
      </c>
      <c r="D54" s="67">
        <v>7.3518133290476406</v>
      </c>
      <c r="E54" s="8" t="s">
        <v>154</v>
      </c>
      <c r="F54" s="71">
        <v>8.5</v>
      </c>
      <c r="G54" s="8" t="s">
        <v>171</v>
      </c>
      <c r="H54" s="68">
        <v>181500</v>
      </c>
      <c r="I54" s="97" t="s">
        <v>244</v>
      </c>
      <c r="J54" s="98" t="s">
        <v>207</v>
      </c>
    </row>
    <row r="55" spans="1:15" ht="15" customHeight="1">
      <c r="A55" s="9" t="s">
        <v>157</v>
      </c>
      <c r="B55" s="67">
        <v>3</v>
      </c>
      <c r="C55" s="8" t="s">
        <v>158</v>
      </c>
      <c r="D55" s="67">
        <v>22</v>
      </c>
      <c r="E55" s="8" t="s">
        <v>159</v>
      </c>
      <c r="F55" s="71">
        <v>0</v>
      </c>
      <c r="G55" s="8" t="s">
        <v>160</v>
      </c>
      <c r="H55" s="67">
        <v>1.1699999570846558</v>
      </c>
      <c r="I55" s="42" t="s">
        <v>161</v>
      </c>
      <c r="J55" s="37"/>
    </row>
    <row r="56" spans="1:15" ht="15" customHeight="1" thickBot="1">
      <c r="A56" s="10" t="s">
        <v>162</v>
      </c>
      <c r="B56" s="78">
        <v>2</v>
      </c>
      <c r="C56" s="20" t="s">
        <v>163</v>
      </c>
      <c r="D56" s="78">
        <v>16.131199789229239</v>
      </c>
      <c r="E56" s="20" t="s">
        <v>164</v>
      </c>
      <c r="F56" s="80">
        <v>0</v>
      </c>
      <c r="G56" s="20" t="s">
        <v>165</v>
      </c>
      <c r="H56" s="77">
        <v>0.87493749999999992</v>
      </c>
      <c r="I56" s="99" t="s">
        <v>245</v>
      </c>
      <c r="J56" s="59" t="s">
        <v>208</v>
      </c>
    </row>
    <row r="57" spans="1:15" ht="15" customHeight="1">
      <c r="A57" s="22" t="s">
        <v>399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5" ht="15" customHeight="1">
      <c r="A58" s="100" t="s">
        <v>119</v>
      </c>
      <c r="B58" s="3" t="s">
        <v>166</v>
      </c>
      <c r="C58" s="15" t="s">
        <v>397</v>
      </c>
      <c r="D58" s="3" t="s">
        <v>119</v>
      </c>
      <c r="E58" s="3" t="s">
        <v>166</v>
      </c>
      <c r="F58" s="15" t="s">
        <v>398</v>
      </c>
      <c r="G58" s="119"/>
      <c r="H58" s="31"/>
      <c r="I58" s="31"/>
      <c r="J58" s="44"/>
    </row>
    <row r="59" spans="1:15" ht="15" customHeight="1">
      <c r="A59" s="123">
        <v>0</v>
      </c>
      <c r="B59" s="84">
        <v>0</v>
      </c>
      <c r="C59" s="85">
        <v>0.51738888025283813</v>
      </c>
      <c r="D59" s="125">
        <v>0.69999998807907104</v>
      </c>
      <c r="E59" s="84">
        <v>146.12388025627214</v>
      </c>
      <c r="F59" s="85">
        <v>590.01336669921875</v>
      </c>
      <c r="G59" s="119"/>
      <c r="H59" s="31"/>
      <c r="I59" s="31"/>
      <c r="J59" s="44"/>
    </row>
    <row r="60" spans="1:15" ht="15" customHeight="1">
      <c r="A60" s="127">
        <v>8.6000002920627594E-3</v>
      </c>
      <c r="B60" s="84">
        <v>99.623999280405215</v>
      </c>
      <c r="C60" s="85">
        <v>116.59449005126953</v>
      </c>
      <c r="D60" s="125">
        <v>0.80000001192092896</v>
      </c>
      <c r="E60" s="84">
        <v>159.969985635862</v>
      </c>
      <c r="F60" s="85">
        <v>596.15618896484375</v>
      </c>
      <c r="G60" s="119"/>
      <c r="H60" s="31"/>
      <c r="I60" s="31"/>
      <c r="J60" s="44"/>
    </row>
    <row r="61" spans="1:15" ht="15" customHeight="1">
      <c r="A61" s="127">
        <v>4.3000001460313797E-2</v>
      </c>
      <c r="B61" s="84">
        <v>275</v>
      </c>
      <c r="C61" s="85">
        <v>373.54248046875</v>
      </c>
      <c r="D61" s="125">
        <v>0.89999997615814209</v>
      </c>
      <c r="E61" s="84">
        <v>184.15572009368708</v>
      </c>
      <c r="F61" s="85">
        <v>601.70220947265625</v>
      </c>
      <c r="G61" s="119"/>
      <c r="H61" s="31"/>
      <c r="I61" s="31"/>
      <c r="J61" s="44"/>
    </row>
    <row r="62" spans="1:15" ht="15" customHeight="1">
      <c r="A62" s="123">
        <v>9.3777783215045929E-2</v>
      </c>
      <c r="B62" s="84">
        <v>219.21829593438105</v>
      </c>
      <c r="C62" s="85">
        <v>484.9869384765625</v>
      </c>
      <c r="D62" s="126">
        <v>1</v>
      </c>
      <c r="E62" s="84">
        <v>225</v>
      </c>
      <c r="F62" s="85">
        <v>606.557373046875</v>
      </c>
      <c r="G62" s="119"/>
      <c r="H62" s="31"/>
      <c r="I62" s="31"/>
      <c r="J62" s="44"/>
    </row>
    <row r="63" spans="1:15" ht="15" customHeight="1" thickBot="1">
      <c r="A63" s="123">
        <v>0.14455556869506836</v>
      </c>
      <c r="B63" s="84">
        <v>172.47412784355811</v>
      </c>
      <c r="C63" s="85">
        <v>521.98443603515625</v>
      </c>
      <c r="D63" s="367"/>
      <c r="E63" s="86"/>
      <c r="F63" s="368"/>
      <c r="G63" s="119"/>
      <c r="H63" s="31"/>
      <c r="I63" s="31"/>
      <c r="J63" s="44"/>
    </row>
    <row r="64" spans="1:15" ht="15" customHeight="1">
      <c r="A64" s="123">
        <v>0.195333331823349</v>
      </c>
      <c r="B64" s="84">
        <v>150.72315996247772</v>
      </c>
      <c r="C64" s="85">
        <v>538.81573486328125</v>
      </c>
      <c r="D64" s="369" t="s">
        <v>406</v>
      </c>
      <c r="E64" s="370"/>
      <c r="F64" s="370"/>
      <c r="G64" s="119"/>
      <c r="H64" s="31"/>
      <c r="I64" s="31"/>
      <c r="J64" s="44"/>
    </row>
    <row r="65" spans="1:10" ht="15" customHeight="1">
      <c r="A65" s="123">
        <v>0.29688888788223267</v>
      </c>
      <c r="B65" s="84">
        <v>137.79323806636654</v>
      </c>
      <c r="C65" s="85">
        <v>555.5889892578125</v>
      </c>
      <c r="D65" s="371" t="s">
        <v>401</v>
      </c>
      <c r="E65" s="373" t="s">
        <v>405</v>
      </c>
      <c r="F65" s="373"/>
      <c r="G65" s="119"/>
      <c r="H65" s="31"/>
      <c r="I65" s="31"/>
      <c r="J65" s="44"/>
    </row>
    <row r="66" spans="1:10" ht="15" customHeight="1">
      <c r="A66" s="123">
        <v>0.39844444394111633</v>
      </c>
      <c r="B66" s="84">
        <v>135.01410857654523</v>
      </c>
      <c r="C66" s="85">
        <v>566.30706787109375</v>
      </c>
      <c r="D66" s="371" t="s">
        <v>402</v>
      </c>
      <c r="E66" s="373" t="s">
        <v>548</v>
      </c>
      <c r="F66" s="373"/>
      <c r="G66" s="119"/>
      <c r="H66" s="31"/>
      <c r="I66" s="31"/>
      <c r="J66" s="44"/>
    </row>
    <row r="67" spans="1:10" ht="15" customHeight="1">
      <c r="A67" s="123">
        <v>0.5</v>
      </c>
      <c r="B67" s="84">
        <v>135</v>
      </c>
      <c r="C67" s="85">
        <v>574.8345947265625</v>
      </c>
      <c r="D67" s="371" t="s">
        <v>403</v>
      </c>
      <c r="E67" s="373" t="s">
        <v>549</v>
      </c>
      <c r="F67" s="373"/>
      <c r="G67" s="119"/>
      <c r="H67" s="31"/>
      <c r="I67" s="31"/>
      <c r="J67" s="44"/>
    </row>
    <row r="68" spans="1:10" ht="15" customHeight="1" thickBot="1">
      <c r="A68" s="124">
        <v>0.60000002384185791</v>
      </c>
      <c r="B68" s="86">
        <v>138.59330015189391</v>
      </c>
      <c r="C68" s="87">
        <v>582.89642333984375</v>
      </c>
      <c r="D68" s="372" t="s">
        <v>404</v>
      </c>
      <c r="E68" s="374" t="s">
        <v>407</v>
      </c>
      <c r="F68" s="374"/>
      <c r="G68" s="120"/>
      <c r="H68" s="45"/>
      <c r="I68" s="45"/>
      <c r="J68" s="46"/>
    </row>
    <row r="69" spans="1:10" ht="15" customHeight="1">
      <c r="A69" s="153" t="s">
        <v>266</v>
      </c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66" t="s">
        <v>400</v>
      </c>
      <c r="B99" s="366"/>
      <c r="C99" s="366"/>
      <c r="D99" s="366"/>
      <c r="E99" s="366"/>
      <c r="F99" s="366"/>
      <c r="G99" s="366"/>
      <c r="H99" s="366"/>
      <c r="I99" s="366"/>
    </row>
    <row r="100" spans="1:9">
      <c r="A100" s="366">
        <v>100</v>
      </c>
      <c r="B100" s="366"/>
      <c r="C100" s="366"/>
      <c r="D100" s="366"/>
      <c r="E100" s="366"/>
      <c r="F100" s="366"/>
      <c r="G100" s="366"/>
      <c r="H100" s="366"/>
      <c r="I100" s="366"/>
    </row>
    <row r="101" spans="1:9">
      <c r="A101" s="366">
        <v>98.279998779296875</v>
      </c>
      <c r="B101" s="366"/>
      <c r="C101" s="366"/>
      <c r="D101" s="366"/>
      <c r="E101" s="366"/>
      <c r="F101" s="366"/>
      <c r="G101" s="366"/>
      <c r="H101" s="366"/>
      <c r="I101" s="366"/>
    </row>
    <row r="102" spans="1:9">
      <c r="A102" s="366">
        <v>88.925003051757813</v>
      </c>
      <c r="B102" s="366"/>
      <c r="C102" s="366"/>
      <c r="D102" s="366"/>
      <c r="E102" s="366"/>
      <c r="F102" s="366"/>
      <c r="G102" s="366"/>
      <c r="H102" s="366"/>
      <c r="I102" s="366"/>
    </row>
    <row r="103" spans="1:9">
      <c r="A103" s="366">
        <v>75.617774963378906</v>
      </c>
      <c r="B103" s="366"/>
      <c r="C103" s="366"/>
      <c r="D103" s="366"/>
      <c r="E103" s="366"/>
      <c r="F103" s="366"/>
      <c r="G103" s="366"/>
      <c r="H103" s="366"/>
      <c r="I103" s="366"/>
    </row>
    <row r="104" spans="1:9">
      <c r="A104" s="366">
        <v>62.415550231933594</v>
      </c>
      <c r="B104" s="366"/>
      <c r="C104" s="366"/>
      <c r="D104" s="366"/>
      <c r="E104" s="366"/>
      <c r="F104" s="366"/>
      <c r="G104" s="366"/>
      <c r="H104" s="366"/>
      <c r="I104" s="366"/>
    </row>
    <row r="105" spans="1:9">
      <c r="A105" s="366">
        <v>51.026668548583984</v>
      </c>
      <c r="B105" s="366"/>
      <c r="C105" s="366"/>
      <c r="D105" s="366"/>
      <c r="E105" s="366"/>
      <c r="F105" s="366"/>
      <c r="G105" s="366"/>
      <c r="H105" s="366"/>
      <c r="I105" s="366"/>
    </row>
    <row r="106" spans="1:9">
      <c r="A106" s="366">
        <v>33.528888702392578</v>
      </c>
      <c r="B106" s="366"/>
      <c r="C106" s="366"/>
      <c r="D106" s="366"/>
      <c r="E106" s="366"/>
      <c r="F106" s="366"/>
      <c r="G106" s="366"/>
      <c r="H106" s="366"/>
      <c r="I106" s="366"/>
    </row>
    <row r="107" spans="1:9">
      <c r="A107" s="366">
        <v>22.171112060546875</v>
      </c>
      <c r="B107" s="366"/>
      <c r="C107" s="366"/>
      <c r="D107" s="366"/>
      <c r="E107" s="366"/>
      <c r="F107" s="366"/>
      <c r="G107" s="366"/>
      <c r="H107" s="366"/>
      <c r="I107" s="366"/>
    </row>
    <row r="108" spans="1:9">
      <c r="A108" s="366">
        <v>14</v>
      </c>
      <c r="B108" s="366"/>
      <c r="C108" s="366"/>
      <c r="D108" s="366"/>
      <c r="E108" s="366"/>
      <c r="F108" s="366"/>
      <c r="G108" s="366"/>
      <c r="H108" s="366"/>
      <c r="I108" s="366"/>
    </row>
    <row r="109" spans="1:9">
      <c r="A109" s="366">
        <v>7.9999995231628418</v>
      </c>
      <c r="B109" s="366"/>
      <c r="C109" s="366"/>
      <c r="D109" s="366"/>
      <c r="E109" s="366"/>
      <c r="F109" s="366"/>
      <c r="G109" s="366"/>
      <c r="H109" s="366"/>
      <c r="I109" s="366"/>
    </row>
    <row r="110" spans="1:9">
      <c r="A110" s="366">
        <v>5.9999995231628418</v>
      </c>
      <c r="B110" s="366"/>
      <c r="C110" s="366"/>
      <c r="D110" s="366"/>
      <c r="E110" s="366"/>
      <c r="F110" s="366"/>
      <c r="G110" s="366"/>
      <c r="H110" s="366"/>
      <c r="I110" s="366"/>
    </row>
    <row r="111" spans="1:9">
      <c r="A111" s="366">
        <v>8.0000009536743164</v>
      </c>
      <c r="B111" s="366"/>
      <c r="C111" s="366"/>
      <c r="D111" s="366"/>
      <c r="E111" s="366"/>
      <c r="F111" s="366"/>
      <c r="G111" s="366"/>
      <c r="H111" s="366"/>
      <c r="I111" s="366"/>
    </row>
    <row r="112" spans="1:9">
      <c r="A112" s="366">
        <v>14.999996185302734</v>
      </c>
      <c r="B112" s="366"/>
      <c r="C112" s="366"/>
      <c r="D112" s="366"/>
      <c r="E112" s="366"/>
      <c r="F112" s="366"/>
      <c r="G112" s="366"/>
      <c r="H112" s="366"/>
      <c r="I112" s="366"/>
    </row>
    <row r="113" spans="1:9">
      <c r="A113" s="366">
        <v>30</v>
      </c>
      <c r="B113" s="366"/>
      <c r="C113" s="366"/>
      <c r="D113" s="366"/>
      <c r="E113" s="366"/>
      <c r="F113" s="366"/>
      <c r="G113" s="366"/>
      <c r="H113" s="366"/>
      <c r="I113" s="366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27" workbookViewId="0">
      <selection activeCell="N11" sqref="N11"/>
    </sheetView>
  </sheetViews>
  <sheetFormatPr defaultColWidth="9.109375" defaultRowHeight="15"/>
  <cols>
    <col min="1" max="1" width="12.109375" style="319" customWidth="1"/>
    <col min="2" max="2" width="6.109375" style="319" customWidth="1"/>
    <col min="3" max="3" width="7.109375" style="319" customWidth="1"/>
    <col min="4" max="4" width="12.88671875" style="319" customWidth="1"/>
    <col min="5" max="5" width="12.5546875" style="319" customWidth="1"/>
    <col min="6" max="6" width="9.44140625" style="319" customWidth="1"/>
    <col min="7" max="7" width="5.6640625" style="319" customWidth="1"/>
    <col min="8" max="8" width="7.88671875" style="319" customWidth="1"/>
    <col min="9" max="9" width="6.5546875" style="319" customWidth="1"/>
    <col min="10" max="11" width="12" style="319" customWidth="1"/>
    <col min="12" max="26" width="9.109375" style="183"/>
    <col min="27" max="16384" width="9.109375" style="184"/>
  </cols>
  <sheetData>
    <row r="1" spans="1:26" ht="20.25" customHeight="1">
      <c r="A1" s="528" t="s">
        <v>267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</row>
    <row r="2" spans="1:26" ht="20.25" customHeight="1">
      <c r="A2" s="529" t="s">
        <v>268</v>
      </c>
      <c r="B2" s="529"/>
      <c r="C2" s="529"/>
      <c r="D2" s="529"/>
      <c r="E2" s="529"/>
      <c r="F2" s="529"/>
      <c r="G2" s="529"/>
      <c r="H2" s="529"/>
      <c r="I2" s="529"/>
      <c r="J2" s="529"/>
      <c r="K2" s="529"/>
    </row>
    <row r="3" spans="1:26" ht="18.75" customHeight="1" thickBot="1">
      <c r="A3" s="185" t="s">
        <v>1</v>
      </c>
      <c r="B3" s="186" t="s">
        <v>377</v>
      </c>
      <c r="C3" s="187"/>
      <c r="D3" s="187"/>
      <c r="E3" s="187"/>
      <c r="F3" s="188"/>
      <c r="G3" s="187"/>
      <c r="H3" s="187"/>
      <c r="I3" s="185" t="s">
        <v>269</v>
      </c>
      <c r="J3" s="530" t="s">
        <v>395</v>
      </c>
      <c r="K3" s="530"/>
    </row>
    <row r="4" spans="1:26" s="197" customFormat="1" ht="18.45" customHeight="1" thickBot="1">
      <c r="A4" s="189" t="s">
        <v>378</v>
      </c>
      <c r="B4" s="190"/>
      <c r="C4" s="191"/>
      <c r="D4" s="191"/>
      <c r="E4" s="191"/>
      <c r="F4" s="191"/>
      <c r="G4" s="191"/>
      <c r="H4" s="191"/>
      <c r="I4" s="191"/>
      <c r="J4" s="191"/>
      <c r="K4" s="192"/>
      <c r="L4" s="193"/>
      <c r="M4" s="193"/>
      <c r="N4" s="193"/>
      <c r="O4" s="193"/>
      <c r="P4" s="193"/>
      <c r="Q4" s="194" t="s">
        <v>270</v>
      </c>
      <c r="R4" s="195"/>
      <c r="S4" s="193"/>
      <c r="T4" s="194" t="s">
        <v>271</v>
      </c>
      <c r="U4" s="196"/>
      <c r="V4" s="193"/>
      <c r="W4" s="193"/>
      <c r="X4" s="193"/>
      <c r="Y4" s="193"/>
      <c r="Z4" s="193"/>
    </row>
    <row r="5" spans="1:26" s="197" customFormat="1" ht="18.45" customHeight="1">
      <c r="A5" s="531" t="s">
        <v>272</v>
      </c>
      <c r="B5" s="532"/>
      <c r="C5" s="532"/>
      <c r="D5" s="198"/>
      <c r="E5" s="199"/>
      <c r="F5" s="200" t="s">
        <v>273</v>
      </c>
      <c r="G5" s="187"/>
      <c r="H5" s="187"/>
      <c r="I5" s="201"/>
      <c r="J5" s="202" t="s">
        <v>274</v>
      </c>
      <c r="K5" s="203" t="s">
        <v>275</v>
      </c>
      <c r="L5" s="193"/>
      <c r="M5" s="193"/>
      <c r="N5" s="193"/>
      <c r="O5" s="193"/>
      <c r="P5" s="193"/>
      <c r="Q5" s="204" t="s">
        <v>276</v>
      </c>
      <c r="R5" s="205"/>
      <c r="S5" s="193"/>
      <c r="T5" s="204" t="s">
        <v>277</v>
      </c>
      <c r="U5" s="206"/>
      <c r="V5" s="193"/>
      <c r="W5" s="193"/>
      <c r="X5" s="193"/>
      <c r="Y5" s="193"/>
      <c r="Z5" s="193"/>
    </row>
    <row r="6" spans="1:26" s="197" customFormat="1" ht="18.45" customHeight="1">
      <c r="A6" s="533" t="s">
        <v>67</v>
      </c>
      <c r="B6" s="534"/>
      <c r="C6" s="534"/>
      <c r="D6" s="535" t="s">
        <v>281</v>
      </c>
      <c r="E6" s="536"/>
      <c r="F6" s="537" t="s">
        <v>279</v>
      </c>
      <c r="G6" s="538"/>
      <c r="H6" s="538"/>
      <c r="I6" s="538"/>
      <c r="J6" s="538"/>
      <c r="K6" s="539"/>
      <c r="L6" s="193"/>
      <c r="M6" s="193"/>
      <c r="N6" s="193"/>
      <c r="O6" s="193"/>
      <c r="P6" s="193"/>
      <c r="Q6" s="204" t="s">
        <v>280</v>
      </c>
      <c r="R6" s="205"/>
      <c r="S6" s="193"/>
      <c r="T6" s="204" t="s">
        <v>281</v>
      </c>
      <c r="U6" s="206"/>
      <c r="V6" s="193"/>
      <c r="W6" s="193"/>
      <c r="X6" s="193"/>
      <c r="Y6" s="193"/>
      <c r="Z6" s="193"/>
    </row>
    <row r="7" spans="1:26" s="197" customFormat="1" ht="18.45" customHeight="1">
      <c r="A7" s="543" t="s">
        <v>20</v>
      </c>
      <c r="B7" s="544"/>
      <c r="C7" s="544"/>
      <c r="D7" s="545">
        <v>1.20000004768372</v>
      </c>
      <c r="E7" s="546"/>
      <c r="F7" s="207" t="s">
        <v>282</v>
      </c>
      <c r="G7" s="208"/>
      <c r="H7" s="209"/>
      <c r="I7" s="210"/>
      <c r="J7" s="211" t="s">
        <v>382</v>
      </c>
      <c r="K7" s="212" t="s">
        <v>175</v>
      </c>
      <c r="L7" s="193"/>
      <c r="M7" s="193"/>
      <c r="N7" s="193"/>
      <c r="O7" s="193"/>
      <c r="P7" s="193"/>
      <c r="Q7" s="204" t="s">
        <v>283</v>
      </c>
      <c r="R7" s="205"/>
      <c r="S7" s="193"/>
      <c r="T7" s="204" t="s">
        <v>278</v>
      </c>
      <c r="U7" s="206"/>
      <c r="V7" s="193"/>
      <c r="W7" s="193"/>
      <c r="X7" s="193"/>
      <c r="Y7" s="193"/>
      <c r="Z7" s="193"/>
    </row>
    <row r="8" spans="1:26" s="197" customFormat="1" ht="18.45" customHeight="1">
      <c r="A8" s="543" t="s">
        <v>284</v>
      </c>
      <c r="B8" s="544"/>
      <c r="C8" s="544"/>
      <c r="D8" s="547">
        <v>600</v>
      </c>
      <c r="E8" s="548"/>
      <c r="F8" s="213" t="s">
        <v>285</v>
      </c>
      <c r="G8" s="214"/>
      <c r="H8" s="215"/>
      <c r="I8" s="216"/>
      <c r="J8" s="217">
        <v>6105</v>
      </c>
      <c r="K8" s="218" t="s">
        <v>175</v>
      </c>
      <c r="L8" s="193"/>
      <c r="M8" s="193"/>
      <c r="N8" s="193"/>
      <c r="O8" s="193"/>
      <c r="P8" s="193"/>
      <c r="Q8" s="204" t="s">
        <v>286</v>
      </c>
      <c r="R8" s="205"/>
      <c r="S8" s="193"/>
      <c r="T8" s="204" t="s">
        <v>287</v>
      </c>
      <c r="U8" s="206"/>
      <c r="V8" s="193"/>
      <c r="W8" s="193"/>
      <c r="X8" s="193"/>
      <c r="Y8" s="193"/>
      <c r="Z8" s="193"/>
    </row>
    <row r="9" spans="1:26" s="197" customFormat="1" ht="18.45" customHeight="1">
      <c r="A9" s="549" t="s">
        <v>288</v>
      </c>
      <c r="B9" s="550"/>
      <c r="C9" s="551"/>
      <c r="D9" s="547" t="s">
        <v>388</v>
      </c>
      <c r="E9" s="548"/>
      <c r="F9" s="207" t="s">
        <v>289</v>
      </c>
      <c r="G9" s="208"/>
      <c r="H9" s="219">
        <v>3</v>
      </c>
      <c r="I9" s="220" t="s">
        <v>290</v>
      </c>
      <c r="J9" s="221">
        <v>88</v>
      </c>
      <c r="K9" s="218" t="s">
        <v>175</v>
      </c>
      <c r="L9" s="193"/>
      <c r="M9" s="193"/>
      <c r="N9" s="193"/>
      <c r="O9" s="193"/>
      <c r="P9" s="193"/>
      <c r="Q9" s="204" t="s">
        <v>291</v>
      </c>
      <c r="R9" s="205"/>
      <c r="S9" s="193"/>
      <c r="T9" s="204" t="s">
        <v>292</v>
      </c>
      <c r="U9" s="206"/>
      <c r="V9" s="193"/>
      <c r="W9" s="193"/>
      <c r="X9" s="193"/>
      <c r="Y9" s="193"/>
      <c r="Z9" s="193"/>
    </row>
    <row r="10" spans="1:26" s="197" customFormat="1" ht="18.45" customHeight="1" thickBot="1">
      <c r="A10" s="549" t="s">
        <v>293</v>
      </c>
      <c r="B10" s="550"/>
      <c r="C10" s="551"/>
      <c r="D10" s="552" t="s">
        <v>200</v>
      </c>
      <c r="E10" s="553"/>
      <c r="F10" s="207" t="s">
        <v>294</v>
      </c>
      <c r="G10" s="208"/>
      <c r="H10" s="219">
        <v>3</v>
      </c>
      <c r="I10" s="220" t="s">
        <v>290</v>
      </c>
      <c r="J10" s="221">
        <v>1150</v>
      </c>
      <c r="K10" s="218" t="s">
        <v>175</v>
      </c>
      <c r="L10" s="193"/>
      <c r="M10" s="193"/>
      <c r="N10" s="193"/>
      <c r="O10" s="193"/>
      <c r="P10" s="193"/>
      <c r="Q10" s="204" t="s">
        <v>295</v>
      </c>
      <c r="R10" s="205"/>
      <c r="S10" s="193"/>
      <c r="T10" s="222" t="s">
        <v>296</v>
      </c>
      <c r="U10" s="223"/>
      <c r="V10" s="193"/>
      <c r="W10" s="193"/>
      <c r="X10" s="193"/>
      <c r="Y10" s="193"/>
      <c r="Z10" s="193"/>
    </row>
    <row r="11" spans="1:26" s="197" customFormat="1" ht="18.45" customHeight="1" thickBot="1">
      <c r="A11" s="549" t="s">
        <v>297</v>
      </c>
      <c r="B11" s="550"/>
      <c r="C11" s="551"/>
      <c r="D11" s="554" t="s">
        <v>175</v>
      </c>
      <c r="E11" s="555"/>
      <c r="F11" s="224" t="s">
        <v>298</v>
      </c>
      <c r="G11" s="225"/>
      <c r="H11" s="226">
        <v>3</v>
      </c>
      <c r="I11" s="220" t="s">
        <v>290</v>
      </c>
      <c r="J11" s="227">
        <v>25112</v>
      </c>
      <c r="K11" s="228" t="s">
        <v>175</v>
      </c>
      <c r="L11" s="193"/>
      <c r="M11" s="193"/>
      <c r="N11" s="193"/>
      <c r="O11" s="193"/>
      <c r="P11" s="193"/>
      <c r="Q11" s="222" t="s">
        <v>299</v>
      </c>
      <c r="R11" s="229"/>
      <c r="S11" s="193"/>
      <c r="T11" s="193"/>
      <c r="U11" s="193"/>
      <c r="V11" s="193"/>
      <c r="W11" s="193"/>
      <c r="X11" s="193"/>
      <c r="Y11" s="193"/>
      <c r="Z11" s="193"/>
    </row>
    <row r="12" spans="1:26" s="197" customFormat="1" ht="18.45" customHeight="1">
      <c r="A12" s="230" t="s">
        <v>300</v>
      </c>
      <c r="C12" s="231"/>
      <c r="D12" s="556" t="s">
        <v>175</v>
      </c>
      <c r="E12" s="557"/>
      <c r="F12" s="540" t="s">
        <v>301</v>
      </c>
      <c r="G12" s="541"/>
      <c r="H12" s="541"/>
      <c r="I12" s="541"/>
      <c r="J12" s="541"/>
      <c r="K12" s="542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</row>
    <row r="13" spans="1:26" s="197" customFormat="1" ht="18.45" customHeight="1">
      <c r="A13" s="549" t="s">
        <v>53</v>
      </c>
      <c r="B13" s="550"/>
      <c r="C13" s="551"/>
      <c r="D13" s="558" t="s">
        <v>380</v>
      </c>
      <c r="E13" s="559"/>
      <c r="F13" s="232"/>
      <c r="G13" s="233" t="s">
        <v>302</v>
      </c>
      <c r="H13" s="234"/>
      <c r="I13" s="235" t="s">
        <v>303</v>
      </c>
      <c r="J13" s="236" t="s">
        <v>385</v>
      </c>
      <c r="K13" s="237" t="s">
        <v>175</v>
      </c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</row>
    <row r="14" spans="1:26" s="197" customFormat="1" ht="18.45" customHeight="1">
      <c r="A14" s="549" t="s">
        <v>56</v>
      </c>
      <c r="B14" s="550"/>
      <c r="C14" s="551"/>
      <c r="D14" s="556">
        <v>939</v>
      </c>
      <c r="E14" s="557"/>
      <c r="F14" s="232"/>
      <c r="G14" s="238" t="s">
        <v>10</v>
      </c>
      <c r="H14" s="239"/>
      <c r="I14" s="239"/>
      <c r="J14" s="221" t="s">
        <v>175</v>
      </c>
      <c r="K14" s="218" t="s">
        <v>175</v>
      </c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</row>
    <row r="15" spans="1:26" s="197" customFormat="1" ht="18.45" customHeight="1">
      <c r="A15" s="560" t="s">
        <v>304</v>
      </c>
      <c r="B15" s="561"/>
      <c r="C15" s="562"/>
      <c r="D15" s="563">
        <v>13.118399620056152</v>
      </c>
      <c r="E15" s="564"/>
      <c r="F15" s="232"/>
      <c r="G15" s="238" t="s">
        <v>305</v>
      </c>
      <c r="H15" s="239"/>
      <c r="I15" s="239"/>
      <c r="J15" s="221" t="s">
        <v>175</v>
      </c>
      <c r="K15" s="218" t="s">
        <v>175</v>
      </c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</row>
    <row r="16" spans="1:26" s="197" customFormat="1" ht="18.45" customHeight="1">
      <c r="A16" s="565" t="s">
        <v>306</v>
      </c>
      <c r="B16" s="566"/>
      <c r="C16" s="567"/>
      <c r="D16" s="563">
        <v>3.3183999061584473</v>
      </c>
      <c r="E16" s="564"/>
      <c r="F16" s="240"/>
      <c r="G16" s="241" t="s">
        <v>17</v>
      </c>
      <c r="H16" s="242"/>
      <c r="I16" s="242"/>
      <c r="J16" s="227" t="s">
        <v>175</v>
      </c>
      <c r="K16" s="228" t="s">
        <v>175</v>
      </c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</row>
    <row r="17" spans="1:26" s="197" customFormat="1" ht="18.45" customHeight="1">
      <c r="A17" s="243" t="s">
        <v>307</v>
      </c>
      <c r="B17" s="244"/>
      <c r="C17" s="245"/>
      <c r="D17" s="554" t="s">
        <v>379</v>
      </c>
      <c r="E17" s="555"/>
      <c r="F17" s="540" t="s">
        <v>308</v>
      </c>
      <c r="G17" s="541"/>
      <c r="H17" s="541"/>
      <c r="I17" s="541"/>
      <c r="J17" s="541"/>
      <c r="K17" s="542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</row>
    <row r="18" spans="1:26" s="197" customFormat="1" ht="18.45" customHeight="1">
      <c r="A18" s="246" t="s">
        <v>309</v>
      </c>
      <c r="B18" s="247"/>
      <c r="C18" s="245"/>
      <c r="D18" s="552" t="s">
        <v>175</v>
      </c>
      <c r="E18" s="553"/>
      <c r="F18" s="568"/>
      <c r="G18" s="569"/>
      <c r="H18" s="248" t="s">
        <v>310</v>
      </c>
      <c r="I18" s="249"/>
      <c r="J18" s="217" t="s">
        <v>381</v>
      </c>
      <c r="K18" s="218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</row>
    <row r="19" spans="1:26" s="197" customFormat="1" ht="18.45" customHeight="1">
      <c r="A19" s="574" t="s">
        <v>311</v>
      </c>
      <c r="B19" s="575"/>
      <c r="C19" s="576"/>
      <c r="D19" s="577" t="s">
        <v>175</v>
      </c>
      <c r="E19" s="555"/>
      <c r="F19" s="570"/>
      <c r="G19" s="571"/>
      <c r="H19" s="248" t="s">
        <v>5</v>
      </c>
      <c r="I19" s="210"/>
      <c r="J19" s="217">
        <v>1180</v>
      </c>
      <c r="K19" s="218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 spans="1:26" s="197" customFormat="1" ht="18.45" customHeight="1" thickBot="1">
      <c r="A20" s="250" t="s">
        <v>312</v>
      </c>
      <c r="C20" s="251"/>
      <c r="D20" s="578" t="s">
        <v>199</v>
      </c>
      <c r="E20" s="548"/>
      <c r="F20" s="570"/>
      <c r="G20" s="571"/>
      <c r="H20" s="248" t="s">
        <v>313</v>
      </c>
      <c r="I20" s="210"/>
      <c r="J20" s="221" t="s">
        <v>358</v>
      </c>
      <c r="K20" s="218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</row>
    <row r="21" spans="1:26" s="197" customFormat="1" ht="18.45" customHeight="1" thickBot="1">
      <c r="A21" s="560" t="s">
        <v>314</v>
      </c>
      <c r="B21" s="561"/>
      <c r="C21" s="562"/>
      <c r="D21" s="547" t="s">
        <v>175</v>
      </c>
      <c r="E21" s="548"/>
      <c r="F21" s="570"/>
      <c r="G21" s="571"/>
      <c r="H21" s="252" t="s">
        <v>315</v>
      </c>
      <c r="I21" s="210"/>
      <c r="J21" s="221">
        <v>1.1499999999999999</v>
      </c>
      <c r="K21" s="218"/>
      <c r="L21" s="193"/>
      <c r="M21" s="193"/>
      <c r="N21" s="193"/>
      <c r="O21" s="193"/>
      <c r="P21" s="193"/>
      <c r="Q21" s="194" t="s">
        <v>316</v>
      </c>
      <c r="R21" s="196"/>
      <c r="S21" s="193"/>
      <c r="T21" s="193"/>
      <c r="U21" s="193"/>
      <c r="V21" s="193"/>
      <c r="W21" s="193"/>
      <c r="X21" s="193"/>
      <c r="Y21" s="193"/>
      <c r="Z21" s="193"/>
    </row>
    <row r="22" spans="1:26" s="197" customFormat="1" ht="18.45" customHeight="1">
      <c r="A22" s="246" t="s">
        <v>317</v>
      </c>
      <c r="B22" s="253"/>
      <c r="C22" s="253"/>
      <c r="D22" s="579">
        <v>0.29879999160766602</v>
      </c>
      <c r="E22" s="580"/>
      <c r="F22" s="570"/>
      <c r="G22" s="571"/>
      <c r="H22" s="248" t="s">
        <v>274</v>
      </c>
      <c r="I22" s="210"/>
      <c r="J22" s="221" t="s">
        <v>175</v>
      </c>
      <c r="K22" s="218"/>
      <c r="L22" s="193"/>
      <c r="M22" s="193"/>
      <c r="N22" s="193"/>
      <c r="O22" s="193"/>
      <c r="P22" s="193"/>
      <c r="Q22" s="204" t="s">
        <v>319</v>
      </c>
      <c r="R22" s="206"/>
      <c r="S22" s="193"/>
      <c r="T22" s="193"/>
      <c r="U22" s="193"/>
      <c r="V22" s="193"/>
      <c r="W22" s="193"/>
      <c r="X22" s="193"/>
      <c r="Y22" s="193"/>
      <c r="Z22" s="193"/>
    </row>
    <row r="23" spans="1:26" s="197" customFormat="1" ht="18.45" customHeight="1">
      <c r="A23" s="254" t="s">
        <v>320</v>
      </c>
      <c r="B23" s="255" t="s">
        <v>321</v>
      </c>
      <c r="C23" s="256"/>
      <c r="D23" s="558">
        <v>210.2</v>
      </c>
      <c r="E23" s="559"/>
      <c r="F23" s="570"/>
      <c r="G23" s="571"/>
      <c r="H23" s="257" t="s">
        <v>322</v>
      </c>
      <c r="I23" s="258"/>
      <c r="J23" s="259" t="s">
        <v>175</v>
      </c>
      <c r="K23" s="260"/>
      <c r="L23" s="193"/>
      <c r="Q23" s="204" t="s">
        <v>323</v>
      </c>
      <c r="R23" s="206"/>
      <c r="S23" s="193"/>
      <c r="T23" s="193"/>
      <c r="U23" s="193"/>
      <c r="V23" s="193"/>
      <c r="W23" s="193"/>
      <c r="X23" s="193"/>
      <c r="Y23" s="193"/>
      <c r="Z23" s="193"/>
    </row>
    <row r="24" spans="1:26" s="197" customFormat="1" ht="18.45" customHeight="1" thickBot="1">
      <c r="A24" s="261" t="s">
        <v>324</v>
      </c>
      <c r="B24" s="262" t="s">
        <v>325</v>
      </c>
      <c r="C24" s="263"/>
      <c r="D24" s="581" t="s">
        <v>175</v>
      </c>
      <c r="E24" s="582"/>
      <c r="F24" s="570"/>
      <c r="G24" s="571"/>
      <c r="H24" s="248" t="s">
        <v>326</v>
      </c>
      <c r="I24" s="231"/>
      <c r="J24" s="264" t="s">
        <v>175</v>
      </c>
      <c r="K24" s="265"/>
      <c r="Q24" s="266" t="s">
        <v>175</v>
      </c>
      <c r="R24" s="267"/>
      <c r="S24" s="193"/>
      <c r="T24" s="193"/>
      <c r="U24" s="193"/>
      <c r="V24" s="193"/>
      <c r="W24" s="193"/>
      <c r="X24" s="193"/>
      <c r="Y24" s="193"/>
      <c r="Z24" s="193"/>
    </row>
    <row r="25" spans="1:26" s="197" customFormat="1" ht="18.45" customHeight="1">
      <c r="A25" s="268" t="s">
        <v>327</v>
      </c>
      <c r="B25" s="269"/>
      <c r="C25" s="269"/>
      <c r="D25" s="270"/>
      <c r="E25" s="270" t="s">
        <v>328</v>
      </c>
      <c r="F25" s="570"/>
      <c r="G25" s="571"/>
      <c r="H25" s="248" t="s">
        <v>329</v>
      </c>
      <c r="I25" s="231"/>
      <c r="J25" s="271" t="s">
        <v>175</v>
      </c>
      <c r="K25" s="265"/>
      <c r="R25" s="193"/>
      <c r="S25" s="193"/>
      <c r="T25" s="193"/>
      <c r="U25" s="193"/>
      <c r="V25" s="193"/>
      <c r="W25" s="193"/>
      <c r="X25" s="193"/>
      <c r="Y25" s="193"/>
      <c r="Z25" s="193"/>
    </row>
    <row r="26" spans="1:26" s="197" customFormat="1" ht="18.45" customHeight="1">
      <c r="A26" s="272" t="s">
        <v>330</v>
      </c>
      <c r="B26" s="273"/>
      <c r="C26" s="274"/>
      <c r="D26" s="275" t="s">
        <v>386</v>
      </c>
      <c r="E26" s="275" t="s">
        <v>387</v>
      </c>
      <c r="F26" s="572"/>
      <c r="G26" s="573"/>
      <c r="H26" s="583"/>
      <c r="I26" s="584"/>
      <c r="J26" s="276"/>
      <c r="K26" s="277"/>
      <c r="R26" s="193"/>
      <c r="S26" s="193"/>
      <c r="T26" s="193"/>
      <c r="U26" s="193"/>
      <c r="V26" s="193"/>
      <c r="W26" s="193"/>
      <c r="X26" s="193"/>
      <c r="Y26" s="193"/>
      <c r="Z26" s="193"/>
    </row>
    <row r="27" spans="1:26" s="197" customFormat="1" ht="18.45" customHeight="1">
      <c r="A27" s="593" t="s">
        <v>331</v>
      </c>
      <c r="B27" s="594"/>
      <c r="C27" s="594"/>
      <c r="D27" s="594"/>
      <c r="E27" s="594"/>
      <c r="F27" s="537" t="s">
        <v>332</v>
      </c>
      <c r="G27" s="538"/>
      <c r="H27" s="538"/>
      <c r="I27" s="538"/>
      <c r="J27" s="538"/>
      <c r="K27" s="539"/>
      <c r="R27" s="193"/>
      <c r="S27" s="193"/>
      <c r="T27" s="193"/>
      <c r="U27" s="193"/>
      <c r="V27" s="193"/>
      <c r="W27" s="193"/>
      <c r="X27" s="193"/>
      <c r="Y27" s="193"/>
      <c r="Z27" s="193"/>
    </row>
    <row r="28" spans="1:26" s="197" customFormat="1" ht="18.45" customHeight="1">
      <c r="A28" s="587"/>
      <c r="B28" s="588"/>
      <c r="C28" s="588"/>
      <c r="D28" s="588"/>
      <c r="E28" s="589"/>
      <c r="F28" s="278"/>
      <c r="G28" s="279"/>
      <c r="H28" s="238" t="s">
        <v>333</v>
      </c>
      <c r="I28" s="280" t="s">
        <v>384</v>
      </c>
      <c r="J28" s="217" t="s">
        <v>383</v>
      </c>
      <c r="K28" s="212" t="s">
        <v>175</v>
      </c>
      <c r="M28" s="281">
        <f>370/61</f>
        <v>6.0655737704918034</v>
      </c>
      <c r="N28" s="197">
        <f>370/334</f>
        <v>1.1077844311377245</v>
      </c>
      <c r="R28" s="193"/>
      <c r="S28" s="193"/>
      <c r="T28" s="193"/>
      <c r="U28" s="193"/>
      <c r="V28" s="193"/>
      <c r="W28" s="193"/>
      <c r="X28" s="193"/>
      <c r="Y28" s="193"/>
      <c r="Z28" s="193"/>
    </row>
    <row r="29" spans="1:26" s="197" customFormat="1" ht="18.45" customHeight="1">
      <c r="A29" s="587"/>
      <c r="B29" s="588"/>
      <c r="C29" s="588"/>
      <c r="D29" s="588"/>
      <c r="E29" s="589"/>
      <c r="F29" s="282"/>
      <c r="G29" s="283"/>
      <c r="H29" s="238" t="s">
        <v>334</v>
      </c>
      <c r="I29" s="284">
        <v>60</v>
      </c>
      <c r="J29" s="217">
        <v>227</v>
      </c>
      <c r="K29" s="212" t="s">
        <v>175</v>
      </c>
      <c r="M29" s="281">
        <f>641/106</f>
        <v>6.0471698113207548</v>
      </c>
      <c r="N29" s="197">
        <f>641/578</f>
        <v>1.1089965397923875</v>
      </c>
      <c r="Q29" s="193"/>
      <c r="R29" s="193"/>
      <c r="S29" s="193"/>
      <c r="T29" s="193"/>
      <c r="U29" s="193"/>
      <c r="V29" s="193"/>
      <c r="W29" s="193"/>
      <c r="X29" s="193"/>
      <c r="Y29" s="193"/>
      <c r="Z29" s="193"/>
    </row>
    <row r="30" spans="1:26" s="197" customFormat="1" ht="18.45" customHeight="1">
      <c r="A30" s="587"/>
      <c r="B30" s="588"/>
      <c r="C30" s="588"/>
      <c r="D30" s="588"/>
      <c r="E30" s="589"/>
      <c r="F30" s="282"/>
      <c r="G30" s="283"/>
      <c r="H30" s="238" t="s">
        <v>335</v>
      </c>
      <c r="I30" s="284">
        <v>175</v>
      </c>
      <c r="J30" s="217">
        <v>277</v>
      </c>
      <c r="K30" s="212" t="s">
        <v>175</v>
      </c>
      <c r="L30" s="193"/>
      <c r="R30" s="193"/>
      <c r="S30" s="193"/>
      <c r="T30" s="193"/>
      <c r="U30" s="193"/>
      <c r="V30" s="193"/>
      <c r="W30" s="193"/>
      <c r="X30" s="193"/>
      <c r="Y30" s="193"/>
      <c r="Z30" s="193"/>
    </row>
    <row r="31" spans="1:26" s="197" customFormat="1" ht="18.45" customHeight="1">
      <c r="A31" s="587"/>
      <c r="B31" s="588"/>
      <c r="C31" s="588"/>
      <c r="D31" s="588"/>
      <c r="E31" s="589"/>
      <c r="F31" s="282"/>
      <c r="G31" s="283"/>
      <c r="H31" s="238" t="s">
        <v>336</v>
      </c>
      <c r="I31" s="239"/>
      <c r="J31" s="285">
        <v>1.49</v>
      </c>
      <c r="K31" s="212" t="s">
        <v>175</v>
      </c>
      <c r="L31" s="193"/>
      <c r="R31" s="193"/>
      <c r="S31" s="193"/>
      <c r="T31" s="193"/>
      <c r="U31" s="193"/>
      <c r="V31" s="193"/>
      <c r="W31" s="193"/>
      <c r="X31" s="193"/>
      <c r="Y31" s="193"/>
      <c r="Z31" s="193"/>
    </row>
    <row r="32" spans="1:26" s="197" customFormat="1" ht="18.45" customHeight="1">
      <c r="A32" s="590"/>
      <c r="B32" s="591"/>
      <c r="C32" s="591"/>
      <c r="D32" s="591"/>
      <c r="E32" s="592"/>
      <c r="F32" s="282"/>
      <c r="G32" s="286" t="s">
        <v>337</v>
      </c>
      <c r="H32" s="238" t="s">
        <v>338</v>
      </c>
      <c r="I32" s="287"/>
      <c r="J32" s="211">
        <v>94.8</v>
      </c>
      <c r="K32" s="212" t="s">
        <v>175</v>
      </c>
      <c r="L32" s="193"/>
      <c r="R32" s="193"/>
      <c r="S32" s="193"/>
      <c r="T32" s="193"/>
      <c r="U32" s="193"/>
      <c r="V32" s="193"/>
      <c r="W32" s="193"/>
      <c r="X32" s="193"/>
      <c r="Y32" s="193"/>
      <c r="Z32" s="193"/>
    </row>
    <row r="33" spans="1:26" s="197" customFormat="1" ht="18.45" customHeight="1">
      <c r="A33" s="593" t="s">
        <v>339</v>
      </c>
      <c r="B33" s="594"/>
      <c r="C33" s="594"/>
      <c r="D33" s="594"/>
      <c r="E33" s="595"/>
      <c r="F33" s="288"/>
      <c r="G33" s="289"/>
      <c r="H33" s="290" t="s">
        <v>340</v>
      </c>
      <c r="I33" s="291"/>
      <c r="J33" s="292">
        <v>74.2</v>
      </c>
      <c r="K33" s="293" t="s">
        <v>175</v>
      </c>
      <c r="L33" s="193"/>
      <c r="R33" s="193"/>
      <c r="S33" s="193"/>
      <c r="T33" s="193"/>
      <c r="U33" s="193"/>
      <c r="V33" s="193"/>
      <c r="W33" s="193"/>
      <c r="X33" s="193"/>
      <c r="Y33" s="193"/>
      <c r="Z33" s="193"/>
    </row>
    <row r="34" spans="1:26" s="197" customFormat="1" ht="18.45" customHeight="1">
      <c r="A34" s="587"/>
      <c r="B34" s="588"/>
      <c r="C34" s="588"/>
      <c r="D34" s="588"/>
      <c r="E34" s="589"/>
      <c r="F34" s="213" t="s">
        <v>341</v>
      </c>
      <c r="G34" s="294"/>
      <c r="H34" s="295" t="s">
        <v>14</v>
      </c>
      <c r="I34" s="296"/>
      <c r="J34" s="297">
        <v>4636</v>
      </c>
      <c r="K34" s="298" t="s">
        <v>175</v>
      </c>
      <c r="L34" s="299"/>
      <c r="R34" s="193"/>
      <c r="S34" s="193"/>
      <c r="T34" s="193"/>
      <c r="U34" s="193"/>
      <c r="V34" s="193"/>
      <c r="W34" s="193"/>
      <c r="X34" s="193"/>
      <c r="Y34" s="193"/>
      <c r="Z34" s="193"/>
    </row>
    <row r="35" spans="1:26" s="197" customFormat="1" ht="18.45" customHeight="1">
      <c r="A35" s="587"/>
      <c r="B35" s="588"/>
      <c r="C35" s="588"/>
      <c r="D35" s="588"/>
      <c r="E35" s="589"/>
      <c r="F35" s="232"/>
      <c r="G35" s="300"/>
      <c r="H35" s="301" t="s">
        <v>15</v>
      </c>
      <c r="I35" s="302"/>
      <c r="J35" s="217">
        <v>4228</v>
      </c>
      <c r="K35" s="212" t="s">
        <v>175</v>
      </c>
      <c r="R35" s="193"/>
      <c r="S35" s="193"/>
      <c r="T35" s="193"/>
      <c r="U35" s="193"/>
      <c r="V35" s="193"/>
      <c r="W35" s="193"/>
      <c r="X35" s="193"/>
      <c r="Y35" s="193"/>
      <c r="Z35" s="193"/>
    </row>
    <row r="36" spans="1:26" s="197" customFormat="1" ht="18.45" customHeight="1">
      <c r="A36" s="587"/>
      <c r="B36" s="588"/>
      <c r="C36" s="588"/>
      <c r="D36" s="588"/>
      <c r="E36" s="589"/>
      <c r="F36" s="232"/>
      <c r="G36" s="300"/>
      <c r="H36" s="301" t="s">
        <v>342</v>
      </c>
      <c r="I36" s="302"/>
      <c r="J36" s="217">
        <v>3356</v>
      </c>
      <c r="K36" s="212" t="s">
        <v>175</v>
      </c>
      <c r="Q36" s="193"/>
      <c r="R36" s="193"/>
      <c r="S36" s="193"/>
      <c r="T36" s="193"/>
      <c r="U36" s="193"/>
      <c r="V36" s="193"/>
      <c r="W36" s="193"/>
      <c r="X36" s="193"/>
      <c r="Y36" s="193"/>
      <c r="Z36" s="193"/>
    </row>
    <row r="37" spans="1:26" s="197" customFormat="1" ht="18.45" customHeight="1">
      <c r="A37" s="587"/>
      <c r="B37" s="588"/>
      <c r="C37" s="588"/>
      <c r="D37" s="588"/>
      <c r="E37" s="589"/>
      <c r="F37" s="282"/>
      <c r="G37" s="300"/>
      <c r="H37" s="301" t="s">
        <v>343</v>
      </c>
      <c r="I37" s="302"/>
      <c r="J37" s="217">
        <v>1939</v>
      </c>
      <c r="K37" s="212" t="s">
        <v>175</v>
      </c>
      <c r="R37" s="193"/>
      <c r="S37" s="193"/>
      <c r="T37" s="193"/>
      <c r="U37" s="193"/>
      <c r="V37" s="193"/>
      <c r="W37" s="193"/>
      <c r="X37" s="193"/>
      <c r="Y37" s="193"/>
      <c r="Z37" s="193"/>
    </row>
    <row r="38" spans="1:26" s="197" customFormat="1" ht="18.45" customHeight="1">
      <c r="A38" s="590"/>
      <c r="B38" s="591"/>
      <c r="C38" s="591"/>
      <c r="D38" s="591"/>
      <c r="E38" s="592"/>
      <c r="F38" s="240"/>
      <c r="G38" s="303"/>
      <c r="H38" s="304" t="s">
        <v>344</v>
      </c>
      <c r="I38" s="305"/>
      <c r="J38" s="306">
        <v>2173</v>
      </c>
      <c r="K38" s="307" t="s">
        <v>175</v>
      </c>
      <c r="R38" s="193"/>
      <c r="S38" s="193"/>
      <c r="T38" s="193"/>
      <c r="U38" s="193"/>
      <c r="V38" s="193"/>
      <c r="W38" s="193"/>
      <c r="X38" s="193"/>
      <c r="Y38" s="193"/>
      <c r="Z38" s="193"/>
    </row>
    <row r="39" spans="1:26" s="197" customFormat="1" ht="18.45" customHeight="1">
      <c r="A39" s="593" t="s">
        <v>345</v>
      </c>
      <c r="B39" s="594"/>
      <c r="C39" s="594"/>
      <c r="D39" s="594"/>
      <c r="E39" s="594"/>
      <c r="F39" s="308" t="s">
        <v>346</v>
      </c>
      <c r="G39" s="358" t="s">
        <v>389</v>
      </c>
      <c r="H39" s="359"/>
      <c r="I39" s="359"/>
      <c r="J39" s="359"/>
      <c r="K39" s="360"/>
      <c r="R39" s="193"/>
      <c r="S39" s="193"/>
      <c r="T39" s="193"/>
      <c r="U39" s="193"/>
      <c r="V39" s="193"/>
      <c r="W39" s="193"/>
      <c r="X39" s="193"/>
      <c r="Y39" s="193"/>
      <c r="Z39" s="193"/>
    </row>
    <row r="40" spans="1:26" s="197" customFormat="1" ht="18.45" customHeight="1">
      <c r="A40" s="587"/>
      <c r="B40" s="588"/>
      <c r="C40" s="588"/>
      <c r="D40" s="588"/>
      <c r="E40" s="589"/>
      <c r="F40" s="309"/>
      <c r="G40" s="654" t="s">
        <v>724</v>
      </c>
      <c r="H40" s="654"/>
      <c r="I40" s="654"/>
      <c r="J40" s="654"/>
      <c r="K40" s="655"/>
      <c r="R40" s="193"/>
      <c r="S40" s="193"/>
      <c r="T40" s="193"/>
      <c r="U40" s="193"/>
      <c r="V40" s="193"/>
      <c r="W40" s="193"/>
      <c r="X40" s="193"/>
      <c r="Y40" s="193"/>
      <c r="Z40" s="193"/>
    </row>
    <row r="41" spans="1:26" s="197" customFormat="1" ht="18.45" customHeight="1">
      <c r="A41" s="587"/>
      <c r="B41" s="588"/>
      <c r="C41" s="588"/>
      <c r="D41" s="588"/>
      <c r="E41" s="589"/>
      <c r="F41" s="309"/>
      <c r="G41" s="362" t="s">
        <v>390</v>
      </c>
      <c r="H41" s="362"/>
      <c r="I41" s="362"/>
      <c r="J41" s="362"/>
      <c r="K41" s="361"/>
      <c r="L41" s="310"/>
      <c r="R41" s="193"/>
      <c r="S41" s="193"/>
      <c r="T41" s="193"/>
      <c r="U41" s="193"/>
      <c r="V41" s="193"/>
      <c r="W41" s="193"/>
      <c r="X41" s="193"/>
      <c r="Y41" s="193"/>
      <c r="Z41" s="193"/>
    </row>
    <row r="42" spans="1:26" s="197" customFormat="1" ht="18.45" customHeight="1">
      <c r="A42" s="587"/>
      <c r="B42" s="588"/>
      <c r="C42" s="588"/>
      <c r="D42" s="588"/>
      <c r="E42" s="589"/>
      <c r="F42" s="309"/>
      <c r="G42" s="362" t="s">
        <v>391</v>
      </c>
      <c r="H42" s="362"/>
      <c r="I42" s="362"/>
      <c r="J42" s="362"/>
      <c r="K42" s="361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</row>
    <row r="43" spans="1:26" s="197" customFormat="1" ht="18.45" customHeight="1">
      <c r="A43" s="587"/>
      <c r="B43" s="588"/>
      <c r="C43" s="588"/>
      <c r="D43" s="588"/>
      <c r="E43" s="589"/>
      <c r="F43" s="309"/>
      <c r="G43" s="362" t="s">
        <v>392</v>
      </c>
      <c r="H43" s="362"/>
      <c r="I43" s="362"/>
      <c r="J43" s="362"/>
      <c r="K43" s="361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</row>
    <row r="44" spans="1:26" s="197" customFormat="1" ht="17.100000000000001" customHeight="1" thickBot="1">
      <c r="A44" s="596"/>
      <c r="B44" s="597"/>
      <c r="C44" s="597"/>
      <c r="D44" s="597"/>
      <c r="E44" s="598"/>
      <c r="F44" s="309"/>
      <c r="G44" s="362" t="s">
        <v>393</v>
      </c>
      <c r="H44" s="362"/>
      <c r="I44" s="362"/>
      <c r="J44" s="362"/>
      <c r="K44" s="361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</row>
    <row r="45" spans="1:26" s="197" customFormat="1" ht="17.100000000000001" customHeight="1">
      <c r="A45" s="311" t="s">
        <v>347</v>
      </c>
      <c r="B45" s="599"/>
      <c r="C45" s="600"/>
      <c r="D45" s="312" t="s">
        <v>348</v>
      </c>
      <c r="E45" s="313" t="s">
        <v>394</v>
      </c>
      <c r="F45" s="314"/>
      <c r="G45" s="363" t="s">
        <v>396</v>
      </c>
      <c r="H45" s="363"/>
      <c r="I45" s="363"/>
      <c r="J45" s="363"/>
      <c r="K45" s="361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</row>
    <row r="46" spans="1:26" s="197" customFormat="1" ht="17.100000000000001" customHeight="1" thickBot="1">
      <c r="A46" s="315" t="s">
        <v>349</v>
      </c>
      <c r="B46" s="585"/>
      <c r="C46" s="586"/>
      <c r="D46" s="316" t="s">
        <v>349</v>
      </c>
      <c r="E46" s="317">
        <v>40324</v>
      </c>
      <c r="F46" s="318"/>
      <c r="G46" s="364"/>
      <c r="H46" s="364"/>
      <c r="I46" s="364"/>
      <c r="J46" s="364"/>
      <c r="K46" s="365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</row>
    <row r="47" spans="1:26" s="197" customFormat="1" ht="17.100000000000001" customHeight="1">
      <c r="F47" s="319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</row>
    <row r="48" spans="1:26" s="197" customFormat="1" ht="17.100000000000001" customHeight="1">
      <c r="F48" s="193"/>
      <c r="G48" s="193"/>
      <c r="H48" s="193"/>
      <c r="I48" s="193"/>
      <c r="J48" s="193"/>
      <c r="K48" s="193"/>
    </row>
    <row r="49" spans="2:26" ht="17.100000000000001" customHeight="1">
      <c r="F49" s="183"/>
      <c r="G49" s="183"/>
      <c r="H49" s="183"/>
      <c r="I49" s="183"/>
      <c r="J49" s="183"/>
      <c r="K49" s="183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spans="2:26">
      <c r="F50" s="183"/>
      <c r="G50" s="183"/>
      <c r="H50" s="183"/>
      <c r="I50" s="183"/>
      <c r="J50" s="183"/>
      <c r="K50" s="183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spans="2:26">
      <c r="F51" s="183"/>
      <c r="G51" s="183"/>
      <c r="H51" s="183"/>
      <c r="I51" s="183"/>
      <c r="J51" s="183"/>
      <c r="K51" s="183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spans="2:26"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2:26">
      <c r="F53" s="183"/>
      <c r="G53" s="183"/>
      <c r="H53" s="183"/>
      <c r="I53" s="183"/>
      <c r="J53" s="183"/>
      <c r="K53" s="183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40" zoomScale="75" zoomScaleNormal="75" workbookViewId="0"/>
  </sheetViews>
  <sheetFormatPr defaultColWidth="9.109375" defaultRowHeight="13.2"/>
  <cols>
    <col min="1" max="1" width="9.109375" style="325" customWidth="1"/>
    <col min="2" max="2" width="18.109375" style="325" customWidth="1"/>
    <col min="3" max="3" width="21.5546875" style="325" customWidth="1"/>
    <col min="4" max="4" width="21.33203125" style="325" bestFit="1" customWidth="1"/>
    <col min="5" max="5" width="6.88671875" style="325" bestFit="1" customWidth="1"/>
    <col min="6" max="6" width="29.88671875" style="325" customWidth="1"/>
    <col min="7" max="7" width="43.6640625" style="325" customWidth="1"/>
    <col min="8" max="8" width="17.109375" style="325" customWidth="1"/>
    <col min="9" max="9" width="7.88671875" style="325" customWidth="1"/>
    <col min="10" max="10" width="2.33203125" style="325" bestFit="1" customWidth="1"/>
    <col min="11" max="12" width="2.33203125" style="325" customWidth="1"/>
    <col min="13" max="13" width="2.5546875" style="325" bestFit="1" customWidth="1"/>
    <col min="14" max="14" width="2.33203125" style="325" bestFit="1" customWidth="1"/>
    <col min="15" max="16384" width="9.109375" style="325"/>
  </cols>
  <sheetData>
    <row r="1" spans="2:14" ht="12.75" customHeight="1">
      <c r="B1" s="320"/>
      <c r="C1" s="321"/>
      <c r="D1" s="321"/>
      <c r="E1" s="321"/>
      <c r="F1" s="321"/>
      <c r="G1" s="321"/>
      <c r="H1" s="322"/>
      <c r="I1" s="323"/>
      <c r="J1" s="324" t="s">
        <v>350</v>
      </c>
      <c r="K1" s="324" t="s">
        <v>351</v>
      </c>
      <c r="L1" s="324" t="s">
        <v>352</v>
      </c>
      <c r="M1" s="324" t="s">
        <v>351</v>
      </c>
      <c r="N1" s="324"/>
    </row>
    <row r="2" spans="2:14" ht="12.75" customHeight="1">
      <c r="B2" s="609" t="s">
        <v>353</v>
      </c>
      <c r="C2" s="610"/>
      <c r="D2" s="610"/>
      <c r="E2" s="610"/>
      <c r="F2" s="610"/>
      <c r="G2" s="610"/>
      <c r="H2" s="326"/>
      <c r="I2" s="327"/>
      <c r="J2" s="328" t="s">
        <v>354</v>
      </c>
      <c r="K2" s="328" t="s">
        <v>355</v>
      </c>
      <c r="L2" s="328" t="s">
        <v>356</v>
      </c>
      <c r="M2" s="328" t="s">
        <v>357</v>
      </c>
      <c r="N2" s="328" t="s">
        <v>358</v>
      </c>
    </row>
    <row r="3" spans="2:14" ht="12.75" customHeight="1">
      <c r="B3" s="609"/>
      <c r="C3" s="610"/>
      <c r="D3" s="610"/>
      <c r="E3" s="610"/>
      <c r="F3" s="610"/>
      <c r="G3" s="610"/>
      <c r="H3" s="326"/>
      <c r="I3" s="327"/>
      <c r="J3" s="328" t="s">
        <v>359</v>
      </c>
      <c r="K3" s="328"/>
      <c r="L3" s="328" t="s">
        <v>360</v>
      </c>
      <c r="M3" s="328" t="s">
        <v>350</v>
      </c>
      <c r="N3" s="328"/>
    </row>
    <row r="4" spans="2:14" ht="12.75" customHeight="1">
      <c r="B4" s="609"/>
      <c r="C4" s="610"/>
      <c r="D4" s="610"/>
      <c r="E4" s="610"/>
      <c r="F4" s="610"/>
      <c r="G4" s="610"/>
      <c r="H4" s="326"/>
      <c r="I4" s="327"/>
      <c r="J4" s="328" t="s">
        <v>361</v>
      </c>
      <c r="K4" s="328"/>
      <c r="L4" s="328" t="s">
        <v>356</v>
      </c>
      <c r="M4" s="328" t="s">
        <v>354</v>
      </c>
      <c r="N4" s="328"/>
    </row>
    <row r="5" spans="2:14" ht="12.75" customHeight="1">
      <c r="B5" s="329"/>
      <c r="C5" s="330"/>
      <c r="D5" s="330"/>
      <c r="E5" s="330"/>
      <c r="F5" s="330"/>
      <c r="G5" s="330"/>
      <c r="H5" s="326"/>
      <c r="I5" s="327"/>
      <c r="J5" s="328"/>
      <c r="K5" s="328" t="s">
        <v>362</v>
      </c>
      <c r="L5" s="328" t="s">
        <v>351</v>
      </c>
      <c r="M5" s="328"/>
      <c r="N5" s="328" t="s">
        <v>356</v>
      </c>
    </row>
    <row r="6" spans="2:14" ht="12" customHeight="1">
      <c r="B6" s="331"/>
      <c r="C6" s="332"/>
      <c r="D6" s="332"/>
      <c r="F6" s="332"/>
      <c r="H6" s="333"/>
      <c r="I6" s="327"/>
      <c r="J6" s="328" t="s">
        <v>355</v>
      </c>
      <c r="K6" s="328" t="s">
        <v>363</v>
      </c>
      <c r="L6" s="328"/>
      <c r="M6" s="328" t="s">
        <v>351</v>
      </c>
      <c r="N6" s="328" t="s">
        <v>364</v>
      </c>
    </row>
    <row r="7" spans="2:14" ht="12.75" customHeight="1">
      <c r="B7" s="331"/>
      <c r="D7" s="334"/>
      <c r="H7" s="333"/>
      <c r="I7" s="327"/>
      <c r="J7" s="328" t="s">
        <v>184</v>
      </c>
      <c r="K7" s="328" t="s">
        <v>359</v>
      </c>
      <c r="L7" s="328" t="s">
        <v>359</v>
      </c>
      <c r="M7" s="328" t="s">
        <v>354</v>
      </c>
      <c r="N7" s="328" t="s">
        <v>365</v>
      </c>
    </row>
    <row r="8" spans="2:14" ht="12.75" customHeight="1">
      <c r="B8" s="331"/>
      <c r="G8" s="334"/>
      <c r="H8" s="335"/>
      <c r="I8" s="328" t="s">
        <v>365</v>
      </c>
      <c r="J8" s="328" t="s">
        <v>351</v>
      </c>
      <c r="K8" s="328" t="s">
        <v>366</v>
      </c>
      <c r="L8" s="328" t="s">
        <v>354</v>
      </c>
      <c r="M8" s="328" t="s">
        <v>365</v>
      </c>
      <c r="N8" s="328" t="s">
        <v>363</v>
      </c>
    </row>
    <row r="9" spans="2:14">
      <c r="B9" s="328" t="s">
        <v>367</v>
      </c>
      <c r="C9" s="335" t="s">
        <v>368</v>
      </c>
      <c r="D9" s="335" t="s">
        <v>369</v>
      </c>
      <c r="E9" s="335" t="s">
        <v>370</v>
      </c>
      <c r="F9" s="328" t="s">
        <v>371</v>
      </c>
      <c r="G9" s="328" t="s">
        <v>372</v>
      </c>
      <c r="H9" s="328" t="s">
        <v>373</v>
      </c>
      <c r="I9" s="328" t="s">
        <v>361</v>
      </c>
      <c r="J9" s="328" t="s">
        <v>184</v>
      </c>
      <c r="K9" s="328" t="s">
        <v>354</v>
      </c>
      <c r="L9" s="328" t="s">
        <v>366</v>
      </c>
      <c r="M9" s="328" t="s">
        <v>351</v>
      </c>
      <c r="N9" s="328" t="s">
        <v>352</v>
      </c>
    </row>
    <row r="10" spans="2:14" ht="15" customHeight="1">
      <c r="B10" s="336"/>
      <c r="C10" s="337"/>
      <c r="D10" s="337"/>
      <c r="E10" s="337"/>
      <c r="F10" s="338"/>
      <c r="G10" s="339"/>
      <c r="H10" s="339"/>
      <c r="I10" s="340"/>
      <c r="J10" s="341"/>
      <c r="K10" s="341"/>
      <c r="L10" s="341"/>
      <c r="M10" s="341"/>
      <c r="N10" s="342"/>
    </row>
    <row r="11" spans="2:14" ht="15" customHeight="1">
      <c r="B11" s="336"/>
      <c r="C11" s="338"/>
      <c r="D11" s="338"/>
      <c r="E11" s="338"/>
      <c r="F11" s="338"/>
      <c r="G11" s="338"/>
      <c r="H11" s="338"/>
      <c r="I11" s="343"/>
      <c r="J11" s="341"/>
      <c r="K11" s="341"/>
      <c r="L11" s="341"/>
      <c r="M11" s="341"/>
      <c r="N11" s="342"/>
    </row>
    <row r="12" spans="2:14" ht="15" customHeight="1">
      <c r="B12" s="336"/>
      <c r="C12" s="338"/>
      <c r="D12" s="338"/>
      <c r="E12" s="338"/>
      <c r="F12" s="338"/>
      <c r="G12" s="338"/>
      <c r="H12" s="338"/>
      <c r="I12" s="343"/>
      <c r="J12" s="344"/>
      <c r="K12" s="341"/>
      <c r="L12" s="341"/>
      <c r="M12" s="341"/>
      <c r="N12" s="342"/>
    </row>
    <row r="13" spans="2:14" ht="15" customHeight="1">
      <c r="B13" s="336"/>
      <c r="C13" s="338"/>
      <c r="D13" s="338"/>
      <c r="E13" s="338"/>
      <c r="F13" s="338"/>
      <c r="G13" s="338"/>
      <c r="H13" s="338"/>
      <c r="I13" s="343"/>
      <c r="J13" s="341"/>
      <c r="K13" s="341"/>
      <c r="L13" s="341"/>
      <c r="M13" s="341"/>
      <c r="N13" s="342"/>
    </row>
    <row r="14" spans="2:14" ht="15" customHeight="1">
      <c r="B14" s="336"/>
      <c r="C14" s="338"/>
      <c r="D14" s="338"/>
      <c r="E14" s="338"/>
      <c r="F14" s="338"/>
      <c r="G14" s="338"/>
      <c r="H14" s="338"/>
      <c r="I14" s="343"/>
      <c r="J14" s="341"/>
      <c r="K14" s="341"/>
      <c r="L14" s="341"/>
      <c r="M14" s="341"/>
      <c r="N14" s="342"/>
    </row>
    <row r="15" spans="2:14" ht="15" customHeight="1">
      <c r="B15" s="336"/>
      <c r="C15" s="338"/>
      <c r="D15" s="338"/>
      <c r="E15" s="338"/>
      <c r="F15" s="338"/>
      <c r="G15" s="338"/>
      <c r="H15" s="338"/>
      <c r="I15" s="343"/>
      <c r="J15" s="341"/>
      <c r="K15" s="341"/>
      <c r="L15" s="341"/>
      <c r="M15" s="341"/>
      <c r="N15" s="342"/>
    </row>
    <row r="16" spans="2:14" ht="15" customHeight="1">
      <c r="B16" s="336"/>
      <c r="C16" s="338"/>
      <c r="D16" s="338"/>
      <c r="E16" s="338"/>
      <c r="F16" s="338"/>
      <c r="G16" s="338"/>
      <c r="H16" s="338"/>
      <c r="I16" s="343"/>
      <c r="J16" s="341"/>
      <c r="K16" s="341"/>
      <c r="L16" s="341"/>
      <c r="M16" s="341"/>
      <c r="N16" s="342"/>
    </row>
    <row r="17" spans="2:14" ht="15" customHeight="1">
      <c r="B17" s="336"/>
      <c r="C17" s="338"/>
      <c r="D17" s="338"/>
      <c r="E17" s="338"/>
      <c r="F17" s="338"/>
      <c r="G17" s="338"/>
      <c r="H17" s="338"/>
      <c r="I17" s="343"/>
      <c r="J17" s="341"/>
      <c r="K17" s="341"/>
      <c r="L17" s="341"/>
      <c r="M17" s="341"/>
      <c r="N17" s="342"/>
    </row>
    <row r="18" spans="2:14" ht="15" customHeight="1">
      <c r="B18" s="336"/>
      <c r="C18" s="338"/>
      <c r="D18" s="338"/>
      <c r="E18" s="338"/>
      <c r="F18" s="338"/>
      <c r="G18" s="338"/>
      <c r="H18" s="338"/>
      <c r="I18" s="343"/>
      <c r="J18" s="341"/>
      <c r="K18" s="341"/>
      <c r="L18" s="341"/>
      <c r="M18" s="341"/>
      <c r="N18" s="342"/>
    </row>
    <row r="19" spans="2:14" ht="15" customHeight="1">
      <c r="B19" s="336"/>
      <c r="C19" s="338"/>
      <c r="D19" s="338"/>
      <c r="E19" s="338"/>
      <c r="F19" s="338"/>
      <c r="G19" s="338"/>
      <c r="H19" s="338"/>
      <c r="I19" s="343"/>
      <c r="J19" s="341"/>
      <c r="K19" s="341"/>
      <c r="L19" s="341"/>
      <c r="M19" s="341"/>
      <c r="N19" s="342"/>
    </row>
    <row r="20" spans="2:14" ht="15" customHeight="1">
      <c r="B20" s="336"/>
      <c r="C20" s="338"/>
      <c r="D20" s="338"/>
      <c r="E20" s="338"/>
      <c r="F20" s="338"/>
      <c r="G20" s="338"/>
      <c r="H20" s="338"/>
      <c r="I20" s="343"/>
      <c r="J20" s="341"/>
      <c r="K20" s="341"/>
      <c r="L20" s="341"/>
      <c r="M20" s="341"/>
      <c r="N20" s="342"/>
    </row>
    <row r="21" spans="2:14" ht="15" customHeight="1">
      <c r="B21" s="336"/>
      <c r="C21" s="338"/>
      <c r="D21" s="338"/>
      <c r="E21" s="338"/>
      <c r="F21" s="338"/>
      <c r="G21" s="338"/>
      <c r="H21" s="338"/>
      <c r="I21" s="343"/>
      <c r="J21" s="341"/>
      <c r="K21" s="341"/>
      <c r="L21" s="341"/>
      <c r="M21" s="341"/>
      <c r="N21" s="342"/>
    </row>
    <row r="22" spans="2:14" ht="15" customHeight="1">
      <c r="B22" s="336"/>
      <c r="C22" s="338"/>
      <c r="D22" s="338"/>
      <c r="E22" s="338"/>
      <c r="F22" s="338"/>
      <c r="G22" s="338"/>
      <c r="H22" s="338"/>
      <c r="I22" s="343"/>
      <c r="J22" s="341"/>
      <c r="K22" s="341"/>
      <c r="L22" s="341"/>
      <c r="M22" s="341"/>
      <c r="N22" s="342"/>
    </row>
    <row r="23" spans="2:14" ht="15" customHeight="1">
      <c r="B23" s="336"/>
      <c r="C23" s="338"/>
      <c r="D23" s="338"/>
      <c r="E23" s="338"/>
      <c r="F23" s="338"/>
      <c r="G23" s="338"/>
      <c r="H23" s="338"/>
      <c r="I23" s="343"/>
      <c r="J23" s="341"/>
      <c r="K23" s="341"/>
      <c r="L23" s="341"/>
      <c r="M23" s="341"/>
      <c r="N23" s="342"/>
    </row>
    <row r="24" spans="2:14" ht="15" customHeight="1">
      <c r="B24" s="336"/>
      <c r="C24" s="338"/>
      <c r="D24" s="338"/>
      <c r="E24" s="338"/>
      <c r="F24" s="338"/>
      <c r="G24" s="338"/>
      <c r="H24" s="338"/>
      <c r="I24" s="343"/>
      <c r="J24" s="341"/>
      <c r="K24" s="341"/>
      <c r="L24" s="341"/>
      <c r="M24" s="341"/>
      <c r="N24" s="342"/>
    </row>
    <row r="25" spans="2:14" ht="15" customHeight="1">
      <c r="B25" s="336"/>
      <c r="C25" s="338"/>
      <c r="D25" s="338"/>
      <c r="E25" s="338"/>
      <c r="F25" s="338"/>
      <c r="G25" s="338"/>
      <c r="H25" s="338"/>
      <c r="I25" s="343"/>
      <c r="J25" s="341"/>
      <c r="K25" s="341"/>
      <c r="L25" s="341"/>
      <c r="M25" s="341"/>
      <c r="N25" s="342"/>
    </row>
    <row r="26" spans="2:14" ht="15" customHeight="1">
      <c r="B26" s="336"/>
      <c r="C26" s="338"/>
      <c r="D26" s="338"/>
      <c r="E26" s="338"/>
      <c r="F26" s="338"/>
      <c r="G26" s="338"/>
      <c r="H26" s="338"/>
      <c r="I26" s="343"/>
      <c r="J26" s="341"/>
      <c r="K26" s="341"/>
      <c r="L26" s="341"/>
      <c r="M26" s="341"/>
      <c r="N26" s="342"/>
    </row>
    <row r="27" spans="2:14" ht="15" customHeight="1">
      <c r="B27" s="336"/>
      <c r="C27" s="338"/>
      <c r="D27" s="338"/>
      <c r="E27" s="338"/>
      <c r="F27" s="338"/>
      <c r="G27" s="338"/>
      <c r="H27" s="338"/>
      <c r="I27" s="343"/>
      <c r="J27" s="341"/>
      <c r="K27" s="341"/>
      <c r="L27" s="341"/>
      <c r="M27" s="341"/>
      <c r="N27" s="342"/>
    </row>
    <row r="28" spans="2:14" ht="15" customHeight="1">
      <c r="B28" s="336"/>
      <c r="C28" s="338"/>
      <c r="D28" s="338"/>
      <c r="E28" s="338"/>
      <c r="F28" s="338"/>
      <c r="G28" s="338"/>
      <c r="H28" s="338"/>
      <c r="I28" s="343"/>
      <c r="J28" s="341"/>
      <c r="K28" s="341"/>
      <c r="L28" s="341"/>
      <c r="M28" s="341"/>
      <c r="N28" s="342"/>
    </row>
    <row r="29" spans="2:14" ht="15" customHeight="1">
      <c r="B29" s="336"/>
      <c r="C29" s="338"/>
      <c r="D29" s="338"/>
      <c r="E29" s="338"/>
      <c r="F29" s="338"/>
      <c r="G29" s="338"/>
      <c r="H29" s="338"/>
      <c r="I29" s="343"/>
      <c r="J29" s="341"/>
      <c r="K29" s="341"/>
      <c r="L29" s="341"/>
      <c r="M29" s="341"/>
      <c r="N29" s="342"/>
    </row>
    <row r="30" spans="2:14" ht="15" customHeight="1">
      <c r="B30" s="336"/>
      <c r="C30" s="338"/>
      <c r="D30" s="338"/>
      <c r="E30" s="338"/>
      <c r="F30" s="338"/>
      <c r="G30" s="338"/>
      <c r="H30" s="338"/>
      <c r="I30" s="343"/>
      <c r="J30" s="341"/>
      <c r="K30" s="341"/>
      <c r="L30" s="341"/>
      <c r="M30" s="341"/>
      <c r="N30" s="342"/>
    </row>
    <row r="31" spans="2:14" ht="15" customHeight="1">
      <c r="B31" s="336"/>
      <c r="C31" s="338"/>
      <c r="D31" s="338"/>
      <c r="E31" s="338"/>
      <c r="F31" s="338"/>
      <c r="G31" s="338"/>
      <c r="H31" s="338"/>
      <c r="I31" s="343"/>
      <c r="J31" s="341"/>
      <c r="K31" s="341"/>
      <c r="L31" s="341"/>
      <c r="M31" s="341"/>
      <c r="N31" s="342"/>
    </row>
    <row r="32" spans="2:14" ht="15" customHeight="1">
      <c r="B32" s="336"/>
      <c r="C32" s="338"/>
      <c r="D32" s="338"/>
      <c r="E32" s="338"/>
      <c r="F32" s="338"/>
      <c r="G32" s="338"/>
      <c r="H32" s="338"/>
      <c r="I32" s="343"/>
      <c r="J32" s="341"/>
      <c r="K32" s="341"/>
      <c r="L32" s="341"/>
      <c r="M32" s="341"/>
      <c r="N32" s="342"/>
    </row>
    <row r="33" spans="2:14" ht="15" customHeight="1">
      <c r="B33" s="336"/>
      <c r="C33" s="338"/>
      <c r="D33" s="338"/>
      <c r="E33" s="338"/>
      <c r="F33" s="338"/>
      <c r="G33" s="338"/>
      <c r="H33" s="338"/>
      <c r="I33" s="343"/>
      <c r="J33" s="341"/>
      <c r="K33" s="341"/>
      <c r="L33" s="341"/>
      <c r="M33" s="341"/>
      <c r="N33" s="342"/>
    </row>
    <row r="34" spans="2:14" ht="15" customHeight="1">
      <c r="B34" s="336"/>
      <c r="C34" s="338"/>
      <c r="D34" s="338"/>
      <c r="E34" s="338"/>
      <c r="F34" s="338"/>
      <c r="G34" s="338"/>
      <c r="H34" s="338"/>
      <c r="I34" s="343"/>
      <c r="J34" s="341"/>
      <c r="K34" s="341"/>
      <c r="L34" s="341"/>
      <c r="M34" s="341"/>
      <c r="N34" s="342"/>
    </row>
    <row r="35" spans="2:14" ht="15" customHeight="1">
      <c r="B35" s="336"/>
      <c r="C35" s="338"/>
      <c r="D35" s="338"/>
      <c r="E35" s="338"/>
      <c r="F35" s="338"/>
      <c r="G35" s="338"/>
      <c r="H35" s="338"/>
      <c r="I35" s="343"/>
      <c r="J35" s="341"/>
      <c r="K35" s="341"/>
      <c r="L35" s="341"/>
      <c r="M35" s="341"/>
      <c r="N35" s="342"/>
    </row>
    <row r="36" spans="2:14" ht="15" customHeight="1">
      <c r="B36" s="336"/>
      <c r="C36" s="338"/>
      <c r="D36" s="338"/>
      <c r="E36" s="338"/>
      <c r="F36" s="338"/>
      <c r="G36" s="338"/>
      <c r="H36" s="338"/>
      <c r="I36" s="343"/>
      <c r="J36" s="341"/>
      <c r="K36" s="341"/>
      <c r="L36" s="341"/>
      <c r="M36" s="341"/>
      <c r="N36" s="342"/>
    </row>
    <row r="37" spans="2:14" ht="15" customHeight="1">
      <c r="B37" s="336"/>
      <c r="C37" s="338"/>
      <c r="D37" s="338"/>
      <c r="E37" s="338"/>
      <c r="F37" s="338"/>
      <c r="G37" s="338"/>
      <c r="H37" s="338"/>
      <c r="I37" s="343"/>
      <c r="J37" s="341"/>
      <c r="K37" s="341"/>
      <c r="L37" s="341"/>
      <c r="M37" s="341"/>
      <c r="N37" s="342"/>
    </row>
    <row r="38" spans="2:14" ht="15" customHeight="1">
      <c r="B38" s="336"/>
      <c r="C38" s="338"/>
      <c r="D38" s="338"/>
      <c r="E38" s="338"/>
      <c r="F38" s="338"/>
      <c r="G38" s="338"/>
      <c r="H38" s="338"/>
      <c r="I38" s="343"/>
      <c r="J38" s="341"/>
      <c r="K38" s="341"/>
      <c r="L38" s="341"/>
      <c r="M38" s="341"/>
      <c r="N38" s="342"/>
    </row>
    <row r="39" spans="2:14" ht="15" customHeight="1">
      <c r="B39" s="336"/>
      <c r="C39" s="338"/>
      <c r="D39" s="338"/>
      <c r="E39" s="338"/>
      <c r="F39" s="338"/>
      <c r="G39" s="338"/>
      <c r="H39" s="338"/>
      <c r="I39" s="343"/>
      <c r="J39" s="341"/>
      <c r="K39" s="341"/>
      <c r="L39" s="341"/>
      <c r="M39" s="341"/>
      <c r="N39" s="342"/>
    </row>
    <row r="40" spans="2:14" ht="15" customHeight="1">
      <c r="B40" s="336"/>
      <c r="C40" s="338"/>
      <c r="D40" s="338"/>
      <c r="E40" s="338"/>
      <c r="F40" s="338"/>
      <c r="G40" s="338"/>
      <c r="H40" s="338"/>
      <c r="I40" s="343"/>
      <c r="J40" s="341"/>
      <c r="K40" s="341"/>
      <c r="L40" s="341"/>
      <c r="M40" s="341"/>
      <c r="N40" s="342"/>
    </row>
    <row r="41" spans="2:14" ht="15" customHeight="1">
      <c r="B41" s="336"/>
      <c r="C41" s="338"/>
      <c r="D41" s="338"/>
      <c r="E41" s="338"/>
      <c r="F41" s="338"/>
      <c r="G41" s="338"/>
      <c r="H41" s="338"/>
      <c r="I41" s="343"/>
      <c r="J41" s="341"/>
      <c r="K41" s="341"/>
      <c r="L41" s="341"/>
      <c r="M41" s="341"/>
      <c r="N41" s="342"/>
    </row>
    <row r="42" spans="2:14" ht="15" customHeight="1">
      <c r="B42" s="336"/>
      <c r="C42" s="338"/>
      <c r="D42" s="338"/>
      <c r="E42" s="338"/>
      <c r="F42" s="338"/>
      <c r="G42" s="338"/>
      <c r="H42" s="338"/>
      <c r="I42" s="343"/>
      <c r="J42" s="341"/>
      <c r="K42" s="341"/>
      <c r="L42" s="341"/>
      <c r="M42" s="341"/>
      <c r="N42" s="342"/>
    </row>
    <row r="43" spans="2:14" ht="15" customHeight="1">
      <c r="B43" s="336"/>
      <c r="C43" s="338"/>
      <c r="D43" s="338"/>
      <c r="E43" s="338"/>
      <c r="F43" s="338"/>
      <c r="G43" s="338"/>
      <c r="H43" s="338"/>
      <c r="I43" s="343"/>
      <c r="J43" s="341"/>
      <c r="K43" s="341"/>
      <c r="L43" s="341"/>
      <c r="M43" s="341"/>
      <c r="N43" s="342"/>
    </row>
    <row r="44" spans="2:14" ht="15" customHeight="1">
      <c r="B44" s="336"/>
      <c r="C44" s="338"/>
      <c r="D44" s="338"/>
      <c r="E44" s="338"/>
      <c r="F44" s="338"/>
      <c r="G44" s="338"/>
      <c r="H44" s="338"/>
      <c r="I44" s="343"/>
      <c r="J44" s="341"/>
      <c r="K44" s="341"/>
      <c r="L44" s="341"/>
      <c r="M44" s="341"/>
      <c r="N44" s="342"/>
    </row>
    <row r="45" spans="2:14" ht="15" customHeight="1">
      <c r="B45" s="336"/>
      <c r="C45" s="338"/>
      <c r="D45" s="338"/>
      <c r="E45" s="338"/>
      <c r="F45" s="338"/>
      <c r="G45" s="338"/>
      <c r="H45" s="338"/>
      <c r="I45" s="343"/>
      <c r="J45" s="341"/>
      <c r="K45" s="341"/>
      <c r="L45" s="341"/>
      <c r="M45" s="341"/>
      <c r="N45" s="342"/>
    </row>
    <row r="46" spans="2:14" ht="15" customHeight="1">
      <c r="B46" s="336"/>
      <c r="C46" s="338"/>
      <c r="D46" s="338"/>
      <c r="E46" s="338"/>
      <c r="F46" s="338"/>
      <c r="G46" s="338"/>
      <c r="H46" s="338"/>
      <c r="I46" s="343"/>
      <c r="J46" s="341"/>
      <c r="K46" s="341"/>
      <c r="L46" s="341"/>
      <c r="M46" s="341"/>
      <c r="N46" s="342"/>
    </row>
    <row r="47" spans="2:14" ht="15" customHeight="1">
      <c r="B47" s="336"/>
      <c r="C47" s="338"/>
      <c r="D47" s="338"/>
      <c r="E47" s="338"/>
      <c r="F47" s="338"/>
      <c r="G47" s="338"/>
      <c r="H47" s="338"/>
      <c r="I47" s="343"/>
      <c r="J47" s="341"/>
      <c r="K47" s="341"/>
      <c r="L47" s="341"/>
      <c r="M47" s="341"/>
      <c r="N47" s="342"/>
    </row>
    <row r="48" spans="2:14" ht="15" customHeight="1">
      <c r="B48" s="336"/>
      <c r="C48" s="338"/>
      <c r="D48" s="338"/>
      <c r="E48" s="338"/>
      <c r="F48" s="338"/>
      <c r="G48" s="338"/>
      <c r="H48" s="338"/>
      <c r="I48" s="343"/>
      <c r="J48" s="341"/>
      <c r="K48" s="341"/>
      <c r="L48" s="341"/>
      <c r="M48" s="341"/>
      <c r="N48" s="342"/>
    </row>
    <row r="49" spans="2:14" ht="15" customHeight="1">
      <c r="B49" s="336"/>
      <c r="C49" s="338"/>
      <c r="D49" s="338"/>
      <c r="E49" s="338"/>
      <c r="F49" s="338"/>
      <c r="G49" s="338"/>
      <c r="H49" s="338"/>
      <c r="I49" s="343"/>
      <c r="J49" s="341"/>
      <c r="K49" s="341"/>
      <c r="L49" s="341"/>
      <c r="M49" s="341"/>
      <c r="N49" s="342"/>
    </row>
    <row r="50" spans="2:14" ht="15" customHeight="1">
      <c r="B50" s="336"/>
      <c r="C50" s="338"/>
      <c r="D50" s="338"/>
      <c r="E50" s="338"/>
      <c r="F50" s="338"/>
      <c r="G50" s="338"/>
      <c r="H50" s="338"/>
      <c r="I50" s="343"/>
      <c r="J50" s="341"/>
      <c r="K50" s="341"/>
      <c r="L50" s="341"/>
      <c r="M50" s="341"/>
      <c r="N50" s="342"/>
    </row>
    <row r="51" spans="2:14" ht="15" customHeight="1">
      <c r="B51" s="336"/>
      <c r="C51" s="338"/>
      <c r="D51" s="338"/>
      <c r="E51" s="338"/>
      <c r="F51" s="338"/>
      <c r="G51" s="338"/>
      <c r="H51" s="338"/>
      <c r="I51" s="343"/>
      <c r="J51" s="341"/>
      <c r="K51" s="341"/>
      <c r="L51" s="341"/>
      <c r="M51" s="341"/>
      <c r="N51" s="342"/>
    </row>
    <row r="52" spans="2:14" ht="15" customHeight="1" thickBot="1">
      <c r="B52" s="345"/>
      <c r="C52" s="346"/>
      <c r="D52" s="346"/>
      <c r="E52" s="346"/>
      <c r="F52" s="346"/>
      <c r="G52" s="346"/>
      <c r="H52" s="346"/>
      <c r="I52" s="347"/>
      <c r="J52" s="348"/>
      <c r="K52" s="348"/>
      <c r="L52" s="348"/>
      <c r="M52" s="348"/>
      <c r="N52" s="349"/>
    </row>
    <row r="53" spans="2:14" ht="20.25" customHeight="1" thickBot="1">
      <c r="B53" s="611" t="s">
        <v>374</v>
      </c>
      <c r="C53" s="611"/>
      <c r="D53" s="611"/>
      <c r="E53" s="611"/>
      <c r="F53" s="611"/>
      <c r="G53" s="611"/>
      <c r="H53" s="611"/>
      <c r="I53" s="611"/>
      <c r="J53" s="611"/>
      <c r="K53" s="611"/>
      <c r="L53" s="611"/>
      <c r="M53" s="611"/>
      <c r="N53" s="611"/>
    </row>
    <row r="54" spans="2:14" ht="15" customHeight="1" thickBot="1">
      <c r="B54" s="350" t="s">
        <v>375</v>
      </c>
      <c r="C54" s="612" t="s">
        <v>372</v>
      </c>
      <c r="D54" s="613"/>
      <c r="E54" s="613"/>
      <c r="F54" s="613"/>
      <c r="G54" s="613"/>
      <c r="H54" s="351"/>
      <c r="I54" s="612" t="s">
        <v>367</v>
      </c>
      <c r="J54" s="613"/>
      <c r="K54" s="614"/>
      <c r="L54" s="612" t="s">
        <v>376</v>
      </c>
      <c r="M54" s="613"/>
      <c r="N54" s="615"/>
    </row>
    <row r="55" spans="2:14" ht="15" customHeight="1">
      <c r="B55" s="352"/>
      <c r="C55" s="601"/>
      <c r="D55" s="602"/>
      <c r="E55" s="602"/>
      <c r="F55" s="602"/>
      <c r="G55" s="602"/>
      <c r="H55" s="353"/>
      <c r="I55" s="603"/>
      <c r="J55" s="604"/>
      <c r="K55" s="605"/>
      <c r="L55" s="606"/>
      <c r="M55" s="607"/>
      <c r="N55" s="608"/>
    </row>
    <row r="56" spans="2:14" ht="15" customHeight="1">
      <c r="B56" s="354"/>
      <c r="C56" s="616"/>
      <c r="D56" s="617"/>
      <c r="E56" s="617"/>
      <c r="F56" s="617"/>
      <c r="G56" s="617"/>
      <c r="H56" s="355"/>
      <c r="I56" s="618"/>
      <c r="J56" s="619"/>
      <c r="K56" s="620"/>
      <c r="L56" s="621"/>
      <c r="M56" s="622"/>
      <c r="N56" s="623"/>
    </row>
    <row r="57" spans="2:14" ht="15" customHeight="1">
      <c r="B57" s="354"/>
      <c r="C57" s="616"/>
      <c r="D57" s="617"/>
      <c r="E57" s="617"/>
      <c r="F57" s="617"/>
      <c r="G57" s="617"/>
      <c r="H57" s="355"/>
      <c r="I57" s="618"/>
      <c r="J57" s="619"/>
      <c r="K57" s="620"/>
      <c r="L57" s="621"/>
      <c r="M57" s="622"/>
      <c r="N57" s="623"/>
    </row>
    <row r="58" spans="2:14" ht="15" customHeight="1">
      <c r="B58" s="354"/>
      <c r="C58" s="616"/>
      <c r="D58" s="617"/>
      <c r="E58" s="617"/>
      <c r="F58" s="617"/>
      <c r="G58" s="617"/>
      <c r="H58" s="355"/>
      <c r="I58" s="618"/>
      <c r="J58" s="619"/>
      <c r="K58" s="620"/>
      <c r="L58" s="621"/>
      <c r="M58" s="622"/>
      <c r="N58" s="623"/>
    </row>
    <row r="59" spans="2:14" ht="15" customHeight="1">
      <c r="B59" s="354"/>
      <c r="C59" s="616"/>
      <c r="D59" s="617"/>
      <c r="E59" s="617"/>
      <c r="F59" s="617"/>
      <c r="G59" s="617"/>
      <c r="H59" s="355"/>
      <c r="I59" s="618"/>
      <c r="J59" s="619"/>
      <c r="K59" s="620"/>
      <c r="L59" s="621"/>
      <c r="M59" s="622"/>
      <c r="N59" s="623"/>
    </row>
    <row r="60" spans="2:14" ht="15" customHeight="1">
      <c r="B60" s="354"/>
      <c r="C60" s="616"/>
      <c r="D60" s="617"/>
      <c r="E60" s="617"/>
      <c r="F60" s="617"/>
      <c r="G60" s="617"/>
      <c r="H60" s="355"/>
      <c r="I60" s="618"/>
      <c r="J60" s="619"/>
      <c r="K60" s="620"/>
      <c r="L60" s="621"/>
      <c r="M60" s="622"/>
      <c r="N60" s="623"/>
    </row>
    <row r="61" spans="2:14" ht="15" customHeight="1">
      <c r="B61" s="354"/>
      <c r="C61" s="616"/>
      <c r="D61" s="617"/>
      <c r="E61" s="617"/>
      <c r="F61" s="617"/>
      <c r="G61" s="617"/>
      <c r="H61" s="355"/>
      <c r="I61" s="618"/>
      <c r="J61" s="619"/>
      <c r="K61" s="620"/>
      <c r="L61" s="621"/>
      <c r="M61" s="622"/>
      <c r="N61" s="623"/>
    </row>
    <row r="62" spans="2:14" ht="15" customHeight="1">
      <c r="B62" s="354"/>
      <c r="C62" s="616"/>
      <c r="D62" s="617"/>
      <c r="E62" s="617"/>
      <c r="F62" s="617"/>
      <c r="G62" s="617"/>
      <c r="H62" s="355"/>
      <c r="I62" s="618"/>
      <c r="J62" s="619"/>
      <c r="K62" s="620"/>
      <c r="L62" s="621"/>
      <c r="M62" s="622"/>
      <c r="N62" s="623"/>
    </row>
    <row r="63" spans="2:14" ht="15" customHeight="1">
      <c r="B63" s="354"/>
      <c r="C63" s="616"/>
      <c r="D63" s="617"/>
      <c r="E63" s="617"/>
      <c r="F63" s="617"/>
      <c r="G63" s="617"/>
      <c r="H63" s="355"/>
      <c r="I63" s="618"/>
      <c r="J63" s="619"/>
      <c r="K63" s="620"/>
      <c r="L63" s="621"/>
      <c r="M63" s="622"/>
      <c r="N63" s="623"/>
    </row>
    <row r="64" spans="2:14" ht="15" customHeight="1">
      <c r="B64" s="354"/>
      <c r="C64" s="616"/>
      <c r="D64" s="617"/>
      <c r="E64" s="617"/>
      <c r="F64" s="617"/>
      <c r="G64" s="617"/>
      <c r="H64" s="355"/>
      <c r="I64" s="618"/>
      <c r="J64" s="619"/>
      <c r="K64" s="620"/>
      <c r="L64" s="621"/>
      <c r="M64" s="622"/>
      <c r="N64" s="623"/>
    </row>
    <row r="65" spans="2:14" ht="15" customHeight="1">
      <c r="B65" s="354"/>
      <c r="C65" s="616"/>
      <c r="D65" s="617"/>
      <c r="E65" s="617"/>
      <c r="F65" s="617"/>
      <c r="G65" s="617"/>
      <c r="H65" s="355"/>
      <c r="I65" s="618"/>
      <c r="J65" s="619"/>
      <c r="K65" s="620"/>
      <c r="L65" s="621"/>
      <c r="M65" s="622"/>
      <c r="N65" s="623"/>
    </row>
    <row r="66" spans="2:14" ht="15" customHeight="1">
      <c r="B66" s="354"/>
      <c r="C66" s="616"/>
      <c r="D66" s="617"/>
      <c r="E66" s="617"/>
      <c r="F66" s="617"/>
      <c r="G66" s="617"/>
      <c r="H66" s="355"/>
      <c r="I66" s="618"/>
      <c r="J66" s="619"/>
      <c r="K66" s="620"/>
      <c r="L66" s="621"/>
      <c r="M66" s="622"/>
      <c r="N66" s="623"/>
    </row>
    <row r="67" spans="2:14" ht="15" customHeight="1">
      <c r="B67" s="354"/>
      <c r="C67" s="616"/>
      <c r="D67" s="617"/>
      <c r="E67" s="617"/>
      <c r="F67" s="617"/>
      <c r="G67" s="617"/>
      <c r="H67" s="355"/>
      <c r="I67" s="618"/>
      <c r="J67" s="619"/>
      <c r="K67" s="620"/>
      <c r="L67" s="621"/>
      <c r="M67" s="622"/>
      <c r="N67" s="623"/>
    </row>
    <row r="68" spans="2:14" ht="15" customHeight="1">
      <c r="B68" s="354"/>
      <c r="C68" s="616"/>
      <c r="D68" s="617"/>
      <c r="E68" s="617"/>
      <c r="F68" s="617"/>
      <c r="G68" s="617"/>
      <c r="H68" s="355"/>
      <c r="I68" s="618"/>
      <c r="J68" s="619"/>
      <c r="K68" s="620"/>
      <c r="L68" s="621"/>
      <c r="M68" s="622"/>
      <c r="N68" s="623"/>
    </row>
    <row r="69" spans="2:14" ht="15" customHeight="1">
      <c r="B69" s="354"/>
      <c r="C69" s="616"/>
      <c r="D69" s="617"/>
      <c r="E69" s="617"/>
      <c r="F69" s="617"/>
      <c r="G69" s="617"/>
      <c r="H69" s="355"/>
      <c r="I69" s="618"/>
      <c r="J69" s="619"/>
      <c r="K69" s="620"/>
      <c r="L69" s="621"/>
      <c r="M69" s="622"/>
      <c r="N69" s="623"/>
    </row>
    <row r="70" spans="2:14" ht="15" customHeight="1">
      <c r="B70" s="354"/>
      <c r="C70" s="616"/>
      <c r="D70" s="617"/>
      <c r="E70" s="617"/>
      <c r="F70" s="617"/>
      <c r="G70" s="617"/>
      <c r="H70" s="355"/>
      <c r="I70" s="618"/>
      <c r="J70" s="619"/>
      <c r="K70" s="620"/>
      <c r="L70" s="621"/>
      <c r="M70" s="622"/>
      <c r="N70" s="623"/>
    </row>
    <row r="71" spans="2:14" ht="15" customHeight="1">
      <c r="B71" s="354"/>
      <c r="C71" s="616"/>
      <c r="D71" s="617"/>
      <c r="E71" s="617"/>
      <c r="F71" s="617"/>
      <c r="G71" s="617"/>
      <c r="H71" s="355"/>
      <c r="I71" s="618"/>
      <c r="J71" s="619"/>
      <c r="K71" s="620"/>
      <c r="L71" s="621"/>
      <c r="M71" s="622"/>
      <c r="N71" s="623"/>
    </row>
    <row r="72" spans="2:14">
      <c r="B72" s="354"/>
      <c r="C72" s="616"/>
      <c r="D72" s="617"/>
      <c r="E72" s="617"/>
      <c r="F72" s="617"/>
      <c r="G72" s="617"/>
      <c r="H72" s="355"/>
      <c r="I72" s="618"/>
      <c r="J72" s="619"/>
      <c r="K72" s="620"/>
      <c r="L72" s="621"/>
      <c r="M72" s="622"/>
      <c r="N72" s="623"/>
    </row>
    <row r="73" spans="2:14">
      <c r="B73" s="354"/>
      <c r="C73" s="616"/>
      <c r="D73" s="617"/>
      <c r="E73" s="617"/>
      <c r="F73" s="617"/>
      <c r="G73" s="617"/>
      <c r="H73" s="355"/>
      <c r="I73" s="618"/>
      <c r="J73" s="619"/>
      <c r="K73" s="620"/>
      <c r="L73" s="621"/>
      <c r="M73" s="622"/>
      <c r="N73" s="623"/>
    </row>
    <row r="74" spans="2:14">
      <c r="B74" s="354"/>
      <c r="C74" s="616"/>
      <c r="D74" s="617"/>
      <c r="E74" s="617"/>
      <c r="F74" s="617"/>
      <c r="G74" s="617"/>
      <c r="H74" s="355"/>
      <c r="I74" s="618"/>
      <c r="J74" s="619"/>
      <c r="K74" s="620"/>
      <c r="L74" s="621"/>
      <c r="M74" s="622"/>
      <c r="N74" s="623"/>
    </row>
    <row r="75" spans="2:14">
      <c r="B75" s="354"/>
      <c r="C75" s="616"/>
      <c r="D75" s="617"/>
      <c r="E75" s="617"/>
      <c r="F75" s="617"/>
      <c r="G75" s="617"/>
      <c r="H75" s="355"/>
      <c r="I75" s="618"/>
      <c r="J75" s="619"/>
      <c r="K75" s="620"/>
      <c r="L75" s="621"/>
      <c r="M75" s="622"/>
      <c r="N75" s="623"/>
    </row>
    <row r="76" spans="2:14">
      <c r="B76" s="354"/>
      <c r="C76" s="616"/>
      <c r="D76" s="617"/>
      <c r="E76" s="617"/>
      <c r="F76" s="617"/>
      <c r="G76" s="617"/>
      <c r="H76" s="355"/>
      <c r="I76" s="618"/>
      <c r="J76" s="619"/>
      <c r="K76" s="620"/>
      <c r="L76" s="621"/>
      <c r="M76" s="622"/>
      <c r="N76" s="623"/>
    </row>
    <row r="77" spans="2:14">
      <c r="B77" s="354"/>
      <c r="C77" s="616"/>
      <c r="D77" s="617"/>
      <c r="E77" s="617"/>
      <c r="F77" s="617"/>
      <c r="G77" s="617"/>
      <c r="H77" s="355"/>
      <c r="I77" s="618"/>
      <c r="J77" s="619"/>
      <c r="K77" s="620"/>
      <c r="L77" s="621"/>
      <c r="M77" s="622"/>
      <c r="N77" s="623"/>
    </row>
    <row r="78" spans="2:14">
      <c r="B78" s="354"/>
      <c r="C78" s="616"/>
      <c r="D78" s="617"/>
      <c r="E78" s="617"/>
      <c r="F78" s="617"/>
      <c r="G78" s="617"/>
      <c r="H78" s="355"/>
      <c r="I78" s="618"/>
      <c r="J78" s="619"/>
      <c r="K78" s="620"/>
      <c r="L78" s="621"/>
      <c r="M78" s="622"/>
      <c r="N78" s="623"/>
    </row>
    <row r="79" spans="2:14" ht="13.8" thickBot="1">
      <c r="B79" s="356"/>
      <c r="C79" s="624"/>
      <c r="D79" s="625"/>
      <c r="E79" s="625"/>
      <c r="F79" s="625"/>
      <c r="G79" s="625"/>
      <c r="H79" s="357"/>
      <c r="I79" s="626"/>
      <c r="J79" s="627"/>
      <c r="K79" s="628"/>
      <c r="L79" s="629"/>
      <c r="M79" s="630"/>
      <c r="N79" s="631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workbookViewId="0">
      <selection activeCell="M14" sqref="M14"/>
    </sheetView>
  </sheetViews>
  <sheetFormatPr defaultColWidth="9.109375" defaultRowHeight="13.2"/>
  <cols>
    <col min="1" max="1" width="19.6640625" style="376" customWidth="1"/>
    <col min="2" max="7" width="10.6640625" style="376" customWidth="1"/>
    <col min="8" max="16384" width="9.109375" style="376"/>
  </cols>
  <sheetData>
    <row r="1" spans="1:12" ht="21" customHeight="1">
      <c r="A1" s="375" t="s">
        <v>408</v>
      </c>
      <c r="B1" s="633" t="s">
        <v>447</v>
      </c>
      <c r="C1" s="633"/>
      <c r="D1" s="633"/>
      <c r="E1" s="633"/>
      <c r="F1" s="633"/>
      <c r="G1" s="633"/>
    </row>
    <row r="2" spans="1:12" ht="15" customHeight="1"/>
    <row r="3" spans="1:12" ht="20.399999999999999">
      <c r="A3" s="377" t="s">
        <v>409</v>
      </c>
    </row>
    <row r="4" spans="1:12" ht="12" customHeight="1">
      <c r="A4" s="378"/>
      <c r="B4" s="378"/>
      <c r="C4" s="378"/>
      <c r="D4" s="378" t="s">
        <v>550</v>
      </c>
      <c r="E4" s="378"/>
      <c r="F4" s="378"/>
      <c r="G4" s="378"/>
      <c r="H4" s="378"/>
      <c r="I4" s="378"/>
      <c r="J4" s="378"/>
      <c r="K4" s="378"/>
      <c r="L4" s="378"/>
    </row>
    <row r="5" spans="1:12" ht="15.6" customHeight="1">
      <c r="A5" s="379" t="s">
        <v>5</v>
      </c>
      <c r="B5" s="379" t="s">
        <v>410</v>
      </c>
      <c r="C5" s="379" t="s">
        <v>411</v>
      </c>
      <c r="D5" s="379" t="s">
        <v>412</v>
      </c>
      <c r="E5" s="379" t="s">
        <v>413</v>
      </c>
      <c r="F5" s="379" t="s">
        <v>414</v>
      </c>
      <c r="G5" s="379" t="s">
        <v>415</v>
      </c>
      <c r="H5" s="378"/>
      <c r="I5" s="378"/>
      <c r="J5" s="378"/>
      <c r="K5" s="378"/>
      <c r="L5" s="378"/>
    </row>
    <row r="6" spans="1:12" ht="15.6" customHeight="1">
      <c r="A6" s="380" t="s">
        <v>416</v>
      </c>
      <c r="B6" s="380" t="s">
        <v>166</v>
      </c>
      <c r="C6" s="380" t="s">
        <v>166</v>
      </c>
      <c r="D6" s="380" t="s">
        <v>417</v>
      </c>
      <c r="E6" s="380" t="s">
        <v>135</v>
      </c>
      <c r="F6" s="380" t="s">
        <v>418</v>
      </c>
      <c r="G6" s="380" t="s">
        <v>418</v>
      </c>
      <c r="H6" s="378"/>
      <c r="I6" s="378"/>
      <c r="J6" s="378"/>
      <c r="K6" s="378"/>
      <c r="L6" s="378"/>
    </row>
    <row r="7" spans="1:12" ht="15.9" customHeight="1">
      <c r="A7" s="381" t="s">
        <v>448</v>
      </c>
      <c r="B7" s="381" t="s">
        <v>461</v>
      </c>
      <c r="C7" s="381" t="s">
        <v>474</v>
      </c>
      <c r="D7" s="381" t="s">
        <v>551</v>
      </c>
      <c r="E7" s="381" t="s">
        <v>486</v>
      </c>
      <c r="F7" s="381" t="s">
        <v>564</v>
      </c>
      <c r="G7" s="381" t="s">
        <v>576</v>
      </c>
      <c r="H7" s="378"/>
      <c r="I7" s="378"/>
      <c r="J7" s="378"/>
      <c r="K7" s="378"/>
      <c r="L7" s="378"/>
    </row>
    <row r="8" spans="1:12" ht="15.9" customHeight="1">
      <c r="A8" s="381" t="s">
        <v>449</v>
      </c>
      <c r="B8" s="381" t="s">
        <v>462</v>
      </c>
      <c r="C8" s="381" t="s">
        <v>475</v>
      </c>
      <c r="D8" s="381" t="s">
        <v>552</v>
      </c>
      <c r="E8" s="381" t="s">
        <v>487</v>
      </c>
      <c r="F8" s="381" t="s">
        <v>499</v>
      </c>
      <c r="G8" s="381" t="s">
        <v>577</v>
      </c>
      <c r="H8" s="378"/>
      <c r="I8" s="378"/>
      <c r="J8" s="378"/>
      <c r="K8" s="378"/>
      <c r="L8" s="378"/>
    </row>
    <row r="9" spans="1:12" ht="15.9" customHeight="1">
      <c r="A9" s="381" t="s">
        <v>450</v>
      </c>
      <c r="B9" s="381" t="s">
        <v>463</v>
      </c>
      <c r="C9" s="381" t="s">
        <v>476</v>
      </c>
      <c r="D9" s="381" t="s">
        <v>553</v>
      </c>
      <c r="E9" s="381" t="s">
        <v>488</v>
      </c>
      <c r="F9" s="381" t="s">
        <v>565</v>
      </c>
      <c r="G9" s="381" t="s">
        <v>578</v>
      </c>
      <c r="H9" s="378"/>
      <c r="I9" s="378"/>
      <c r="J9" s="378"/>
      <c r="K9" s="378"/>
      <c r="L9" s="378"/>
    </row>
    <row r="10" spans="1:12" ht="15.9" customHeight="1">
      <c r="A10" s="381" t="s">
        <v>451</v>
      </c>
      <c r="B10" s="381" t="s">
        <v>464</v>
      </c>
      <c r="C10" s="381" t="s">
        <v>476</v>
      </c>
      <c r="D10" s="381" t="s">
        <v>554</v>
      </c>
      <c r="E10" s="381" t="s">
        <v>489</v>
      </c>
      <c r="F10" s="381" t="s">
        <v>566</v>
      </c>
      <c r="G10" s="381" t="s">
        <v>579</v>
      </c>
      <c r="H10" s="378"/>
      <c r="I10" s="378"/>
      <c r="J10" s="378"/>
      <c r="K10" s="378"/>
      <c r="L10" s="378"/>
    </row>
    <row r="11" spans="1:12" ht="15.9" customHeight="1">
      <c r="A11" s="381" t="s">
        <v>452</v>
      </c>
      <c r="B11" s="381" t="s">
        <v>465</v>
      </c>
      <c r="C11" s="381" t="s">
        <v>477</v>
      </c>
      <c r="D11" s="381" t="s">
        <v>555</v>
      </c>
      <c r="E11" s="381" t="s">
        <v>490</v>
      </c>
      <c r="F11" s="381" t="s">
        <v>567</v>
      </c>
      <c r="G11" s="381" t="s">
        <v>580</v>
      </c>
      <c r="H11" s="378"/>
      <c r="I11" s="378"/>
      <c r="J11" s="378"/>
      <c r="K11" s="378"/>
      <c r="L11" s="378"/>
    </row>
    <row r="12" spans="1:12" ht="15.9" customHeight="1">
      <c r="A12" s="381" t="s">
        <v>453</v>
      </c>
      <c r="B12" s="381" t="s">
        <v>466</v>
      </c>
      <c r="C12" s="381" t="s">
        <v>478</v>
      </c>
      <c r="D12" s="381" t="s">
        <v>556</v>
      </c>
      <c r="E12" s="381" t="s">
        <v>491</v>
      </c>
      <c r="F12" s="381" t="s">
        <v>568</v>
      </c>
      <c r="G12" s="381" t="s">
        <v>581</v>
      </c>
      <c r="H12" s="378"/>
      <c r="I12" s="378"/>
      <c r="J12" s="378"/>
      <c r="K12" s="378"/>
      <c r="L12" s="378"/>
    </row>
    <row r="13" spans="1:12" ht="15.9" customHeight="1">
      <c r="A13" s="381" t="s">
        <v>454</v>
      </c>
      <c r="B13" s="381" t="s">
        <v>467</v>
      </c>
      <c r="C13" s="381" t="s">
        <v>479</v>
      </c>
      <c r="D13" s="381" t="s">
        <v>557</v>
      </c>
      <c r="E13" s="381" t="s">
        <v>492</v>
      </c>
      <c r="F13" s="381" t="s">
        <v>569</v>
      </c>
      <c r="G13" s="381" t="s">
        <v>582</v>
      </c>
      <c r="H13" s="378"/>
      <c r="I13" s="378"/>
      <c r="J13" s="378"/>
      <c r="K13" s="378"/>
      <c r="L13" s="378"/>
    </row>
    <row r="14" spans="1:12" ht="15.9" customHeight="1">
      <c r="A14" s="381" t="s">
        <v>455</v>
      </c>
      <c r="B14" s="381" t="s">
        <v>468</v>
      </c>
      <c r="C14" s="381" t="s">
        <v>480</v>
      </c>
      <c r="D14" s="381" t="s">
        <v>558</v>
      </c>
      <c r="E14" s="381" t="s">
        <v>493</v>
      </c>
      <c r="F14" s="381" t="s">
        <v>570</v>
      </c>
      <c r="G14" s="381" t="s">
        <v>583</v>
      </c>
      <c r="H14" s="378"/>
      <c r="I14" s="378"/>
      <c r="J14" s="378"/>
      <c r="K14" s="378"/>
      <c r="L14" s="378"/>
    </row>
    <row r="15" spans="1:12" ht="15.9" customHeight="1">
      <c r="A15" s="381" t="s">
        <v>456</v>
      </c>
      <c r="B15" s="381" t="s">
        <v>469</v>
      </c>
      <c r="C15" s="381" t="s">
        <v>481</v>
      </c>
      <c r="D15" s="381" t="s">
        <v>559</v>
      </c>
      <c r="E15" s="381" t="s">
        <v>494</v>
      </c>
      <c r="F15" s="381" t="s">
        <v>571</v>
      </c>
      <c r="G15" s="381" t="s">
        <v>584</v>
      </c>
      <c r="H15" s="378"/>
      <c r="I15" s="378"/>
      <c r="J15" s="378"/>
      <c r="K15" s="378"/>
      <c r="L15" s="378"/>
    </row>
    <row r="16" spans="1:12" ht="15.9" customHeight="1">
      <c r="A16" s="381" t="s">
        <v>457</v>
      </c>
      <c r="B16" s="381" t="s">
        <v>470</v>
      </c>
      <c r="C16" s="381" t="s">
        <v>482</v>
      </c>
      <c r="D16" s="381" t="s">
        <v>560</v>
      </c>
      <c r="E16" s="381" t="s">
        <v>495</v>
      </c>
      <c r="F16" s="381" t="s">
        <v>572</v>
      </c>
      <c r="G16" s="381" t="s">
        <v>585</v>
      </c>
      <c r="H16" s="378"/>
      <c r="I16" s="378"/>
      <c r="J16" s="378"/>
      <c r="K16" s="378"/>
      <c r="L16" s="378"/>
    </row>
    <row r="17" spans="1:12" ht="15.9" customHeight="1">
      <c r="A17" s="381" t="s">
        <v>458</v>
      </c>
      <c r="B17" s="381" t="s">
        <v>471</v>
      </c>
      <c r="C17" s="381" t="s">
        <v>483</v>
      </c>
      <c r="D17" s="381" t="s">
        <v>561</v>
      </c>
      <c r="E17" s="381" t="s">
        <v>496</v>
      </c>
      <c r="F17" s="381" t="s">
        <v>573</v>
      </c>
      <c r="G17" s="381" t="s">
        <v>586</v>
      </c>
      <c r="H17" s="378"/>
      <c r="I17" s="378"/>
      <c r="J17" s="378"/>
      <c r="K17" s="378"/>
      <c r="L17" s="378"/>
    </row>
    <row r="18" spans="1:12" ht="15.9" customHeight="1">
      <c r="A18" s="381" t="s">
        <v>459</v>
      </c>
      <c r="B18" s="381" t="s">
        <v>472</v>
      </c>
      <c r="C18" s="381" t="s">
        <v>484</v>
      </c>
      <c r="D18" s="381" t="s">
        <v>562</v>
      </c>
      <c r="E18" s="381" t="s">
        <v>497</v>
      </c>
      <c r="F18" s="381" t="s">
        <v>574</v>
      </c>
      <c r="G18" s="381" t="s">
        <v>478</v>
      </c>
      <c r="H18" s="378"/>
      <c r="I18" s="378"/>
      <c r="J18" s="378"/>
      <c r="K18" s="378"/>
      <c r="L18" s="378"/>
    </row>
    <row r="19" spans="1:12" ht="15.9" customHeight="1">
      <c r="A19" s="381" t="s">
        <v>460</v>
      </c>
      <c r="B19" s="381" t="s">
        <v>473</v>
      </c>
      <c r="C19" s="381" t="s">
        <v>485</v>
      </c>
      <c r="D19" s="381" t="s">
        <v>563</v>
      </c>
      <c r="E19" s="381" t="s">
        <v>498</v>
      </c>
      <c r="F19" s="381" t="s">
        <v>575</v>
      </c>
      <c r="G19" s="381" t="s">
        <v>587</v>
      </c>
      <c r="H19" s="378"/>
      <c r="I19" s="378"/>
      <c r="J19" s="378"/>
      <c r="K19" s="378"/>
      <c r="L19" s="378"/>
    </row>
    <row r="20" spans="1:12" ht="15.6">
      <c r="A20" s="378"/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</row>
    <row r="21" spans="1:12" ht="16.2">
      <c r="A21" s="378"/>
      <c r="B21" s="378"/>
      <c r="C21" s="378"/>
      <c r="D21" s="634" t="s">
        <v>597</v>
      </c>
      <c r="E21" s="635"/>
      <c r="F21" s="635"/>
      <c r="G21" s="636"/>
      <c r="H21" s="378"/>
      <c r="I21" s="378"/>
      <c r="J21" s="378"/>
      <c r="K21" s="378"/>
      <c r="L21" s="378"/>
    </row>
    <row r="22" spans="1:12" ht="17.25" customHeight="1">
      <c r="A22" s="378"/>
      <c r="B22" s="637" t="s">
        <v>419</v>
      </c>
      <c r="C22" s="637"/>
      <c r="D22" s="637" t="s">
        <v>420</v>
      </c>
      <c r="E22" s="637"/>
      <c r="F22" s="637" t="s">
        <v>421</v>
      </c>
      <c r="G22" s="637"/>
      <c r="H22" s="378"/>
      <c r="I22" s="378"/>
      <c r="J22" s="378"/>
      <c r="K22" s="378"/>
      <c r="L22" s="378"/>
    </row>
    <row r="23" spans="1:12" ht="15.6">
      <c r="A23" s="382" t="s">
        <v>422</v>
      </c>
      <c r="B23" s="632" t="s">
        <v>588</v>
      </c>
      <c r="C23" s="632"/>
      <c r="D23" s="632" t="s">
        <v>591</v>
      </c>
      <c r="E23" s="632"/>
      <c r="F23" s="632" t="s">
        <v>594</v>
      </c>
      <c r="G23" s="632"/>
      <c r="H23" s="378"/>
      <c r="I23" s="378"/>
      <c r="J23" s="378"/>
      <c r="K23" s="378"/>
      <c r="L23" s="378"/>
    </row>
    <row r="24" spans="1:12" ht="18" customHeight="1">
      <c r="A24" s="382" t="s">
        <v>423</v>
      </c>
      <c r="B24" s="632" t="s">
        <v>589</v>
      </c>
      <c r="C24" s="632"/>
      <c r="D24" s="632" t="s">
        <v>592</v>
      </c>
      <c r="E24" s="632"/>
      <c r="F24" s="632" t="s">
        <v>595</v>
      </c>
      <c r="G24" s="632"/>
      <c r="H24" s="378"/>
      <c r="I24" s="378"/>
      <c r="J24" s="378"/>
      <c r="K24" s="378"/>
      <c r="L24" s="378"/>
    </row>
    <row r="25" spans="1:12" ht="15.6">
      <c r="A25" s="382" t="s">
        <v>424</v>
      </c>
      <c r="B25" s="632" t="s">
        <v>590</v>
      </c>
      <c r="C25" s="632"/>
      <c r="D25" s="632" t="s">
        <v>593</v>
      </c>
      <c r="E25" s="632"/>
      <c r="F25" s="632" t="s">
        <v>596</v>
      </c>
      <c r="G25" s="632"/>
      <c r="H25" s="378"/>
      <c r="I25" s="378"/>
      <c r="J25" s="378"/>
      <c r="K25" s="378"/>
      <c r="L25" s="378"/>
    </row>
    <row r="26" spans="1:12" ht="15.6">
      <c r="A26" s="378"/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</row>
    <row r="27" spans="1:12" ht="20.399999999999999">
      <c r="A27" s="377" t="s">
        <v>425</v>
      </c>
      <c r="B27" s="378"/>
      <c r="C27" s="378"/>
      <c r="D27" s="378"/>
      <c r="E27" s="378"/>
      <c r="F27" s="378"/>
      <c r="G27" s="378"/>
      <c r="H27" s="378"/>
      <c r="I27" s="378"/>
      <c r="J27" s="378"/>
      <c r="K27" s="378"/>
      <c r="L27" s="378"/>
    </row>
    <row r="28" spans="1:12" ht="15.6">
      <c r="A28" s="378"/>
      <c r="B28" s="378"/>
      <c r="C28" s="378"/>
      <c r="D28" s="378"/>
      <c r="E28" s="638" t="s">
        <v>426</v>
      </c>
      <c r="F28" s="635"/>
      <c r="G28" s="636"/>
      <c r="H28" s="378"/>
      <c r="I28" s="378"/>
      <c r="J28" s="378"/>
      <c r="K28" s="378"/>
      <c r="L28" s="378"/>
    </row>
    <row r="29" spans="1:12" ht="15.6">
      <c r="A29" s="378"/>
      <c r="B29" s="637" t="s">
        <v>427</v>
      </c>
      <c r="C29" s="637"/>
      <c r="D29" s="383" t="s">
        <v>428</v>
      </c>
      <c r="E29" s="383" t="s">
        <v>429</v>
      </c>
      <c r="F29" s="637" t="s">
        <v>430</v>
      </c>
      <c r="G29" s="637"/>
      <c r="H29" s="378"/>
      <c r="I29" s="378"/>
      <c r="J29" s="378"/>
      <c r="K29" s="378"/>
      <c r="L29" s="378"/>
    </row>
    <row r="30" spans="1:12" ht="15.6">
      <c r="A30" s="382" t="s">
        <v>431</v>
      </c>
      <c r="B30" s="632" t="s">
        <v>500</v>
      </c>
      <c r="C30" s="632"/>
      <c r="D30" s="381" t="s">
        <v>503</v>
      </c>
      <c r="E30" s="381" t="s">
        <v>432</v>
      </c>
      <c r="F30" s="632" t="s">
        <v>506</v>
      </c>
      <c r="G30" s="632"/>
      <c r="H30" s="378"/>
      <c r="I30" s="378"/>
      <c r="J30" s="378"/>
      <c r="K30" s="378"/>
      <c r="L30" s="378"/>
    </row>
    <row r="31" spans="1:12" ht="15.6">
      <c r="A31" s="382" t="s">
        <v>433</v>
      </c>
      <c r="B31" s="632" t="s">
        <v>501</v>
      </c>
      <c r="C31" s="632"/>
      <c r="D31" s="381" t="s">
        <v>504</v>
      </c>
      <c r="E31" s="381" t="s">
        <v>434</v>
      </c>
      <c r="F31" s="632" t="s">
        <v>507</v>
      </c>
      <c r="G31" s="632"/>
      <c r="H31" s="378"/>
      <c r="I31" s="378"/>
      <c r="J31" s="378"/>
      <c r="K31" s="378"/>
      <c r="L31" s="378"/>
    </row>
    <row r="32" spans="1:12" ht="15.6">
      <c r="A32" s="382" t="s">
        <v>435</v>
      </c>
      <c r="B32" s="632" t="s">
        <v>502</v>
      </c>
      <c r="C32" s="632"/>
      <c r="D32" s="381" t="s">
        <v>505</v>
      </c>
      <c r="E32" s="381" t="s">
        <v>436</v>
      </c>
      <c r="F32" s="632" t="s">
        <v>508</v>
      </c>
      <c r="G32" s="632"/>
      <c r="H32" s="378"/>
      <c r="I32" s="378"/>
      <c r="J32" s="378"/>
      <c r="K32" s="378"/>
      <c r="L32" s="378"/>
    </row>
    <row r="33" spans="1:12" ht="15.6">
      <c r="A33" s="378"/>
      <c r="B33" s="378"/>
      <c r="C33" s="378"/>
      <c r="D33" s="378"/>
      <c r="E33" s="378"/>
      <c r="F33" s="378"/>
      <c r="G33" s="378"/>
      <c r="H33" s="378"/>
      <c r="I33" s="378"/>
      <c r="J33" s="378"/>
      <c r="K33" s="378"/>
      <c r="L33" s="378"/>
    </row>
    <row r="34" spans="1:12" ht="15.6">
      <c r="A34" s="378"/>
      <c r="B34" s="378"/>
      <c r="C34" s="378"/>
      <c r="D34" s="378"/>
      <c r="E34" s="638" t="s">
        <v>437</v>
      </c>
      <c r="F34" s="635"/>
      <c r="G34" s="636"/>
      <c r="H34" s="378"/>
      <c r="I34" s="378"/>
      <c r="J34" s="378"/>
      <c r="K34" s="378"/>
      <c r="L34" s="378"/>
    </row>
    <row r="35" spans="1:12" ht="15.6">
      <c r="A35" s="378"/>
      <c r="B35" s="637" t="s">
        <v>438</v>
      </c>
      <c r="C35" s="637"/>
      <c r="D35" s="383" t="s">
        <v>429</v>
      </c>
      <c r="E35" s="383" t="s">
        <v>439</v>
      </c>
      <c r="F35" s="383" t="s">
        <v>100</v>
      </c>
      <c r="G35" s="383" t="s">
        <v>440</v>
      </c>
      <c r="H35" s="378"/>
      <c r="I35" s="378"/>
      <c r="J35" s="378"/>
      <c r="K35" s="378"/>
      <c r="L35" s="378"/>
    </row>
    <row r="36" spans="1:12" ht="15.6">
      <c r="A36" s="382" t="s">
        <v>431</v>
      </c>
      <c r="B36" s="639" t="s">
        <v>509</v>
      </c>
      <c r="C36" s="640"/>
      <c r="D36" s="384" t="s">
        <v>511</v>
      </c>
      <c r="E36" s="384" t="s">
        <v>441</v>
      </c>
      <c r="F36" s="385" t="s">
        <v>442</v>
      </c>
      <c r="G36" s="381" t="s">
        <v>514</v>
      </c>
      <c r="H36" s="378"/>
      <c r="I36" s="378"/>
      <c r="J36" s="378"/>
      <c r="K36" s="378"/>
      <c r="L36" s="378"/>
    </row>
    <row r="37" spans="1:12" ht="15.6">
      <c r="A37" s="382" t="s">
        <v>433</v>
      </c>
      <c r="B37" s="639" t="s">
        <v>510</v>
      </c>
      <c r="C37" s="640"/>
      <c r="D37" s="384" t="s">
        <v>512</v>
      </c>
      <c r="E37" s="384" t="s">
        <v>441</v>
      </c>
      <c r="F37" s="385" t="s">
        <v>443</v>
      </c>
      <c r="G37" s="386" t="s">
        <v>515</v>
      </c>
      <c r="H37" s="378"/>
      <c r="I37" s="378"/>
      <c r="J37" s="378"/>
      <c r="K37" s="378"/>
      <c r="L37" s="378"/>
    </row>
    <row r="38" spans="1:12" ht="15.6">
      <c r="A38" s="382" t="s">
        <v>435</v>
      </c>
      <c r="B38" s="639" t="s">
        <v>510</v>
      </c>
      <c r="C38" s="640"/>
      <c r="D38" s="384" t="s">
        <v>513</v>
      </c>
      <c r="E38" s="384" t="s">
        <v>441</v>
      </c>
      <c r="F38" s="385" t="s">
        <v>444</v>
      </c>
      <c r="G38" s="381" t="s">
        <v>516</v>
      </c>
      <c r="H38" s="378"/>
      <c r="I38" s="378"/>
      <c r="J38" s="378"/>
      <c r="K38" s="378"/>
      <c r="L38" s="378"/>
    </row>
    <row r="39" spans="1:12" ht="15.6">
      <c r="A39" s="378"/>
      <c r="B39" s="378"/>
      <c r="C39" s="378"/>
      <c r="D39" s="378"/>
      <c r="E39" s="378"/>
      <c r="F39" s="378"/>
      <c r="G39" s="378"/>
      <c r="H39" s="378"/>
      <c r="I39" s="378"/>
      <c r="J39" s="378"/>
      <c r="K39" s="378"/>
      <c r="L39" s="378"/>
    </row>
    <row r="40" spans="1:12" ht="15.6">
      <c r="A40" s="387" t="s">
        <v>445</v>
      </c>
      <c r="B40" s="641" t="s">
        <v>517</v>
      </c>
      <c r="C40" s="641"/>
      <c r="D40" s="642" t="s">
        <v>446</v>
      </c>
      <c r="E40" s="642"/>
      <c r="F40" s="641" t="s">
        <v>518</v>
      </c>
      <c r="G40" s="641"/>
      <c r="H40" s="378"/>
      <c r="I40" s="378"/>
      <c r="J40" s="378"/>
      <c r="K40" s="378"/>
      <c r="L40" s="378"/>
    </row>
    <row r="41" spans="1:12" ht="15.6">
      <c r="A41" s="378"/>
      <c r="B41" s="378"/>
      <c r="C41" s="378"/>
      <c r="D41" s="378"/>
      <c r="E41" s="378"/>
      <c r="F41" s="378"/>
      <c r="G41" s="378"/>
      <c r="H41" s="378"/>
      <c r="I41" s="378"/>
      <c r="J41" s="378"/>
      <c r="K41" s="378"/>
      <c r="L41" s="378"/>
    </row>
    <row r="42" spans="1:12" ht="15.6">
      <c r="A42" s="378"/>
      <c r="B42" s="378"/>
      <c r="C42" s="378"/>
      <c r="D42" s="378"/>
      <c r="E42" s="378"/>
      <c r="F42" s="378"/>
      <c r="G42" s="378"/>
      <c r="H42" s="378"/>
      <c r="I42" s="378"/>
      <c r="J42" s="378"/>
      <c r="K42" s="378"/>
      <c r="L42" s="378"/>
    </row>
    <row r="43" spans="1:12" ht="15.6">
      <c r="A43" s="378"/>
      <c r="B43" s="378"/>
      <c r="C43" s="378"/>
      <c r="D43" s="378"/>
      <c r="E43" s="378"/>
      <c r="F43" s="378"/>
      <c r="G43" s="378"/>
      <c r="H43" s="378"/>
      <c r="I43" s="378"/>
      <c r="J43" s="378"/>
      <c r="K43" s="378"/>
      <c r="L43" s="378"/>
    </row>
    <row r="44" spans="1:12" ht="15.6">
      <c r="A44" s="378"/>
      <c r="B44" s="378"/>
      <c r="C44" s="378"/>
      <c r="D44" s="378"/>
      <c r="E44" s="378"/>
      <c r="F44" s="378"/>
      <c r="G44" s="378"/>
      <c r="H44" s="378"/>
      <c r="I44" s="378"/>
      <c r="J44" s="378"/>
      <c r="K44" s="378"/>
      <c r="L44" s="378"/>
    </row>
    <row r="45" spans="1:12" ht="15.6">
      <c r="A45" s="378"/>
      <c r="B45" s="378"/>
      <c r="C45" s="378"/>
      <c r="D45" s="378"/>
      <c r="E45" s="378"/>
      <c r="F45" s="378"/>
      <c r="G45" s="378"/>
      <c r="H45" s="378"/>
      <c r="I45" s="378"/>
      <c r="J45" s="378"/>
      <c r="K45" s="378"/>
      <c r="L45" s="378"/>
    </row>
    <row r="46" spans="1:12" ht="15.6">
      <c r="A46" s="378"/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</row>
    <row r="47" spans="1:12" ht="15.6">
      <c r="A47" s="378"/>
      <c r="B47" s="378"/>
      <c r="C47" s="378"/>
      <c r="D47" s="378"/>
      <c r="E47" s="378"/>
      <c r="F47" s="378"/>
      <c r="G47" s="378"/>
      <c r="H47" s="378"/>
      <c r="I47" s="378"/>
      <c r="J47" s="378"/>
      <c r="K47" s="378"/>
      <c r="L47" s="378"/>
    </row>
    <row r="48" spans="1:12" ht="15.6">
      <c r="A48" s="378"/>
      <c r="B48" s="378"/>
      <c r="C48" s="378"/>
      <c r="D48" s="378"/>
      <c r="E48" s="378"/>
      <c r="F48" s="378"/>
      <c r="G48" s="378"/>
      <c r="H48" s="378"/>
      <c r="I48" s="378"/>
      <c r="J48" s="378"/>
      <c r="K48" s="378"/>
      <c r="L48" s="378"/>
    </row>
    <row r="49" spans="1:12" ht="15.6">
      <c r="A49" s="378"/>
      <c r="B49" s="378"/>
      <c r="C49" s="378"/>
      <c r="D49" s="378"/>
      <c r="E49" s="378"/>
      <c r="F49" s="378"/>
      <c r="G49" s="378"/>
      <c r="H49" s="378"/>
      <c r="I49" s="378"/>
      <c r="J49" s="378"/>
      <c r="K49" s="378"/>
      <c r="L49" s="378"/>
    </row>
    <row r="50" spans="1:12" ht="15.6">
      <c r="A50" s="378"/>
      <c r="B50" s="378"/>
      <c r="C50" s="378"/>
      <c r="D50" s="378"/>
      <c r="E50" s="378"/>
      <c r="F50" s="378"/>
      <c r="G50" s="378"/>
      <c r="H50" s="378"/>
      <c r="I50" s="378"/>
      <c r="J50" s="378"/>
      <c r="K50" s="378"/>
      <c r="L50" s="378"/>
    </row>
    <row r="51" spans="1:12" ht="15.6">
      <c r="A51" s="378"/>
      <c r="B51" s="378"/>
      <c r="C51" s="378"/>
      <c r="D51" s="378"/>
      <c r="E51" s="378"/>
      <c r="F51" s="378"/>
      <c r="G51" s="378"/>
      <c r="H51" s="378"/>
      <c r="I51" s="378"/>
      <c r="J51" s="378"/>
      <c r="K51" s="378"/>
      <c r="L51" s="378"/>
    </row>
    <row r="52" spans="1:12" ht="15.6">
      <c r="A52" s="378"/>
      <c r="B52" s="378"/>
      <c r="C52" s="378"/>
      <c r="D52" s="378"/>
      <c r="E52" s="378"/>
      <c r="F52" s="378"/>
      <c r="G52" s="378"/>
      <c r="H52" s="378"/>
      <c r="I52" s="378"/>
      <c r="J52" s="378"/>
      <c r="K52" s="378"/>
      <c r="L52" s="378"/>
    </row>
    <row r="53" spans="1:12" ht="15.6">
      <c r="A53" s="378"/>
      <c r="B53" s="378"/>
      <c r="C53" s="378"/>
      <c r="D53" s="378"/>
      <c r="E53" s="378"/>
      <c r="F53" s="378"/>
      <c r="G53" s="378"/>
      <c r="H53" s="378"/>
      <c r="I53" s="378"/>
      <c r="J53" s="378"/>
      <c r="K53" s="378"/>
      <c r="L53" s="378"/>
    </row>
    <row r="54" spans="1:12" ht="15.6">
      <c r="A54" s="378"/>
      <c r="B54" s="378"/>
      <c r="C54" s="378"/>
      <c r="D54" s="378"/>
      <c r="E54" s="378"/>
      <c r="F54" s="378"/>
      <c r="G54" s="378"/>
      <c r="H54" s="378"/>
      <c r="I54" s="378"/>
      <c r="J54" s="378"/>
      <c r="K54" s="378"/>
      <c r="L54" s="378"/>
    </row>
    <row r="55" spans="1:12" ht="15.6">
      <c r="A55" s="378"/>
      <c r="B55" s="378"/>
      <c r="C55" s="378"/>
      <c r="D55" s="378"/>
      <c r="E55" s="378"/>
      <c r="F55" s="378"/>
      <c r="G55" s="378"/>
      <c r="H55" s="378"/>
      <c r="I55" s="378"/>
      <c r="J55" s="378"/>
      <c r="K55" s="378"/>
      <c r="L55" s="378"/>
    </row>
    <row r="56" spans="1:12" ht="15.6">
      <c r="A56" s="378"/>
      <c r="B56" s="378"/>
      <c r="C56" s="378"/>
      <c r="D56" s="378"/>
      <c r="E56" s="378"/>
      <c r="F56" s="378"/>
      <c r="G56" s="378"/>
      <c r="H56" s="378"/>
      <c r="I56" s="378"/>
      <c r="J56" s="378"/>
      <c r="K56" s="378"/>
      <c r="L56" s="378"/>
    </row>
    <row r="57" spans="1:12" ht="15.6">
      <c r="A57" s="378"/>
      <c r="B57" s="378"/>
      <c r="C57" s="378"/>
      <c r="D57" s="378"/>
      <c r="E57" s="378"/>
      <c r="F57" s="378"/>
      <c r="G57" s="378"/>
      <c r="H57" s="378"/>
      <c r="I57" s="378"/>
      <c r="J57" s="378"/>
      <c r="K57" s="378"/>
      <c r="L57" s="378"/>
    </row>
    <row r="58" spans="1:12" ht="15.6">
      <c r="A58" s="378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</row>
    <row r="59" spans="1:12" ht="15.6">
      <c r="A59" s="378"/>
      <c r="B59" s="378"/>
      <c r="C59" s="378"/>
      <c r="D59" s="378"/>
      <c r="E59" s="378"/>
      <c r="F59" s="378"/>
      <c r="G59" s="378"/>
      <c r="H59" s="378"/>
      <c r="I59" s="378"/>
      <c r="J59" s="378"/>
      <c r="K59" s="378"/>
      <c r="L59" s="378"/>
    </row>
    <row r="60" spans="1:12" ht="15.6">
      <c r="A60" s="378"/>
      <c r="B60" s="378"/>
      <c r="C60" s="378"/>
      <c r="D60" s="378"/>
      <c r="E60" s="378"/>
      <c r="F60" s="378"/>
      <c r="G60" s="378"/>
      <c r="H60" s="378"/>
      <c r="I60" s="378"/>
      <c r="J60" s="378"/>
      <c r="K60" s="378"/>
      <c r="L60" s="378"/>
    </row>
    <row r="61" spans="1:12" ht="15.6">
      <c r="A61" s="378"/>
      <c r="B61" s="378"/>
      <c r="C61" s="378"/>
      <c r="D61" s="378"/>
      <c r="E61" s="378"/>
      <c r="F61" s="378"/>
      <c r="G61" s="378"/>
      <c r="H61" s="378"/>
      <c r="I61" s="378"/>
      <c r="J61" s="378"/>
      <c r="K61" s="378"/>
      <c r="L61" s="378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7"/>
  <sheetViews>
    <sheetView topLeftCell="A11" workbookViewId="0">
      <selection activeCell="O28" sqref="O28"/>
    </sheetView>
  </sheetViews>
  <sheetFormatPr defaultColWidth="9.109375" defaultRowHeight="13.2"/>
  <cols>
    <col min="1" max="6" width="16.6640625" style="376" customWidth="1"/>
    <col min="7" max="16384" width="9.109375" style="376"/>
  </cols>
  <sheetData>
    <row r="1" spans="1:6" ht="18.899999999999999" customHeight="1">
      <c r="A1" s="388"/>
      <c r="B1" s="389"/>
      <c r="C1" s="389"/>
      <c r="D1" s="389"/>
      <c r="E1" s="389"/>
      <c r="F1" s="390"/>
    </row>
    <row r="2" spans="1:6" ht="26.1" customHeight="1">
      <c r="A2" s="391" t="s">
        <v>267</v>
      </c>
      <c r="B2" s="392"/>
      <c r="C2" s="392"/>
      <c r="D2" s="392"/>
      <c r="E2" s="392"/>
      <c r="F2" s="393"/>
    </row>
    <row r="3" spans="1:6" ht="18.899999999999999" customHeight="1">
      <c r="A3" s="394" t="s">
        <v>519</v>
      </c>
      <c r="B3" s="392"/>
      <c r="C3" s="392"/>
      <c r="D3" s="392"/>
      <c r="E3" s="392"/>
      <c r="F3" s="393"/>
    </row>
    <row r="4" spans="1:6" ht="18.899999999999999" customHeight="1">
      <c r="A4" s="395"/>
      <c r="B4" s="396"/>
      <c r="C4" s="396"/>
      <c r="D4" s="396"/>
      <c r="E4" s="396"/>
      <c r="F4" s="397"/>
    </row>
    <row r="5" spans="1:6" ht="18.899999999999999" customHeight="1">
      <c r="A5" s="395"/>
      <c r="B5" s="396"/>
      <c r="C5" s="396"/>
      <c r="D5" s="396"/>
      <c r="E5" s="396"/>
      <c r="F5" s="397"/>
    </row>
    <row r="6" spans="1:6" ht="18.899999999999999" customHeight="1">
      <c r="A6" s="398" t="s">
        <v>520</v>
      </c>
      <c r="B6" s="643" t="str">
        <f>'Performance Data Sheet'!C17</f>
        <v>GP-10013067</v>
      </c>
      <c r="C6" s="644"/>
      <c r="D6" s="645"/>
      <c r="E6" s="398" t="s">
        <v>521</v>
      </c>
      <c r="F6" s="399" t="str">
        <f>'Performance Data Sheet'!I14</f>
        <v>106/61</v>
      </c>
    </row>
    <row r="7" spans="1:6" ht="18.899999999999999" customHeight="1">
      <c r="A7" s="398" t="s">
        <v>522</v>
      </c>
      <c r="B7" s="399" t="str">
        <f>'Performance Data Sheet'!F14</f>
        <v>TEFC</v>
      </c>
      <c r="C7" s="398" t="s">
        <v>523</v>
      </c>
      <c r="D7" s="399" t="str">
        <f>'Performance Data Sheet'!F13 &amp; " V"</f>
        <v>2300/4000 V</v>
      </c>
      <c r="E7" s="398" t="s">
        <v>524</v>
      </c>
      <c r="F7" s="399" t="str">
        <f>'Performance Data Sheet'!C14</f>
        <v>5011UZ</v>
      </c>
    </row>
    <row r="8" spans="1:6" ht="18.899999999999999" customHeight="1">
      <c r="A8" s="398" t="s">
        <v>525</v>
      </c>
      <c r="B8" s="399">
        <v>6</v>
      </c>
      <c r="C8" s="398" t="s">
        <v>526</v>
      </c>
      <c r="D8" s="399" t="s">
        <v>527</v>
      </c>
      <c r="E8" s="398" t="s">
        <v>528</v>
      </c>
      <c r="F8" s="399" t="str">
        <f>'Performance Data Sheet'!M15</f>
        <v>F</v>
      </c>
    </row>
    <row r="9" spans="1:6" ht="18.899999999999999" customHeight="1">
      <c r="A9" s="398" t="s">
        <v>529</v>
      </c>
      <c r="B9" s="399">
        <f>'Performance Data Sheet'!C13</f>
        <v>400</v>
      </c>
      <c r="C9" s="398" t="s">
        <v>530</v>
      </c>
      <c r="D9" s="399" t="s">
        <v>540</v>
      </c>
      <c r="E9" s="398" t="s">
        <v>2</v>
      </c>
      <c r="F9" s="400">
        <f>'Performance Data Sheet'!K44</f>
        <v>43416</v>
      </c>
    </row>
    <row r="10" spans="1:6" ht="18.899999999999999" customHeight="1">
      <c r="A10" s="398" t="s">
        <v>531</v>
      </c>
      <c r="B10" s="399">
        <f>'Performance Data Sheet'!M14</f>
        <v>1180</v>
      </c>
      <c r="C10" s="398" t="s">
        <v>402</v>
      </c>
      <c r="D10" s="399" t="s">
        <v>598</v>
      </c>
      <c r="E10" s="398" t="s">
        <v>1</v>
      </c>
      <c r="F10" s="399" t="s">
        <v>377</v>
      </c>
    </row>
    <row r="11" spans="1:6" ht="18.899999999999999" customHeight="1">
      <c r="A11" s="395"/>
      <c r="B11" s="396"/>
      <c r="C11" s="396"/>
      <c r="D11" s="396"/>
      <c r="E11" s="396"/>
      <c r="F11" s="397"/>
    </row>
    <row r="12" spans="1:6" ht="18.899999999999999" customHeight="1">
      <c r="A12" s="395"/>
      <c r="B12" s="401" t="s">
        <v>532</v>
      </c>
      <c r="C12" s="402" t="str">
        <f>'Performance Data Sheet'!D22 &amp; " A"</f>
        <v>641/370 A</v>
      </c>
      <c r="D12" s="401" t="s">
        <v>401</v>
      </c>
      <c r="E12" s="402" t="s">
        <v>405</v>
      </c>
      <c r="F12" s="397"/>
    </row>
    <row r="13" spans="1:6" ht="18.899999999999999" customHeight="1">
      <c r="A13" s="395"/>
      <c r="B13" s="401" t="s">
        <v>533</v>
      </c>
      <c r="C13" s="403">
        <f>'Performance Data Sheet'!H23/100</f>
        <v>2.25</v>
      </c>
      <c r="D13" s="401" t="s">
        <v>534</v>
      </c>
      <c r="E13" s="402" t="s">
        <v>541</v>
      </c>
      <c r="F13" s="397"/>
    </row>
    <row r="14" spans="1:6" ht="18.899999999999999" customHeight="1">
      <c r="A14" s="395"/>
      <c r="B14" s="401" t="s">
        <v>535</v>
      </c>
      <c r="C14" s="403">
        <v>2.75</v>
      </c>
      <c r="D14" s="401" t="s">
        <v>403</v>
      </c>
      <c r="E14" s="402" t="s">
        <v>549</v>
      </c>
      <c r="F14" s="397"/>
    </row>
    <row r="15" spans="1:6" ht="18.899999999999999" customHeight="1">
      <c r="A15" s="395"/>
      <c r="B15" s="401" t="s">
        <v>404</v>
      </c>
      <c r="C15" s="402" t="str">
        <f>'Performance Data Sheet'!H22 &amp; " lb-ft"</f>
        <v>1780 lb-ft</v>
      </c>
      <c r="D15" s="396"/>
      <c r="E15" s="396"/>
      <c r="F15" s="397"/>
    </row>
    <row r="16" spans="1:6" ht="18.899999999999999" customHeight="1">
      <c r="A16" s="395"/>
      <c r="B16" s="396"/>
      <c r="C16" s="396"/>
      <c r="D16" s="396"/>
      <c r="E16" s="396"/>
      <c r="F16" s="397"/>
    </row>
    <row r="17" spans="1:6" ht="18.899999999999999" customHeight="1">
      <c r="A17" s="395"/>
      <c r="B17" s="396"/>
      <c r="C17" s="396"/>
      <c r="D17" s="396"/>
      <c r="E17" s="396"/>
      <c r="F17" s="397"/>
    </row>
    <row r="18" spans="1:6" ht="18.899999999999999" customHeight="1">
      <c r="A18" s="395"/>
      <c r="B18" s="396"/>
      <c r="C18" s="396"/>
      <c r="D18" s="396"/>
      <c r="E18" s="396"/>
      <c r="F18" s="397"/>
    </row>
    <row r="19" spans="1:6" ht="18.899999999999999" customHeight="1">
      <c r="A19" s="395"/>
      <c r="B19" s="396"/>
      <c r="C19" s="396"/>
      <c r="D19" s="396"/>
      <c r="E19" s="396"/>
      <c r="F19" s="397"/>
    </row>
    <row r="20" spans="1:6" ht="18.899999999999999" customHeight="1">
      <c r="A20" s="395"/>
      <c r="B20" s="396"/>
      <c r="C20" s="396"/>
      <c r="D20" s="396"/>
      <c r="E20" s="396"/>
      <c r="F20" s="397"/>
    </row>
    <row r="21" spans="1:6" ht="18.899999999999999" customHeight="1">
      <c r="A21" s="395"/>
      <c r="B21" s="396"/>
      <c r="C21" s="396"/>
      <c r="D21" s="396"/>
      <c r="E21" s="396"/>
      <c r="F21" s="397"/>
    </row>
    <row r="22" spans="1:6" ht="18.899999999999999" customHeight="1">
      <c r="A22" s="395"/>
      <c r="B22" s="396"/>
      <c r="C22" s="396"/>
      <c r="D22" s="396"/>
      <c r="E22" s="396"/>
      <c r="F22" s="397"/>
    </row>
    <row r="23" spans="1:6" ht="18.899999999999999" customHeight="1">
      <c r="A23" s="395"/>
      <c r="B23" s="396"/>
      <c r="C23" s="396"/>
      <c r="D23" s="396"/>
      <c r="E23" s="396"/>
      <c r="F23" s="397"/>
    </row>
    <row r="24" spans="1:6" ht="18.899999999999999" customHeight="1">
      <c r="A24" s="395"/>
      <c r="B24" s="396"/>
      <c r="C24" s="396"/>
      <c r="D24" s="396"/>
      <c r="E24" s="396"/>
      <c r="F24" s="397"/>
    </row>
    <row r="25" spans="1:6" ht="18.899999999999999" customHeight="1">
      <c r="A25" s="395"/>
      <c r="B25" s="396"/>
      <c r="C25" s="396"/>
      <c r="D25" s="396"/>
      <c r="E25" s="396"/>
      <c r="F25" s="397"/>
    </row>
    <row r="26" spans="1:6" ht="18.899999999999999" customHeight="1">
      <c r="A26" s="395"/>
      <c r="B26" s="396"/>
      <c r="C26" s="396"/>
      <c r="D26" s="396"/>
      <c r="E26" s="396"/>
      <c r="F26" s="397"/>
    </row>
    <row r="27" spans="1:6" ht="18.899999999999999" customHeight="1">
      <c r="A27" s="395"/>
      <c r="B27" s="396"/>
      <c r="C27" s="396"/>
      <c r="D27" s="396"/>
      <c r="E27" s="396"/>
      <c r="F27" s="397"/>
    </row>
    <row r="28" spans="1:6" ht="18.899999999999999" customHeight="1">
      <c r="A28" s="395"/>
      <c r="B28" s="396"/>
      <c r="C28" s="396"/>
      <c r="D28" s="396"/>
      <c r="E28" s="396"/>
      <c r="F28" s="397"/>
    </row>
    <row r="29" spans="1:6" ht="18.899999999999999" customHeight="1">
      <c r="A29" s="395"/>
      <c r="B29" s="396"/>
      <c r="C29" s="396"/>
      <c r="D29" s="396"/>
      <c r="E29" s="396"/>
      <c r="F29" s="397"/>
    </row>
    <row r="30" spans="1:6" ht="18.899999999999999" customHeight="1">
      <c r="A30" s="395"/>
      <c r="B30" s="396"/>
      <c r="C30" s="396"/>
      <c r="D30" s="396"/>
      <c r="E30" s="396"/>
      <c r="F30" s="397"/>
    </row>
    <row r="31" spans="1:6" ht="18.899999999999999" customHeight="1">
      <c r="A31" s="395"/>
      <c r="B31" s="396"/>
      <c r="C31" s="396"/>
      <c r="D31" s="396"/>
      <c r="E31" s="396"/>
      <c r="F31" s="397"/>
    </row>
    <row r="32" spans="1:6" ht="18.899999999999999" customHeight="1">
      <c r="A32" s="395"/>
      <c r="B32" s="396"/>
      <c r="C32" s="396"/>
      <c r="D32" s="396"/>
      <c r="E32" s="396"/>
      <c r="F32" s="397"/>
    </row>
    <row r="33" spans="1:6" ht="18.899999999999999" customHeight="1">
      <c r="A33" s="395"/>
      <c r="B33" s="396"/>
      <c r="C33" s="396"/>
      <c r="D33" s="396"/>
      <c r="E33" s="396"/>
      <c r="F33" s="397"/>
    </row>
    <row r="34" spans="1:6" ht="18.899999999999999" customHeight="1">
      <c r="A34" s="395"/>
      <c r="B34" s="396"/>
      <c r="C34" s="396"/>
      <c r="D34" s="396"/>
      <c r="E34" s="396"/>
      <c r="F34" s="397"/>
    </row>
    <row r="35" spans="1:6" ht="18.899999999999999" customHeight="1">
      <c r="A35" s="395"/>
      <c r="B35" s="396"/>
      <c r="C35" s="396"/>
      <c r="D35" s="396"/>
      <c r="E35" s="396"/>
      <c r="F35" s="397"/>
    </row>
    <row r="36" spans="1:6" ht="18.899999999999999" customHeight="1">
      <c r="A36" s="395"/>
      <c r="B36" s="396"/>
      <c r="C36" s="396"/>
      <c r="D36" s="396"/>
      <c r="E36" s="396"/>
      <c r="F36" s="397"/>
    </row>
    <row r="37" spans="1:6" ht="18.899999999999999" customHeight="1">
      <c r="A37" s="395"/>
      <c r="B37" s="396"/>
      <c r="C37" s="396"/>
      <c r="D37" s="396"/>
      <c r="E37" s="396"/>
      <c r="F37" s="397"/>
    </row>
    <row r="38" spans="1:6" ht="18.899999999999999" customHeight="1">
      <c r="A38" s="395"/>
      <c r="B38" s="396"/>
      <c r="C38" s="396"/>
      <c r="D38" s="396"/>
      <c r="E38" s="396"/>
      <c r="F38" s="397"/>
    </row>
    <row r="39" spans="1:6" ht="18.899999999999999" customHeight="1">
      <c r="A39" s="404" t="s">
        <v>536</v>
      </c>
      <c r="B39" s="405" t="s">
        <v>368</v>
      </c>
      <c r="C39" s="527" t="str">
        <f>'Performance Data Sheet'!C10</f>
        <v>2111218.1</v>
      </c>
      <c r="D39" s="396"/>
      <c r="E39" s="401" t="s">
        <v>537</v>
      </c>
      <c r="F39" s="406" t="str">
        <f>F10</f>
        <v>RF6400</v>
      </c>
    </row>
    <row r="40" spans="1:6" ht="18.899999999999999" customHeight="1">
      <c r="A40" s="395"/>
      <c r="B40" s="405"/>
      <c r="C40" s="405"/>
      <c r="D40" s="396"/>
      <c r="E40" s="396"/>
      <c r="F40" s="397"/>
    </row>
    <row r="41" spans="1:6" ht="18.899999999999999" customHeight="1">
      <c r="A41" s="395"/>
      <c r="B41" s="405"/>
      <c r="C41" s="405"/>
      <c r="D41" s="396"/>
      <c r="E41" s="396"/>
      <c r="F41" s="397"/>
    </row>
    <row r="42" spans="1:6" ht="18.899999999999999" customHeight="1">
      <c r="A42" s="395"/>
      <c r="B42" s="396"/>
      <c r="C42" s="396"/>
      <c r="D42" s="396"/>
      <c r="E42" s="396"/>
      <c r="F42" s="397"/>
    </row>
    <row r="43" spans="1:6" ht="18.899999999999999" customHeight="1">
      <c r="A43" s="407"/>
      <c r="B43" s="405"/>
      <c r="C43" s="408" t="s">
        <v>538</v>
      </c>
      <c r="D43" s="409" t="str">
        <f>'Performance Data Sheet'!K42</f>
        <v>Zichao Xie</v>
      </c>
      <c r="E43" s="408" t="s">
        <v>539</v>
      </c>
      <c r="F43" s="40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66" t="s">
        <v>400</v>
      </c>
      <c r="E53" s="366"/>
      <c r="F53" s="366"/>
      <c r="G53" s="366"/>
      <c r="H53" s="366"/>
      <c r="I53" s="366"/>
      <c r="J53" s="366"/>
      <c r="K53" s="366"/>
      <c r="L53" s="366"/>
    </row>
    <row r="54" spans="1:12" ht="15" customHeight="1">
      <c r="A54" s="413">
        <v>100</v>
      </c>
      <c r="B54" s="366">
        <v>0</v>
      </c>
      <c r="C54" s="366">
        <v>0.51738888025283813</v>
      </c>
      <c r="D54" s="366">
        <v>100</v>
      </c>
      <c r="E54" s="366"/>
      <c r="F54" s="366"/>
      <c r="G54" s="366"/>
      <c r="H54" s="366"/>
      <c r="I54" s="366"/>
      <c r="J54" s="366"/>
      <c r="K54" s="366"/>
      <c r="L54" s="366"/>
    </row>
    <row r="55" spans="1:12" ht="15" customHeight="1">
      <c r="A55" s="413">
        <v>99.139999970793724</v>
      </c>
      <c r="B55" s="366">
        <v>99.623999280405215</v>
      </c>
      <c r="C55" s="366">
        <v>116.59449005126953</v>
      </c>
      <c r="D55" s="366">
        <v>98.279998779296875</v>
      </c>
      <c r="E55" s="366"/>
      <c r="F55" s="366"/>
      <c r="G55" s="366"/>
      <c r="H55" s="366"/>
      <c r="I55" s="366"/>
      <c r="J55" s="366"/>
      <c r="K55" s="366"/>
      <c r="L55" s="366"/>
    </row>
    <row r="56" spans="1:12" ht="15" customHeight="1">
      <c r="A56" s="413">
        <v>95.69999985396862</v>
      </c>
      <c r="B56" s="366">
        <v>275</v>
      </c>
      <c r="C56" s="366">
        <v>373.54248046875</v>
      </c>
      <c r="D56" s="366">
        <v>88.925003051757813</v>
      </c>
      <c r="E56" s="366"/>
      <c r="F56" s="366"/>
      <c r="G56" s="366"/>
      <c r="H56" s="366"/>
      <c r="I56" s="366"/>
      <c r="J56" s="366"/>
      <c r="K56" s="366"/>
      <c r="L56" s="366"/>
    </row>
    <row r="57" spans="1:12">
      <c r="A57" s="413">
        <v>90.622221678495407</v>
      </c>
      <c r="B57" s="366">
        <v>219.21829593438105</v>
      </c>
      <c r="C57" s="366">
        <v>484.9869384765625</v>
      </c>
      <c r="D57" s="366">
        <v>75.617774963378906</v>
      </c>
      <c r="E57" s="366"/>
      <c r="F57" s="366"/>
      <c r="G57" s="366"/>
      <c r="H57" s="366"/>
      <c r="I57" s="366"/>
      <c r="J57" s="366"/>
      <c r="K57" s="366"/>
      <c r="L57" s="366"/>
    </row>
    <row r="58" spans="1:12">
      <c r="A58" s="413">
        <v>85.544443130493164</v>
      </c>
      <c r="B58" s="366">
        <v>172.47412784355811</v>
      </c>
      <c r="C58" s="366">
        <v>521.98443603515625</v>
      </c>
      <c r="D58" s="366">
        <v>62.415550231933594</v>
      </c>
      <c r="E58" s="366"/>
      <c r="F58" s="366"/>
      <c r="G58" s="366"/>
      <c r="H58" s="366"/>
      <c r="I58" s="366"/>
      <c r="J58" s="366"/>
      <c r="K58" s="366"/>
      <c r="L58" s="366"/>
    </row>
    <row r="59" spans="1:12">
      <c r="A59" s="413">
        <v>80.4666668176651</v>
      </c>
      <c r="B59" s="366">
        <v>150.72315996247772</v>
      </c>
      <c r="C59" s="366">
        <v>538.81573486328125</v>
      </c>
      <c r="D59" s="366">
        <v>51.026668548583984</v>
      </c>
      <c r="E59" s="366"/>
      <c r="F59" s="366"/>
      <c r="G59" s="366"/>
      <c r="H59" s="366"/>
      <c r="I59" s="366"/>
      <c r="J59" s="366"/>
      <c r="K59" s="366"/>
      <c r="L59" s="366"/>
    </row>
    <row r="60" spans="1:12">
      <c r="A60" s="413">
        <v>70.311111211776733</v>
      </c>
      <c r="B60" s="366">
        <v>137.79323806636654</v>
      </c>
      <c r="C60" s="366">
        <v>555.5889892578125</v>
      </c>
      <c r="D60" s="366">
        <v>33.528888702392578</v>
      </c>
      <c r="E60" s="366"/>
      <c r="F60" s="366"/>
      <c r="G60" s="366"/>
      <c r="H60" s="366"/>
      <c r="I60" s="366"/>
      <c r="J60" s="366"/>
      <c r="K60" s="366"/>
      <c r="L60" s="366"/>
    </row>
    <row r="61" spans="1:12">
      <c r="A61" s="413">
        <v>60.155555605888367</v>
      </c>
      <c r="B61" s="366">
        <v>135.01410857654523</v>
      </c>
      <c r="C61" s="366">
        <v>566.30706787109375</v>
      </c>
      <c r="D61" s="366">
        <v>22.171112060546875</v>
      </c>
      <c r="E61" s="366"/>
      <c r="F61" s="366"/>
      <c r="G61" s="366"/>
      <c r="H61" s="366"/>
      <c r="I61" s="366"/>
      <c r="J61" s="366"/>
      <c r="K61" s="366"/>
      <c r="L61" s="366"/>
    </row>
    <row r="62" spans="1:12">
      <c r="A62" s="413">
        <v>50</v>
      </c>
      <c r="B62" s="366">
        <v>135</v>
      </c>
      <c r="C62" s="366">
        <v>574.8345947265625</v>
      </c>
      <c r="D62" s="366">
        <v>14</v>
      </c>
      <c r="E62" s="366"/>
      <c r="F62" s="366"/>
      <c r="G62" s="366"/>
      <c r="H62" s="366"/>
      <c r="I62" s="366"/>
      <c r="J62" s="366"/>
      <c r="K62" s="366"/>
      <c r="L62" s="366"/>
    </row>
    <row r="63" spans="1:12">
      <c r="A63" s="413">
        <v>39.999997615814209</v>
      </c>
      <c r="B63" s="366">
        <v>138.59330015189391</v>
      </c>
      <c r="C63" s="366">
        <v>582.89642333984375</v>
      </c>
      <c r="D63" s="366">
        <v>7.9999995231628418</v>
      </c>
      <c r="E63" s="366"/>
      <c r="F63" s="366"/>
      <c r="G63" s="366"/>
      <c r="H63" s="366"/>
      <c r="I63" s="366"/>
      <c r="J63" s="366"/>
      <c r="K63" s="366"/>
      <c r="L63" s="366"/>
    </row>
    <row r="64" spans="1:12">
      <c r="A64" s="413">
        <v>30.000001192092896</v>
      </c>
      <c r="B64" s="366">
        <v>146.12388025627214</v>
      </c>
      <c r="C64" s="366">
        <v>590.01336669921875</v>
      </c>
      <c r="D64" s="366">
        <v>5.9999995231628418</v>
      </c>
      <c r="E64" s="366"/>
      <c r="F64" s="366"/>
      <c r="G64" s="366"/>
      <c r="H64" s="366"/>
      <c r="I64" s="366"/>
      <c r="J64" s="366"/>
      <c r="K64" s="366"/>
      <c r="L64" s="366"/>
    </row>
    <row r="65" spans="1:12">
      <c r="A65" s="413">
        <v>19.999998807907104</v>
      </c>
      <c r="B65" s="366">
        <v>159.969985635862</v>
      </c>
      <c r="C65" s="366">
        <v>596.15618896484375</v>
      </c>
      <c r="D65" s="366">
        <v>8.0000009536743164</v>
      </c>
      <c r="E65" s="366"/>
      <c r="F65" s="366"/>
      <c r="G65" s="366"/>
      <c r="H65" s="366"/>
      <c r="I65" s="366"/>
      <c r="J65" s="366"/>
      <c r="K65" s="366"/>
      <c r="L65" s="366"/>
    </row>
    <row r="66" spans="1:12">
      <c r="A66" s="413">
        <v>10.000002384185791</v>
      </c>
      <c r="B66" s="366">
        <v>184.15572009368708</v>
      </c>
      <c r="C66" s="366">
        <v>601.70220947265625</v>
      </c>
      <c r="D66" s="366">
        <v>14.999996185302734</v>
      </c>
      <c r="E66" s="366"/>
      <c r="F66" s="366"/>
      <c r="G66" s="366"/>
      <c r="H66" s="366"/>
      <c r="I66" s="366"/>
      <c r="J66" s="366"/>
      <c r="K66" s="366"/>
      <c r="L66" s="366"/>
    </row>
    <row r="67" spans="1:12">
      <c r="A67" s="414">
        <v>0</v>
      </c>
      <c r="B67" s="366">
        <v>225</v>
      </c>
      <c r="C67" s="366">
        <v>606.557373046875</v>
      </c>
      <c r="D67" s="366">
        <v>30</v>
      </c>
      <c r="E67" s="366"/>
      <c r="F67" s="366"/>
      <c r="G67" s="366"/>
      <c r="H67" s="366"/>
      <c r="I67" s="366"/>
      <c r="J67" s="366"/>
      <c r="K67" s="366"/>
      <c r="L67" s="366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syncVertical="1" syncRef="A1" transitionEvaluation="1"/>
  <dimension ref="A1:N120"/>
  <sheetViews>
    <sheetView showGridLines="0" zoomScaleNormal="100" workbookViewId="0">
      <selection activeCell="O28" sqref="O28"/>
    </sheetView>
  </sheetViews>
  <sheetFormatPr defaultColWidth="12.5546875" defaultRowHeight="15.6"/>
  <cols>
    <col min="1" max="13" width="7" style="443" customWidth="1"/>
    <col min="14" max="14" width="7.109375" style="443" customWidth="1"/>
    <col min="15" max="16384" width="12.5546875" style="443"/>
  </cols>
  <sheetData>
    <row r="1" spans="1:14" ht="17.100000000000001" customHeight="1">
      <c r="A1" s="436" t="s">
        <v>267</v>
      </c>
      <c r="B1" s="437"/>
      <c r="C1" s="437"/>
      <c r="D1" s="437"/>
      <c r="E1" s="437"/>
      <c r="F1" s="437"/>
      <c r="G1" s="437"/>
      <c r="H1" s="437"/>
      <c r="I1" s="437"/>
      <c r="J1" s="438" t="s">
        <v>601</v>
      </c>
      <c r="K1" s="439"/>
      <c r="L1" s="440" t="s">
        <v>602</v>
      </c>
      <c r="M1" s="441"/>
      <c r="N1" s="442"/>
    </row>
    <row r="2" spans="1:14" ht="17.100000000000001" customHeight="1">
      <c r="A2" s="444" t="s">
        <v>603</v>
      </c>
      <c r="B2" s="445"/>
      <c r="C2" s="445"/>
      <c r="D2" s="445"/>
      <c r="E2" s="445"/>
      <c r="F2" s="445"/>
      <c r="G2" s="445"/>
      <c r="H2" s="445"/>
      <c r="I2" s="445"/>
      <c r="J2" s="446" t="s">
        <v>604</v>
      </c>
      <c r="K2" s="447"/>
      <c r="L2" s="448" t="s">
        <v>605</v>
      </c>
      <c r="M2" s="449"/>
      <c r="N2" s="442"/>
    </row>
    <row r="3" spans="1:14" ht="15.9" customHeight="1">
      <c r="A3" s="450"/>
      <c r="B3" s="451"/>
      <c r="C3" s="451"/>
      <c r="D3" s="451"/>
      <c r="E3" s="451"/>
      <c r="F3" s="451"/>
      <c r="G3" s="451"/>
      <c r="H3" s="451"/>
      <c r="I3" s="451"/>
      <c r="J3" s="446" t="s">
        <v>606</v>
      </c>
      <c r="K3" s="447"/>
      <c r="L3" s="452" t="s">
        <v>607</v>
      </c>
      <c r="M3" s="449"/>
      <c r="N3" s="442"/>
    </row>
    <row r="4" spans="1:14" ht="15.9" customHeight="1">
      <c r="A4" s="453"/>
      <c r="B4" s="451"/>
      <c r="C4" s="451"/>
      <c r="D4" s="451"/>
      <c r="E4" s="451"/>
      <c r="F4" s="451"/>
      <c r="G4" s="451"/>
      <c r="H4" s="451"/>
      <c r="I4" s="451"/>
      <c r="J4" s="446" t="s">
        <v>608</v>
      </c>
      <c r="K4" s="447"/>
      <c r="L4" s="452" t="s">
        <v>609</v>
      </c>
      <c r="M4" s="449"/>
      <c r="N4" s="442"/>
    </row>
    <row r="5" spans="1:14" ht="15.9" customHeight="1">
      <c r="A5" s="450"/>
      <c r="B5" s="451"/>
      <c r="C5" s="451"/>
      <c r="D5" s="451"/>
      <c r="E5" s="451"/>
      <c r="F5" s="451"/>
      <c r="G5" s="451"/>
      <c r="H5" s="451"/>
      <c r="I5" s="451"/>
      <c r="J5" s="446" t="s">
        <v>610</v>
      </c>
      <c r="K5" s="447"/>
      <c r="L5" s="448">
        <v>2</v>
      </c>
      <c r="M5" s="449"/>
      <c r="N5" s="442"/>
    </row>
    <row r="6" spans="1:14" ht="15.9" customHeight="1">
      <c r="A6" s="454" t="s">
        <v>611</v>
      </c>
      <c r="B6" s="451"/>
      <c r="C6" s="451"/>
      <c r="D6" s="451"/>
      <c r="E6" s="451"/>
      <c r="F6" s="451"/>
      <c r="G6" s="451"/>
      <c r="H6" s="451"/>
      <c r="I6" s="451"/>
      <c r="J6" s="446" t="s">
        <v>612</v>
      </c>
      <c r="K6" s="447"/>
      <c r="L6" s="448" t="s">
        <v>613</v>
      </c>
      <c r="M6" s="449"/>
      <c r="N6" s="442"/>
    </row>
    <row r="7" spans="1:14" ht="15.9" customHeight="1" thickBot="1">
      <c r="A7" s="455" t="s">
        <v>614</v>
      </c>
      <c r="B7" s="456"/>
      <c r="C7" s="456"/>
      <c r="D7" s="456"/>
      <c r="E7" s="456"/>
      <c r="F7" s="456"/>
      <c r="G7" s="456"/>
      <c r="H7" s="456"/>
      <c r="I7" s="456"/>
      <c r="J7" s="457" t="s">
        <v>615</v>
      </c>
      <c r="K7" s="458"/>
      <c r="L7" s="459" t="s">
        <v>616</v>
      </c>
      <c r="M7" s="460"/>
      <c r="N7" s="442"/>
    </row>
    <row r="8" spans="1:14" ht="15.9" customHeight="1">
      <c r="A8" s="461"/>
      <c r="B8" s="451"/>
      <c r="C8" s="451"/>
      <c r="D8" s="451"/>
      <c r="E8" s="451"/>
      <c r="F8" s="451"/>
      <c r="G8" s="451"/>
      <c r="H8" s="451"/>
      <c r="I8" s="451"/>
      <c r="J8" s="451"/>
      <c r="K8" s="462"/>
      <c r="L8" s="463"/>
      <c r="M8" s="464"/>
      <c r="N8" s="451"/>
    </row>
    <row r="9" spans="1:14" ht="12" customHeight="1">
      <c r="A9" s="465"/>
      <c r="B9" s="466" t="s">
        <v>617</v>
      </c>
      <c r="C9" s="467" t="s">
        <v>708</v>
      </c>
      <c r="D9" s="468"/>
      <c r="E9" s="468"/>
      <c r="F9" s="468"/>
      <c r="G9" s="468"/>
      <c r="H9" s="468"/>
      <c r="I9" s="468"/>
      <c r="J9" s="468"/>
      <c r="K9" s="469"/>
      <c r="L9" s="465"/>
      <c r="M9" s="468"/>
      <c r="N9" s="451"/>
    </row>
    <row r="10" spans="1:14" ht="12" customHeight="1">
      <c r="A10" s="465"/>
      <c r="B10" s="466" t="s">
        <v>618</v>
      </c>
      <c r="C10" s="470" t="s">
        <v>709</v>
      </c>
      <c r="D10" s="465"/>
      <c r="E10" s="465"/>
      <c r="F10" s="465"/>
      <c r="G10" s="465"/>
      <c r="H10" s="465"/>
      <c r="I10" s="465"/>
      <c r="J10" s="465"/>
      <c r="K10" s="465"/>
      <c r="L10" s="465"/>
      <c r="M10" s="465"/>
      <c r="N10" s="463"/>
    </row>
    <row r="11" spans="1:14" ht="16.2" thickBot="1">
      <c r="A11" s="463"/>
      <c r="B11" s="463"/>
      <c r="C11" s="463"/>
      <c r="D11" s="463"/>
      <c r="E11" s="463"/>
      <c r="F11" s="463"/>
      <c r="G11" s="463"/>
      <c r="H11" s="463"/>
      <c r="I11" s="463"/>
      <c r="J11" s="463"/>
      <c r="K11" s="463"/>
      <c r="L11" s="463"/>
      <c r="M11" s="463"/>
      <c r="N11" s="463"/>
    </row>
    <row r="12" spans="1:14" ht="20.100000000000001" customHeight="1" thickBot="1">
      <c r="A12" s="471" t="s">
        <v>619</v>
      </c>
      <c r="B12" s="472"/>
      <c r="C12" s="472"/>
      <c r="D12" s="472"/>
      <c r="E12" s="472"/>
      <c r="F12" s="472"/>
      <c r="G12" s="472"/>
      <c r="H12" s="472"/>
      <c r="I12" s="472"/>
      <c r="J12" s="472"/>
      <c r="K12" s="472"/>
      <c r="L12" s="472"/>
      <c r="M12" s="473"/>
      <c r="N12" s="442"/>
    </row>
    <row r="13" spans="1:14" ht="12.9" customHeight="1" thickTop="1">
      <c r="A13" s="474"/>
      <c r="B13" s="466" t="s">
        <v>620</v>
      </c>
      <c r="C13" s="475">
        <v>400</v>
      </c>
      <c r="D13" s="465"/>
      <c r="E13" s="466" t="s">
        <v>621</v>
      </c>
      <c r="F13" s="467" t="s">
        <v>712</v>
      </c>
      <c r="G13" s="465"/>
      <c r="H13" s="466" t="s">
        <v>622</v>
      </c>
      <c r="I13" s="475" t="s">
        <v>707</v>
      </c>
      <c r="J13" s="465"/>
      <c r="K13" s="465"/>
      <c r="L13" s="466" t="s">
        <v>623</v>
      </c>
      <c r="M13" s="476">
        <v>1200</v>
      </c>
      <c r="N13" s="442"/>
    </row>
    <row r="14" spans="1:14" ht="12.9" customHeight="1">
      <c r="A14" s="474"/>
      <c r="B14" s="466" t="s">
        <v>624</v>
      </c>
      <c r="C14" s="475" t="s">
        <v>710</v>
      </c>
      <c r="D14" s="465"/>
      <c r="E14" s="466" t="s">
        <v>625</v>
      </c>
      <c r="F14" s="477" t="s">
        <v>666</v>
      </c>
      <c r="G14" s="465"/>
      <c r="H14" s="466" t="s">
        <v>626</v>
      </c>
      <c r="I14" s="475" t="s">
        <v>713</v>
      </c>
      <c r="J14" s="465"/>
      <c r="K14" s="465"/>
      <c r="L14" s="466" t="s">
        <v>531</v>
      </c>
      <c r="M14" s="476">
        <v>1180</v>
      </c>
      <c r="N14" s="442"/>
    </row>
    <row r="15" spans="1:14" ht="12.9" customHeight="1">
      <c r="A15" s="474"/>
      <c r="B15" s="466" t="s">
        <v>627</v>
      </c>
      <c r="C15" s="475" t="s">
        <v>711</v>
      </c>
      <c r="D15" s="465"/>
      <c r="E15" s="466" t="s">
        <v>628</v>
      </c>
      <c r="F15" s="478" t="s">
        <v>714</v>
      </c>
      <c r="G15" s="465"/>
      <c r="H15" s="466" t="s">
        <v>629</v>
      </c>
      <c r="I15" s="477" t="s">
        <v>175</v>
      </c>
      <c r="J15" s="465"/>
      <c r="K15" s="465"/>
      <c r="L15" s="466" t="s">
        <v>630</v>
      </c>
      <c r="M15" s="476" t="s">
        <v>361</v>
      </c>
      <c r="N15" s="442"/>
    </row>
    <row r="16" spans="1:14" ht="12.9" customHeight="1">
      <c r="A16" s="474"/>
      <c r="B16" s="466" t="s">
        <v>631</v>
      </c>
      <c r="C16" s="475" t="s">
        <v>706</v>
      </c>
      <c r="D16" s="465"/>
      <c r="E16" s="466" t="s">
        <v>632</v>
      </c>
      <c r="F16" s="475" t="s">
        <v>441</v>
      </c>
      <c r="G16" s="465"/>
      <c r="H16" s="479" t="s">
        <v>633</v>
      </c>
      <c r="I16" s="480" t="s">
        <v>358</v>
      </c>
      <c r="J16" s="465"/>
      <c r="K16" s="465"/>
      <c r="L16" s="466" t="s">
        <v>634</v>
      </c>
      <c r="M16" s="476" t="s">
        <v>635</v>
      </c>
      <c r="N16" s="442"/>
    </row>
    <row r="17" spans="1:14" ht="12.9" customHeight="1">
      <c r="A17" s="474"/>
      <c r="B17" s="466" t="s">
        <v>636</v>
      </c>
      <c r="C17" s="467" t="s">
        <v>715</v>
      </c>
      <c r="D17" s="465"/>
      <c r="E17" s="466"/>
      <c r="F17" s="477"/>
      <c r="G17" s="465"/>
      <c r="H17" s="466" t="s">
        <v>637</v>
      </c>
      <c r="I17" s="480" t="s">
        <v>175</v>
      </c>
      <c r="J17" s="465"/>
      <c r="K17" s="465"/>
      <c r="L17" s="466"/>
      <c r="M17" s="481"/>
      <c r="N17" s="442"/>
    </row>
    <row r="18" spans="1:14" ht="12.9" customHeight="1" thickBot="1">
      <c r="A18" s="482"/>
      <c r="B18" s="483" t="s">
        <v>638</v>
      </c>
      <c r="C18" s="484" t="s">
        <v>175</v>
      </c>
      <c r="D18" s="485"/>
      <c r="E18" s="483" t="s">
        <v>639</v>
      </c>
      <c r="F18" s="484" t="s">
        <v>175</v>
      </c>
      <c r="G18" s="486"/>
      <c r="H18" s="483" t="s">
        <v>640</v>
      </c>
      <c r="I18" s="484" t="s">
        <v>175</v>
      </c>
      <c r="J18" s="485"/>
      <c r="K18" s="485"/>
      <c r="L18" s="485"/>
      <c r="M18" s="487"/>
      <c r="N18" s="442"/>
    </row>
    <row r="19" spans="1:14" ht="16.2" thickBot="1">
      <c r="A19" s="442"/>
      <c r="B19" s="442"/>
      <c r="C19" s="442"/>
      <c r="D19" s="442"/>
      <c r="E19" s="442"/>
      <c r="F19" s="442"/>
      <c r="G19" s="442"/>
      <c r="H19" s="442"/>
      <c r="I19" s="442"/>
      <c r="J19" s="442"/>
      <c r="K19" s="442"/>
      <c r="L19" s="442"/>
      <c r="M19" s="442"/>
      <c r="N19" s="442"/>
    </row>
    <row r="20" spans="1:14" ht="20.100000000000001" customHeight="1" thickBot="1">
      <c r="A20" s="471"/>
      <c r="B20" s="472"/>
      <c r="C20" s="472"/>
      <c r="D20" s="472"/>
      <c r="E20" s="472"/>
      <c r="F20" s="472"/>
      <c r="G20" s="472"/>
      <c r="H20" s="472"/>
      <c r="I20" s="472"/>
      <c r="J20" s="472"/>
      <c r="K20" s="472"/>
      <c r="L20" s="472"/>
      <c r="M20" s="473"/>
    </row>
    <row r="21" spans="1:14" ht="15.9" customHeight="1" thickTop="1">
      <c r="A21" s="488" t="s">
        <v>641</v>
      </c>
      <c r="B21" s="489"/>
      <c r="C21" s="463"/>
      <c r="D21" s="490"/>
      <c r="E21" s="491" t="s">
        <v>642</v>
      </c>
      <c r="F21" s="492"/>
      <c r="G21" s="492"/>
      <c r="H21" s="493"/>
      <c r="I21" s="494" t="s">
        <v>643</v>
      </c>
      <c r="J21" s="492"/>
      <c r="K21" s="492"/>
      <c r="L21" s="463"/>
      <c r="M21" s="495"/>
    </row>
    <row r="22" spans="1:14" ht="15.9" customHeight="1">
      <c r="A22" s="496"/>
      <c r="B22" s="465"/>
      <c r="C22" s="466" t="s">
        <v>644</v>
      </c>
      <c r="D22" s="497" t="s">
        <v>716</v>
      </c>
      <c r="E22" s="466"/>
      <c r="G22" s="479" t="s">
        <v>645</v>
      </c>
      <c r="H22" s="498">
        <v>1780</v>
      </c>
      <c r="I22" s="466"/>
      <c r="J22" s="465"/>
      <c r="K22" s="466" t="s">
        <v>646</v>
      </c>
      <c r="L22" s="465" t="s">
        <v>647</v>
      </c>
      <c r="M22" s="481"/>
    </row>
    <row r="23" spans="1:14" ht="15.9" customHeight="1">
      <c r="A23" s="496"/>
      <c r="B23" s="466"/>
      <c r="C23" s="469"/>
      <c r="D23" s="499"/>
      <c r="E23" s="466"/>
      <c r="G23" s="466" t="s">
        <v>648</v>
      </c>
      <c r="H23" s="497">
        <v>225</v>
      </c>
      <c r="I23" s="465"/>
      <c r="J23" s="465"/>
      <c r="K23" s="466" t="s">
        <v>649</v>
      </c>
      <c r="L23" s="465" t="s">
        <v>647</v>
      </c>
      <c r="M23" s="481"/>
    </row>
    <row r="24" spans="1:14" ht="15.9" customHeight="1">
      <c r="A24" s="474"/>
      <c r="B24" s="466"/>
      <c r="C24" s="465"/>
      <c r="D24" s="499"/>
      <c r="E24" s="466"/>
      <c r="G24" s="479" t="s">
        <v>650</v>
      </c>
      <c r="H24" s="497">
        <v>275</v>
      </c>
      <c r="I24" s="465"/>
      <c r="J24" s="466"/>
      <c r="K24" s="465"/>
      <c r="L24" s="465"/>
      <c r="M24" s="481"/>
    </row>
    <row r="25" spans="1:14" ht="15.9" customHeight="1" thickBot="1">
      <c r="A25" s="482"/>
      <c r="B25" s="483"/>
      <c r="C25" s="485"/>
      <c r="D25" s="500"/>
      <c r="E25" s="483"/>
      <c r="F25" s="483"/>
      <c r="G25" s="483"/>
      <c r="H25" s="501"/>
      <c r="I25" s="485"/>
      <c r="J25" s="483"/>
      <c r="K25" s="485"/>
      <c r="L25" s="485"/>
      <c r="M25" s="487"/>
    </row>
    <row r="26" spans="1:14" ht="18.899999999999999" customHeight="1" thickBot="1">
      <c r="A26" s="461"/>
      <c r="B26" s="461"/>
      <c r="C26" s="461"/>
      <c r="D26" s="442"/>
      <c r="E26" s="442"/>
      <c r="F26" s="442"/>
      <c r="G26" s="442"/>
      <c r="H26" s="442"/>
      <c r="I26" s="442"/>
      <c r="J26" s="442"/>
      <c r="K26" s="442"/>
      <c r="L26" s="442"/>
      <c r="M26" s="442"/>
      <c r="N26" s="442"/>
    </row>
    <row r="27" spans="1:14" ht="20.100000000000001" customHeight="1" thickBot="1">
      <c r="A27" s="502"/>
      <c r="B27" s="503"/>
      <c r="C27" s="503"/>
      <c r="D27" s="503"/>
      <c r="E27" s="503"/>
      <c r="F27" s="503"/>
      <c r="G27" s="504"/>
      <c r="H27" s="503"/>
      <c r="I27" s="503"/>
      <c r="J27" s="503"/>
      <c r="K27" s="503"/>
      <c r="L27" s="503"/>
      <c r="M27" s="505"/>
    </row>
    <row r="28" spans="1:14" ht="15.9" customHeight="1" thickTop="1">
      <c r="A28" s="506" t="s">
        <v>651</v>
      </c>
      <c r="B28" s="489"/>
      <c r="C28" s="463"/>
      <c r="D28" s="463"/>
      <c r="E28" s="492"/>
      <c r="F28" s="492"/>
      <c r="G28" s="507"/>
      <c r="H28" s="491" t="s">
        <v>652</v>
      </c>
      <c r="I28" s="492"/>
      <c r="J28" s="492"/>
      <c r="K28" s="491"/>
      <c r="L28" s="492"/>
      <c r="M28" s="495"/>
    </row>
    <row r="29" spans="1:14" ht="15.9" customHeight="1">
      <c r="A29" s="474"/>
      <c r="B29" s="466"/>
      <c r="C29" s="466" t="s">
        <v>653</v>
      </c>
      <c r="D29" s="508">
        <v>94.8</v>
      </c>
      <c r="E29" s="466"/>
      <c r="F29" s="466"/>
      <c r="G29" s="507"/>
      <c r="H29" s="479"/>
      <c r="I29" s="466"/>
      <c r="J29" s="466" t="s">
        <v>653</v>
      </c>
      <c r="K29" s="508">
        <v>74.2</v>
      </c>
      <c r="L29" s="465"/>
      <c r="M29" s="481"/>
    </row>
    <row r="30" spans="1:14" ht="15.9" customHeight="1">
      <c r="A30" s="509"/>
      <c r="B30" s="465"/>
      <c r="C30" s="466" t="s">
        <v>654</v>
      </c>
      <c r="D30" s="508">
        <v>94.2</v>
      </c>
      <c r="E30" s="466"/>
      <c r="F30" s="466"/>
      <c r="G30" s="507"/>
      <c r="H30" s="466"/>
      <c r="I30" s="465"/>
      <c r="J30" s="466" t="s">
        <v>654</v>
      </c>
      <c r="K30" s="508">
        <v>67.3</v>
      </c>
      <c r="L30" s="465"/>
      <c r="M30" s="481"/>
    </row>
    <row r="31" spans="1:14" ht="15.9" customHeight="1">
      <c r="A31" s="474"/>
      <c r="B31" s="466"/>
      <c r="C31" s="466" t="s">
        <v>655</v>
      </c>
      <c r="D31" s="508">
        <v>92.5</v>
      </c>
      <c r="E31" s="466"/>
      <c r="F31" s="466"/>
      <c r="G31" s="507"/>
      <c r="H31" s="466"/>
      <c r="I31" s="465"/>
      <c r="J31" s="466" t="s">
        <v>655</v>
      </c>
      <c r="K31" s="508">
        <v>54.9</v>
      </c>
      <c r="L31" s="466"/>
      <c r="M31" s="481"/>
    </row>
    <row r="32" spans="1:14" ht="15.9" customHeight="1" thickBot="1">
      <c r="A32" s="482"/>
      <c r="B32" s="483"/>
      <c r="C32" s="485"/>
      <c r="D32" s="485"/>
      <c r="E32" s="483"/>
      <c r="F32" s="483"/>
      <c r="G32" s="510"/>
      <c r="H32" s="483"/>
      <c r="I32" s="485"/>
      <c r="J32" s="483"/>
      <c r="K32" s="485"/>
      <c r="L32" s="483"/>
      <c r="M32" s="487"/>
    </row>
    <row r="33" spans="1:14" ht="20.100000000000001" customHeight="1" thickBot="1">
      <c r="A33" s="511"/>
      <c r="B33" s="511"/>
      <c r="C33" s="511"/>
      <c r="D33" s="511"/>
      <c r="E33" s="511"/>
      <c r="F33" s="511"/>
      <c r="G33" s="511"/>
      <c r="H33" s="511"/>
      <c r="I33" s="511"/>
      <c r="J33" s="511"/>
      <c r="K33" s="511"/>
      <c r="L33" s="511"/>
      <c r="M33" s="511"/>
      <c r="N33" s="511"/>
    </row>
    <row r="34" spans="1:14" ht="20.100000000000001" customHeight="1" thickBot="1">
      <c r="A34" s="512"/>
      <c r="B34" s="513"/>
      <c r="C34" s="513"/>
      <c r="D34" s="513"/>
      <c r="E34" s="513"/>
      <c r="F34" s="513"/>
      <c r="G34" s="513"/>
      <c r="H34" s="513"/>
      <c r="I34" s="513"/>
      <c r="J34" s="513"/>
      <c r="K34" s="513"/>
      <c r="L34" s="513"/>
      <c r="M34" s="514"/>
    </row>
    <row r="35" spans="1:14" ht="15.9" customHeight="1" thickTop="1">
      <c r="A35" s="515" t="s">
        <v>656</v>
      </c>
      <c r="B35" s="469"/>
      <c r="C35" s="469"/>
      <c r="D35" s="469"/>
      <c r="E35" s="469"/>
      <c r="F35" s="469"/>
      <c r="G35" s="469"/>
      <c r="H35" s="469"/>
      <c r="I35" s="469"/>
      <c r="J35" s="469"/>
      <c r="K35" s="469"/>
      <c r="L35" s="469"/>
      <c r="M35" s="516"/>
    </row>
    <row r="36" spans="1:14" ht="15.9" customHeight="1">
      <c r="A36" s="509" t="s">
        <v>657</v>
      </c>
      <c r="B36" s="469"/>
      <c r="C36" s="469"/>
      <c r="D36" s="469"/>
      <c r="E36" s="469"/>
      <c r="F36" s="469"/>
      <c r="G36" s="469"/>
      <c r="H36" s="469"/>
      <c r="I36" s="469"/>
      <c r="J36" s="469"/>
      <c r="K36" s="469"/>
      <c r="L36" s="469"/>
      <c r="M36" s="516"/>
    </row>
    <row r="37" spans="1:14" ht="15.9" customHeight="1">
      <c r="A37" s="517" t="s">
        <v>658</v>
      </c>
      <c r="B37" s="469"/>
      <c r="C37" s="469"/>
      <c r="D37" s="469"/>
      <c r="E37" s="518"/>
      <c r="F37" s="469"/>
      <c r="G37" s="469"/>
      <c r="H37" s="469"/>
      <c r="I37" s="469"/>
      <c r="J37" s="469"/>
      <c r="K37" s="469"/>
      <c r="L37" s="469"/>
      <c r="M37" s="516"/>
    </row>
    <row r="38" spans="1:14" ht="15.9" customHeight="1">
      <c r="A38" s="519" t="s">
        <v>659</v>
      </c>
      <c r="B38" s="469"/>
      <c r="C38" s="469"/>
      <c r="D38" s="469"/>
      <c r="E38" s="469"/>
      <c r="F38" s="469"/>
      <c r="G38" s="469"/>
      <c r="H38" s="469"/>
      <c r="I38" s="469"/>
      <c r="J38" s="469"/>
      <c r="K38" s="469"/>
      <c r="L38" s="469"/>
      <c r="M38" s="516"/>
    </row>
    <row r="39" spans="1:14" ht="15.9" customHeight="1">
      <c r="A39" s="520" t="s">
        <v>660</v>
      </c>
      <c r="B39" s="469"/>
      <c r="C39" s="469"/>
      <c r="D39" s="469"/>
      <c r="E39" s="469"/>
      <c r="F39" s="469"/>
      <c r="G39" s="469"/>
      <c r="H39" s="469"/>
      <c r="I39" s="469"/>
      <c r="J39" s="469"/>
      <c r="K39" s="469"/>
      <c r="L39" s="469"/>
      <c r="M39" s="516"/>
    </row>
    <row r="40" spans="1:14" ht="15.9" customHeight="1" thickBot="1">
      <c r="A40" s="521" t="s">
        <v>661</v>
      </c>
      <c r="B40" s="522"/>
      <c r="C40" s="522"/>
      <c r="D40" s="522"/>
      <c r="E40" s="522"/>
      <c r="F40" s="522"/>
      <c r="G40" s="522"/>
      <c r="H40" s="522"/>
      <c r="I40" s="522"/>
      <c r="J40" s="522"/>
      <c r="K40" s="522"/>
      <c r="L40" s="522"/>
      <c r="M40" s="523"/>
    </row>
    <row r="41" spans="1:14" ht="15.9" customHeight="1"/>
    <row r="42" spans="1:14" ht="18.600000000000001">
      <c r="A42" s="524"/>
      <c r="B42" s="524"/>
      <c r="C42" s="524"/>
      <c r="D42" s="524"/>
      <c r="E42" s="524"/>
      <c r="F42" s="524"/>
      <c r="G42" s="524"/>
      <c r="H42" s="442"/>
      <c r="I42" s="442"/>
      <c r="J42" s="525" t="s">
        <v>662</v>
      </c>
      <c r="K42" s="646" t="s">
        <v>663</v>
      </c>
      <c r="L42" s="646"/>
      <c r="M42" s="646"/>
      <c r="N42" s="524"/>
    </row>
    <row r="43" spans="1:14" ht="7.5" customHeight="1">
      <c r="H43" s="442"/>
      <c r="I43" s="442"/>
      <c r="J43" s="442"/>
      <c r="K43" s="442"/>
      <c r="L43" s="442"/>
      <c r="M43" s="442"/>
    </row>
    <row r="44" spans="1:14" ht="16.8">
      <c r="H44" s="442"/>
      <c r="I44" s="442"/>
      <c r="J44" s="525" t="s">
        <v>664</v>
      </c>
      <c r="K44" s="647">
        <v>43416</v>
      </c>
      <c r="L44" s="647"/>
      <c r="M44" s="647"/>
    </row>
    <row r="59" spans="1:5">
      <c r="A59" s="443" t="s">
        <v>175</v>
      </c>
      <c r="B59" s="443" t="s">
        <v>665</v>
      </c>
      <c r="D59" s="443">
        <v>1</v>
      </c>
      <c r="E59" s="526" t="s">
        <v>175</v>
      </c>
    </row>
    <row r="60" spans="1:5">
      <c r="A60" s="443" t="s">
        <v>666</v>
      </c>
      <c r="B60" s="443" t="s">
        <v>667</v>
      </c>
      <c r="D60" s="443">
        <v>1.1499999999999999</v>
      </c>
      <c r="E60" s="526" t="s">
        <v>184</v>
      </c>
    </row>
    <row r="61" spans="1:5">
      <c r="A61" s="443" t="s">
        <v>668</v>
      </c>
      <c r="B61" s="443" t="s">
        <v>669</v>
      </c>
      <c r="E61" s="526" t="s">
        <v>318</v>
      </c>
    </row>
    <row r="62" spans="1:5">
      <c r="B62" s="443" t="s">
        <v>670</v>
      </c>
    </row>
    <row r="63" spans="1:5">
      <c r="B63" s="443" t="s">
        <v>671</v>
      </c>
    </row>
    <row r="64" spans="1:5">
      <c r="B64" s="443" t="s">
        <v>672</v>
      </c>
    </row>
    <row r="65" spans="2:2">
      <c r="B65" s="443" t="s">
        <v>673</v>
      </c>
    </row>
    <row r="66" spans="2:2">
      <c r="B66" s="443" t="s">
        <v>674</v>
      </c>
    </row>
    <row r="67" spans="2:2">
      <c r="B67" s="443" t="s">
        <v>675</v>
      </c>
    </row>
    <row r="68" spans="2:2">
      <c r="B68" s="443" t="s">
        <v>676</v>
      </c>
    </row>
    <row r="69" spans="2:2">
      <c r="B69" s="443" t="s">
        <v>677</v>
      </c>
    </row>
    <row r="70" spans="2:2">
      <c r="B70" s="443" t="s">
        <v>678</v>
      </c>
    </row>
    <row r="71" spans="2:2">
      <c r="B71" s="443" t="s">
        <v>679</v>
      </c>
    </row>
    <row r="72" spans="2:2">
      <c r="B72" s="443" t="s">
        <v>680</v>
      </c>
    </row>
    <row r="73" spans="2:2">
      <c r="B73" s="443" t="s">
        <v>681</v>
      </c>
    </row>
    <row r="74" spans="2:2">
      <c r="B74" s="443" t="s">
        <v>682</v>
      </c>
    </row>
    <row r="75" spans="2:2">
      <c r="B75" s="443" t="s">
        <v>683</v>
      </c>
    </row>
    <row r="76" spans="2:2">
      <c r="B76" s="443" t="s">
        <v>684</v>
      </c>
    </row>
    <row r="77" spans="2:2">
      <c r="B77" s="443" t="s">
        <v>685</v>
      </c>
    </row>
    <row r="78" spans="2:2">
      <c r="B78" s="443" t="s">
        <v>686</v>
      </c>
    </row>
    <row r="79" spans="2:2">
      <c r="B79" s="443" t="s">
        <v>687</v>
      </c>
    </row>
    <row r="80" spans="2:2">
      <c r="B80" s="443">
        <v>6312</v>
      </c>
    </row>
    <row r="81" spans="2:2">
      <c r="B81" s="443" t="s">
        <v>688</v>
      </c>
    </row>
    <row r="82" spans="2:2">
      <c r="B82" s="443" t="s">
        <v>689</v>
      </c>
    </row>
    <row r="83" spans="2:2">
      <c r="B83" s="443" t="s">
        <v>690</v>
      </c>
    </row>
    <row r="84" spans="2:2">
      <c r="B84" s="443" t="s">
        <v>691</v>
      </c>
    </row>
    <row r="85" spans="2:2">
      <c r="B85" s="443">
        <v>6313</v>
      </c>
    </row>
    <row r="86" spans="2:2">
      <c r="B86" s="443" t="s">
        <v>692</v>
      </c>
    </row>
    <row r="87" spans="2:2">
      <c r="B87" s="443" t="s">
        <v>693</v>
      </c>
    </row>
    <row r="88" spans="2:2">
      <c r="B88" s="443" t="s">
        <v>694</v>
      </c>
    </row>
    <row r="89" spans="2:2">
      <c r="B89" s="443">
        <v>6314</v>
      </c>
    </row>
    <row r="90" spans="2:2">
      <c r="B90" s="443" t="s">
        <v>695</v>
      </c>
    </row>
    <row r="91" spans="2:2">
      <c r="B91" s="443">
        <v>6317</v>
      </c>
    </row>
    <row r="92" spans="2:2">
      <c r="B92" s="443" t="s">
        <v>696</v>
      </c>
    </row>
    <row r="93" spans="2:2">
      <c r="B93" s="443">
        <v>6318</v>
      </c>
    </row>
    <row r="94" spans="2:2">
      <c r="B94" s="443" t="s">
        <v>697</v>
      </c>
    </row>
    <row r="95" spans="2:2">
      <c r="B95" s="443" t="s">
        <v>698</v>
      </c>
    </row>
    <row r="96" spans="2:2">
      <c r="B96" s="443" t="s">
        <v>699</v>
      </c>
    </row>
    <row r="97" spans="2:2">
      <c r="B97" s="443">
        <v>6320</v>
      </c>
    </row>
    <row r="98" spans="2:2">
      <c r="B98" s="443" t="s">
        <v>700</v>
      </c>
    </row>
    <row r="99" spans="2:2">
      <c r="B99" s="443" t="s">
        <v>701</v>
      </c>
    </row>
    <row r="100" spans="2:2">
      <c r="B100" s="443" t="s">
        <v>702</v>
      </c>
    </row>
    <row r="101" spans="2:2">
      <c r="B101" s="443" t="s">
        <v>703</v>
      </c>
    </row>
    <row r="102" spans="2:2">
      <c r="B102" s="443" t="s">
        <v>703</v>
      </c>
    </row>
    <row r="118" spans="2:2">
      <c r="B118" s="443" t="s">
        <v>704</v>
      </c>
    </row>
    <row r="120" spans="2:2">
      <c r="B120" s="443" t="s">
        <v>705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workbookViewId="0">
      <selection activeCell="O28" sqref="O28"/>
    </sheetView>
  </sheetViews>
  <sheetFormatPr defaultColWidth="9.109375" defaultRowHeight="13.2"/>
  <cols>
    <col min="1" max="6" width="16.6640625" style="376" customWidth="1"/>
    <col min="7" max="16384" width="9.109375" style="376"/>
  </cols>
  <sheetData>
    <row r="1" spans="1:6" ht="18.899999999999999" customHeight="1">
      <c r="A1" s="388"/>
      <c r="B1" s="389"/>
      <c r="C1" s="389"/>
      <c r="D1" s="389"/>
      <c r="E1" s="389"/>
      <c r="F1" s="390"/>
    </row>
    <row r="2" spans="1:6" ht="26.1" customHeight="1">
      <c r="A2" s="391" t="s">
        <v>267</v>
      </c>
      <c r="B2" s="392"/>
      <c r="C2" s="392"/>
      <c r="D2" s="392"/>
      <c r="E2" s="392"/>
      <c r="F2" s="393"/>
    </row>
    <row r="3" spans="1:6" ht="18.899999999999999" customHeight="1">
      <c r="A3" s="648" t="s">
        <v>542</v>
      </c>
      <c r="B3" s="649"/>
      <c r="C3" s="649"/>
      <c r="D3" s="649"/>
      <c r="E3" s="649"/>
      <c r="F3" s="650"/>
    </row>
    <row r="4" spans="1:6" ht="18.899999999999999" customHeight="1">
      <c r="A4" s="651" t="s">
        <v>543</v>
      </c>
      <c r="B4" s="652"/>
      <c r="C4" s="652"/>
      <c r="D4" s="652"/>
      <c r="E4" s="652"/>
      <c r="F4" s="653"/>
    </row>
    <row r="5" spans="1:6" ht="18.899999999999999" customHeight="1">
      <c r="A5" s="395"/>
      <c r="B5" s="396"/>
      <c r="C5" s="396"/>
      <c r="D5" s="396"/>
      <c r="E5" s="396"/>
      <c r="F5" s="397"/>
    </row>
    <row r="6" spans="1:6" ht="18.899999999999999" customHeight="1">
      <c r="A6" s="398" t="s">
        <v>520</v>
      </c>
      <c r="B6" s="643" t="str">
        <f>'Performance Data Sheet'!C17</f>
        <v>GP-10013067</v>
      </c>
      <c r="C6" s="644"/>
      <c r="D6" s="645"/>
      <c r="E6" s="398" t="s">
        <v>521</v>
      </c>
      <c r="F6" s="399" t="str">
        <f>'Performance Data Sheet'!I14</f>
        <v>106/61</v>
      </c>
    </row>
    <row r="7" spans="1:6" ht="18.899999999999999" customHeight="1">
      <c r="A7" s="398" t="s">
        <v>522</v>
      </c>
      <c r="B7" s="399" t="str">
        <f>'Performance Data Sheet'!F14</f>
        <v>TEFC</v>
      </c>
      <c r="C7" s="398" t="s">
        <v>523</v>
      </c>
      <c r="D7" s="399" t="str">
        <f>'Performance Data Sheet'!F13 &amp; " V"</f>
        <v>2300/4000 V</v>
      </c>
      <c r="E7" s="398" t="s">
        <v>524</v>
      </c>
      <c r="F7" s="399" t="str">
        <f>'Performance Data Sheet'!C14</f>
        <v>5011UZ</v>
      </c>
    </row>
    <row r="8" spans="1:6" ht="18.899999999999999" customHeight="1">
      <c r="A8" s="398" t="s">
        <v>525</v>
      </c>
      <c r="B8" s="399">
        <v>6</v>
      </c>
      <c r="C8" s="398" t="s">
        <v>526</v>
      </c>
      <c r="D8" s="399" t="s">
        <v>527</v>
      </c>
      <c r="E8" s="398" t="s">
        <v>528</v>
      </c>
      <c r="F8" s="399" t="str">
        <f>'Performance Data Sheet'!M15</f>
        <v>F</v>
      </c>
    </row>
    <row r="9" spans="1:6" ht="18.899999999999999" customHeight="1">
      <c r="A9" s="398" t="s">
        <v>529</v>
      </c>
      <c r="B9" s="399">
        <f>'Performance Data Sheet'!C13</f>
        <v>400</v>
      </c>
      <c r="C9" s="398" t="s">
        <v>530</v>
      </c>
      <c r="D9" s="399" t="s">
        <v>540</v>
      </c>
      <c r="E9" s="398" t="s">
        <v>2</v>
      </c>
      <c r="F9" s="400">
        <f>'Performance Data Sheet'!K44</f>
        <v>43416</v>
      </c>
    </row>
    <row r="10" spans="1:6" ht="18.899999999999999" customHeight="1">
      <c r="A10" s="398" t="s">
        <v>531</v>
      </c>
      <c r="B10" s="399">
        <f>'Performance Data Sheet'!M14</f>
        <v>1180</v>
      </c>
      <c r="C10" s="398" t="s">
        <v>402</v>
      </c>
      <c r="D10" s="399" t="s">
        <v>598</v>
      </c>
      <c r="E10" s="398" t="s">
        <v>1</v>
      </c>
      <c r="F10" s="399" t="s">
        <v>377</v>
      </c>
    </row>
    <row r="11" spans="1:6" ht="18.899999999999999" customHeight="1">
      <c r="A11" s="395"/>
      <c r="B11" s="396"/>
      <c r="C11" s="396"/>
      <c r="D11" s="396"/>
      <c r="E11" s="396"/>
      <c r="F11" s="397"/>
    </row>
    <row r="12" spans="1:6" ht="18.899999999999999" customHeight="1">
      <c r="A12" s="395"/>
      <c r="B12" s="401"/>
      <c r="C12" s="402" t="str">
        <f>'Performance Data Sheet'!D22 &amp; " A"</f>
        <v>641/370 A</v>
      </c>
      <c r="D12" s="401"/>
      <c r="E12" s="402"/>
      <c r="F12" s="397"/>
    </row>
    <row r="13" spans="1:6" ht="18.899999999999999" customHeight="1">
      <c r="A13" s="395"/>
      <c r="B13" s="401"/>
      <c r="C13" s="403">
        <f>'Performance Data Sheet'!H23/100</f>
        <v>2.25</v>
      </c>
      <c r="D13" s="401"/>
      <c r="E13" s="402"/>
      <c r="F13" s="397"/>
    </row>
    <row r="14" spans="1:6" ht="18.899999999999999" customHeight="1">
      <c r="A14" s="395"/>
      <c r="B14" s="401"/>
      <c r="C14" s="403"/>
      <c r="D14" s="401"/>
      <c r="E14" s="402"/>
      <c r="F14" s="397"/>
    </row>
    <row r="15" spans="1:6" ht="18.899999999999999" customHeight="1">
      <c r="A15" s="395"/>
      <c r="B15" s="401"/>
      <c r="C15" s="402" t="str">
        <f>'Performance Data Sheet'!H22 &amp; " lb-ft"</f>
        <v>1780 lb-ft</v>
      </c>
      <c r="D15" s="396"/>
      <c r="E15" s="396"/>
      <c r="F15" s="397"/>
    </row>
    <row r="16" spans="1:6" ht="18.899999999999999" customHeight="1">
      <c r="A16" s="395"/>
      <c r="B16" s="396"/>
      <c r="C16" s="396"/>
      <c r="D16" s="396"/>
      <c r="E16" s="396"/>
      <c r="F16" s="397"/>
    </row>
    <row r="17" spans="1:6" ht="18.899999999999999" customHeight="1">
      <c r="A17" s="395"/>
      <c r="B17" s="396"/>
      <c r="C17" s="396"/>
      <c r="D17" s="396"/>
      <c r="E17" s="396"/>
      <c r="F17" s="397"/>
    </row>
    <row r="18" spans="1:6" ht="18.899999999999999" customHeight="1">
      <c r="A18" s="395"/>
      <c r="B18" s="396"/>
      <c r="C18" s="396"/>
      <c r="D18" s="396"/>
      <c r="E18" s="396"/>
      <c r="F18" s="397"/>
    </row>
    <row r="19" spans="1:6" ht="18.899999999999999" customHeight="1">
      <c r="A19" s="395"/>
      <c r="B19" s="396"/>
      <c r="C19" s="396"/>
      <c r="D19" s="396"/>
      <c r="E19" s="396"/>
      <c r="F19" s="397"/>
    </row>
    <row r="20" spans="1:6" ht="18.899999999999999" customHeight="1">
      <c r="A20" s="395"/>
      <c r="B20" s="396"/>
      <c r="C20" s="396"/>
      <c r="D20" s="396"/>
      <c r="E20" s="396"/>
      <c r="F20" s="397"/>
    </row>
    <row r="21" spans="1:6" ht="18.899999999999999" customHeight="1">
      <c r="A21" s="395"/>
      <c r="B21" s="396"/>
      <c r="C21" s="396"/>
      <c r="D21" s="396"/>
      <c r="E21" s="396"/>
      <c r="F21" s="397"/>
    </row>
    <row r="22" spans="1:6" ht="18.899999999999999" customHeight="1">
      <c r="A22" s="395"/>
      <c r="B22" s="396"/>
      <c r="C22" s="396"/>
      <c r="D22" s="396"/>
      <c r="E22" s="396"/>
      <c r="F22" s="397"/>
    </row>
    <row r="23" spans="1:6" ht="18.899999999999999" customHeight="1">
      <c r="A23" s="395"/>
      <c r="B23" s="396"/>
      <c r="C23" s="396"/>
      <c r="D23" s="396"/>
      <c r="E23" s="396"/>
      <c r="F23" s="397"/>
    </row>
    <row r="24" spans="1:6" ht="18.899999999999999" customHeight="1">
      <c r="A24" s="395"/>
      <c r="B24" s="396"/>
      <c r="C24" s="396"/>
      <c r="D24" s="396"/>
      <c r="E24" s="396"/>
      <c r="F24" s="397"/>
    </row>
    <row r="25" spans="1:6" ht="18.899999999999999" customHeight="1">
      <c r="A25" s="395"/>
      <c r="B25" s="396"/>
      <c r="C25" s="396"/>
      <c r="D25" s="396"/>
      <c r="E25" s="396"/>
      <c r="F25" s="397"/>
    </row>
    <row r="26" spans="1:6" ht="18.899999999999999" customHeight="1">
      <c r="A26" s="395"/>
      <c r="B26" s="396"/>
      <c r="C26" s="396"/>
      <c r="D26" s="396"/>
      <c r="E26" s="396"/>
      <c r="F26" s="397"/>
    </row>
    <row r="27" spans="1:6" ht="18.899999999999999" customHeight="1">
      <c r="A27" s="395"/>
      <c r="B27" s="396"/>
      <c r="C27" s="396"/>
      <c r="D27" s="396"/>
      <c r="E27" s="396"/>
      <c r="F27" s="397"/>
    </row>
    <row r="28" spans="1:6" ht="18.899999999999999" customHeight="1">
      <c r="A28" s="395"/>
      <c r="B28" s="396"/>
      <c r="C28" s="396"/>
      <c r="D28" s="396"/>
      <c r="E28" s="396"/>
      <c r="F28" s="397"/>
    </row>
    <row r="29" spans="1:6" ht="18.899999999999999" customHeight="1">
      <c r="A29" s="395"/>
      <c r="B29" s="396"/>
      <c r="C29" s="396"/>
      <c r="D29" s="396"/>
      <c r="E29" s="396"/>
      <c r="F29" s="397"/>
    </row>
    <row r="30" spans="1:6" ht="18.899999999999999" customHeight="1">
      <c r="A30" s="395"/>
      <c r="B30" s="396"/>
      <c r="C30" s="396"/>
      <c r="D30" s="396"/>
      <c r="E30" s="396"/>
      <c r="F30" s="397"/>
    </row>
    <row r="31" spans="1:6" ht="18.899999999999999" customHeight="1">
      <c r="A31" s="395"/>
      <c r="B31" s="396"/>
      <c r="C31" s="396"/>
      <c r="D31" s="396"/>
      <c r="E31" s="396"/>
      <c r="F31" s="397"/>
    </row>
    <row r="32" spans="1:6" ht="18.899999999999999" customHeight="1">
      <c r="A32" s="395"/>
      <c r="B32" s="396"/>
      <c r="C32" s="396"/>
      <c r="D32" s="396"/>
      <c r="E32" s="396"/>
      <c r="F32" s="397"/>
    </row>
    <row r="33" spans="1:6" ht="18.899999999999999" customHeight="1">
      <c r="A33" s="395"/>
      <c r="B33" s="396"/>
      <c r="C33" s="396"/>
      <c r="D33" s="396"/>
      <c r="E33" s="396"/>
      <c r="F33" s="397"/>
    </row>
    <row r="34" spans="1:6" ht="18.899999999999999" customHeight="1">
      <c r="A34" s="395"/>
      <c r="B34" s="396"/>
      <c r="C34" s="396"/>
      <c r="D34" s="396"/>
      <c r="E34" s="396"/>
      <c r="F34" s="397"/>
    </row>
    <row r="35" spans="1:6" ht="18.899999999999999" customHeight="1">
      <c r="A35" s="395"/>
      <c r="B35" s="396"/>
      <c r="C35" s="396"/>
      <c r="D35" s="396"/>
      <c r="E35" s="396"/>
      <c r="F35" s="397"/>
    </row>
    <row r="36" spans="1:6" ht="18.899999999999999" customHeight="1">
      <c r="A36" s="395"/>
      <c r="B36" s="396"/>
      <c r="C36" s="396"/>
      <c r="D36" s="396"/>
      <c r="E36" s="396"/>
      <c r="F36" s="397"/>
    </row>
    <row r="37" spans="1:6" ht="18.899999999999999" customHeight="1">
      <c r="A37" s="395"/>
      <c r="B37" s="396"/>
      <c r="C37" s="396"/>
      <c r="D37" s="396"/>
      <c r="E37" s="396"/>
      <c r="F37" s="397"/>
    </row>
    <row r="38" spans="1:6" ht="18.899999999999999" customHeight="1">
      <c r="A38" s="395"/>
      <c r="B38" s="396"/>
      <c r="C38" s="396"/>
      <c r="D38" s="396"/>
      <c r="E38" s="396"/>
      <c r="F38" s="397"/>
    </row>
    <row r="39" spans="1:6" ht="18.899999999999999" customHeight="1">
      <c r="A39" s="404" t="s">
        <v>536</v>
      </c>
      <c r="B39" s="405" t="s">
        <v>368</v>
      </c>
      <c r="C39" s="527" t="str">
        <f>'Performance Data Sheet'!C10</f>
        <v>2111218.1</v>
      </c>
      <c r="D39" s="396"/>
      <c r="E39" s="401" t="s">
        <v>537</v>
      </c>
      <c r="F39" s="406" t="str">
        <f>F10</f>
        <v>RF6400</v>
      </c>
    </row>
    <row r="40" spans="1:6" ht="18.899999999999999" customHeight="1">
      <c r="A40" s="395"/>
      <c r="B40" s="405"/>
      <c r="C40" s="405"/>
      <c r="D40" s="396"/>
      <c r="E40" s="396"/>
      <c r="F40" s="397"/>
    </row>
    <row r="41" spans="1:6" ht="18.899999999999999" customHeight="1">
      <c r="A41" s="395"/>
      <c r="B41" s="405"/>
      <c r="C41" s="405"/>
      <c r="D41" s="396"/>
      <c r="E41" s="396"/>
      <c r="F41" s="397"/>
    </row>
    <row r="42" spans="1:6" ht="18.899999999999999" customHeight="1">
      <c r="A42" s="395"/>
      <c r="B42" s="396"/>
      <c r="C42" s="396"/>
      <c r="D42" s="396"/>
      <c r="E42" s="396"/>
      <c r="F42" s="397"/>
    </row>
    <row r="43" spans="1:6" ht="18.899999999999999" customHeight="1">
      <c r="A43" s="407"/>
      <c r="B43" s="405"/>
      <c r="C43" s="408" t="s">
        <v>538</v>
      </c>
      <c r="D43" s="409" t="str">
        <f>'Performance Data Sheet'!K42</f>
        <v>Zichao Xie</v>
      </c>
      <c r="E43" s="408" t="s">
        <v>539</v>
      </c>
      <c r="F43" s="40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5" t="e">
        <f>5252.1*B50/D53</f>
        <v>#DIV/0!</v>
      </c>
      <c r="G50" s="415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6"/>
    </row>
    <row r="63" spans="6:9">
      <c r="I63" s="376" t="s">
        <v>39</v>
      </c>
    </row>
    <row r="66" spans="1:6">
      <c r="D66" s="415" t="e">
        <f>D65/D64</f>
        <v>#DIV/0!</v>
      </c>
    </row>
    <row r="67" spans="1:6">
      <c r="A67" s="417" t="s">
        <v>397</v>
      </c>
      <c r="B67" s="417" t="s">
        <v>544</v>
      </c>
      <c r="C67" s="417" t="s">
        <v>545</v>
      </c>
      <c r="E67" s="417" t="s">
        <v>546</v>
      </c>
      <c r="F67" s="417" t="s">
        <v>547</v>
      </c>
    </row>
    <row r="68" spans="1:6">
      <c r="A68" s="418">
        <v>606.55737704918033</v>
      </c>
      <c r="B68" s="419">
        <v>14.794942310878209</v>
      </c>
      <c r="C68" s="419">
        <v>3.8497618266514371</v>
      </c>
      <c r="E68" s="418">
        <f>A68</f>
        <v>606.55737704918033</v>
      </c>
      <c r="F68" s="419">
        <v>1E-4</v>
      </c>
    </row>
    <row r="69" spans="1:6">
      <c r="A69" s="418">
        <v>584.37380327868857</v>
      </c>
      <c r="B69" s="419">
        <f>((A68/A69)^2)*B68</f>
        <v>15.939532387936895</v>
      </c>
      <c r="C69" s="419">
        <f>((A68/A69)^2)*C68</f>
        <v>4.147593281025185</v>
      </c>
      <c r="E69" s="418">
        <v>604.09836065573768</v>
      </c>
      <c r="F69" s="419">
        <v>0.28200000524520874</v>
      </c>
    </row>
    <row r="70" spans="1:6">
      <c r="A70" s="418">
        <v>562.18357377049176</v>
      </c>
      <c r="B70" s="419">
        <f>((A68/A70)^2)*B68</f>
        <v>17.222680707694337</v>
      </c>
      <c r="C70" s="419">
        <f>((A68/A70)^2)*C68</f>
        <v>4.481478693724771</v>
      </c>
      <c r="E70" s="418">
        <v>598.85245901639348</v>
      </c>
      <c r="F70" s="419">
        <v>0.60100001096725464</v>
      </c>
    </row>
    <row r="71" spans="1:6">
      <c r="A71" s="418">
        <v>540</v>
      </c>
      <c r="B71" s="419">
        <f>((A68/A71)^2)*B68</f>
        <v>18.666785393317159</v>
      </c>
      <c r="C71" s="419">
        <f>((A68/A71)^2)*C68</f>
        <v>4.8572462347926084</v>
      </c>
      <c r="E71" s="418">
        <v>593.11475409836066</v>
      </c>
      <c r="F71" s="419">
        <v>0.95200002193450928</v>
      </c>
    </row>
    <row r="72" spans="1:6">
      <c r="A72" s="418">
        <f>A71-100</f>
        <v>440</v>
      </c>
      <c r="B72" s="419">
        <f>((A68/A72)^2)*B68</f>
        <v>28.115881305223578</v>
      </c>
      <c r="C72" s="419"/>
      <c r="E72" s="418">
        <v>586.39344262295083</v>
      </c>
      <c r="F72" s="419">
        <v>1.3309999704360962</v>
      </c>
    </row>
    <row r="73" spans="1:6">
      <c r="A73" s="418">
        <f>A72-100</f>
        <v>340</v>
      </c>
      <c r="B73" s="419">
        <f>((A68/A73)^2)*B68</f>
        <v>47.086804677260247</v>
      </c>
      <c r="C73" s="419"/>
      <c r="E73" s="418">
        <v>578.85245901639348</v>
      </c>
      <c r="F73" s="419">
        <v>1.7379999160766602</v>
      </c>
    </row>
    <row r="74" spans="1:6">
      <c r="A74" s="418">
        <v>275</v>
      </c>
      <c r="B74" s="419">
        <f>((A68/A74)^2)*B68</f>
        <v>71.976656141372345</v>
      </c>
      <c r="C74" s="419">
        <f>((A68/A74)^2)*C68</f>
        <v>18.72889920086644</v>
      </c>
      <c r="E74" s="418">
        <v>570.49180327868851</v>
      </c>
      <c r="F74" s="419">
        <v>2.182999849319458</v>
      </c>
    </row>
    <row r="75" spans="1:6">
      <c r="A75" s="420">
        <v>180</v>
      </c>
      <c r="B75" s="419">
        <f>((A68/A75)^2)*B69</f>
        <v>180.99823689275757</v>
      </c>
      <c r="C75" s="419">
        <f>((A68/A75)^2)*C68</f>
        <v>43.715216113133479</v>
      </c>
      <c r="E75" s="418">
        <v>560.98360655737702</v>
      </c>
      <c r="F75" s="419">
        <v>2.6619999408721924</v>
      </c>
    </row>
    <row r="76" spans="1:6">
      <c r="A76" s="420">
        <v>145</v>
      </c>
      <c r="B76" s="419">
        <f>((A68/A76)^2)*B68</f>
        <v>258.89344212562588</v>
      </c>
      <c r="C76" s="419">
        <f>((A68/A76)^2)*C68</f>
        <v>67.366135651154565</v>
      </c>
      <c r="E76" s="418">
        <v>547.21311475409834</v>
      </c>
      <c r="F76" s="419">
        <v>3.1719999313354492</v>
      </c>
    </row>
    <row r="77" spans="1:6">
      <c r="A77" s="420">
        <v>125</v>
      </c>
      <c r="B77" s="419"/>
      <c r="C77" s="418">
        <f>CEILING(C76*2,100)</f>
        <v>200</v>
      </c>
      <c r="E77" s="418">
        <v>530.32786885245901</v>
      </c>
      <c r="F77" s="419">
        <v>3.4199998378753662</v>
      </c>
    </row>
    <row r="78" spans="1:6">
      <c r="A78" s="420">
        <v>125</v>
      </c>
      <c r="B78" s="419"/>
      <c r="C78" s="418">
        <f>2*C77</f>
        <v>400</v>
      </c>
      <c r="E78" s="418">
        <v>503.44262295081973</v>
      </c>
      <c r="F78" s="419">
        <v>3.6249997615814209</v>
      </c>
    </row>
    <row r="79" spans="1:6">
      <c r="A79" s="420">
        <v>125</v>
      </c>
      <c r="B79" s="420"/>
      <c r="C79" s="420">
        <v>10000</v>
      </c>
      <c r="E79" s="418">
        <v>429.34426229508193</v>
      </c>
      <c r="F79" s="419">
        <v>3.7829997539520264</v>
      </c>
    </row>
    <row r="80" spans="1:6">
      <c r="E80" s="418">
        <f>A74</f>
        <v>275</v>
      </c>
      <c r="F80" s="419">
        <v>3.9709997177124023</v>
      </c>
    </row>
    <row r="81" spans="5:6">
      <c r="E81" s="418">
        <f>A77</f>
        <v>125</v>
      </c>
      <c r="F81" s="419">
        <v>4.3519997596740723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67"/>
  <sheetViews>
    <sheetView workbookViewId="0">
      <selection activeCell="H14" sqref="H14"/>
    </sheetView>
  </sheetViews>
  <sheetFormatPr defaultColWidth="9.109375" defaultRowHeight="13.2"/>
  <cols>
    <col min="1" max="6" width="16.6640625" style="376" customWidth="1"/>
    <col min="7" max="16384" width="9.109375" style="376"/>
  </cols>
  <sheetData>
    <row r="1" spans="1:6" ht="18.899999999999999" customHeight="1">
      <c r="A1" s="388"/>
      <c r="B1" s="389"/>
      <c r="C1" s="389"/>
      <c r="D1" s="389"/>
      <c r="E1" s="389"/>
      <c r="F1" s="390"/>
    </row>
    <row r="2" spans="1:6" ht="26.1" customHeight="1">
      <c r="A2" s="391" t="s">
        <v>267</v>
      </c>
      <c r="B2" s="392"/>
      <c r="C2" s="392"/>
      <c r="D2" s="392"/>
      <c r="E2" s="392"/>
      <c r="F2" s="393"/>
    </row>
    <row r="3" spans="1:6" ht="18.899999999999999" customHeight="1">
      <c r="A3" s="394" t="s">
        <v>599</v>
      </c>
      <c r="B3" s="392"/>
      <c r="C3" s="392"/>
      <c r="D3" s="392"/>
      <c r="E3" s="392"/>
      <c r="F3" s="393"/>
    </row>
    <row r="4" spans="1:6" ht="18.899999999999999" customHeight="1">
      <c r="A4" s="651" t="s">
        <v>543</v>
      </c>
      <c r="B4" s="652"/>
      <c r="C4" s="652"/>
      <c r="D4" s="652"/>
      <c r="E4" s="652"/>
      <c r="F4" s="653"/>
    </row>
    <row r="5" spans="1:6" ht="18.899999999999999" customHeight="1">
      <c r="A5" s="395"/>
      <c r="B5" s="396"/>
      <c r="C5" s="396"/>
      <c r="D5" s="396"/>
      <c r="E5" s="396"/>
      <c r="F5" s="397"/>
    </row>
    <row r="6" spans="1:6" ht="18.899999999999999" customHeight="1">
      <c r="A6" s="398" t="s">
        <v>520</v>
      </c>
      <c r="B6" s="643" t="str">
        <f>'Performance Data Sheet'!C17</f>
        <v>GP-10013067</v>
      </c>
      <c r="C6" s="644"/>
      <c r="D6" s="645"/>
      <c r="E6" s="398" t="s">
        <v>521</v>
      </c>
      <c r="F6" s="399" t="s">
        <v>717</v>
      </c>
    </row>
    <row r="7" spans="1:6" ht="18.899999999999999" customHeight="1">
      <c r="A7" s="398" t="s">
        <v>522</v>
      </c>
      <c r="B7" s="399" t="str">
        <f>'Performance Data Sheet'!F14</f>
        <v>TEFC</v>
      </c>
      <c r="C7" s="398" t="s">
        <v>523</v>
      </c>
      <c r="D7" s="399" t="s">
        <v>718</v>
      </c>
      <c r="E7" s="398" t="s">
        <v>524</v>
      </c>
      <c r="F7" s="399" t="str">
        <f>'Performance Data Sheet'!C14</f>
        <v>5011UZ</v>
      </c>
    </row>
    <row r="8" spans="1:6" ht="18.899999999999999" customHeight="1">
      <c r="A8" s="398" t="s">
        <v>525</v>
      </c>
      <c r="B8" s="399">
        <v>6</v>
      </c>
      <c r="C8" s="398" t="s">
        <v>526</v>
      </c>
      <c r="D8" s="399" t="s">
        <v>527</v>
      </c>
      <c r="E8" s="398" t="s">
        <v>528</v>
      </c>
      <c r="F8" s="399" t="str">
        <f>'Performance Data Sheet'!M15</f>
        <v>F</v>
      </c>
    </row>
    <row r="9" spans="1:6" ht="18.899999999999999" customHeight="1">
      <c r="A9" s="398" t="s">
        <v>529</v>
      </c>
      <c r="B9" s="399">
        <f>'Performance Data Sheet'!C13</f>
        <v>400</v>
      </c>
      <c r="C9" s="398" t="s">
        <v>530</v>
      </c>
      <c r="D9" s="399" t="s">
        <v>540</v>
      </c>
      <c r="E9" s="398" t="s">
        <v>2</v>
      </c>
      <c r="F9" s="400">
        <f>'Performance Data Sheet'!K44</f>
        <v>43416</v>
      </c>
    </row>
    <row r="10" spans="1:6" ht="18.899999999999999" customHeight="1">
      <c r="A10" s="398" t="s">
        <v>531</v>
      </c>
      <c r="B10" s="399">
        <f>'Performance Data Sheet'!M14</f>
        <v>1180</v>
      </c>
      <c r="C10" s="398" t="s">
        <v>402</v>
      </c>
      <c r="D10" s="399" t="s">
        <v>598</v>
      </c>
      <c r="E10" s="398" t="s">
        <v>1</v>
      </c>
      <c r="F10" s="399" t="s">
        <v>377</v>
      </c>
    </row>
    <row r="11" spans="1:6" ht="18.899999999999999" customHeight="1">
      <c r="A11" s="395"/>
      <c r="B11" s="396"/>
      <c r="C11" s="396"/>
      <c r="D11" s="396"/>
      <c r="E11" s="396"/>
      <c r="F11" s="397"/>
    </row>
    <row r="12" spans="1:6" ht="18.899999999999999" customHeight="1">
      <c r="A12" s="395"/>
      <c r="B12" s="401" t="s">
        <v>532</v>
      </c>
      <c r="C12" s="402" t="s">
        <v>719</v>
      </c>
      <c r="D12" s="401" t="s">
        <v>401</v>
      </c>
      <c r="E12" s="402" t="s">
        <v>405</v>
      </c>
      <c r="F12" s="397"/>
    </row>
    <row r="13" spans="1:6" ht="18.899999999999999" customHeight="1">
      <c r="A13" s="395"/>
      <c r="B13" s="401" t="s">
        <v>533</v>
      </c>
      <c r="C13" s="403">
        <f>'Performance Data Sheet'!H23/100</f>
        <v>2.25</v>
      </c>
      <c r="D13" s="401" t="s">
        <v>534</v>
      </c>
      <c r="E13" s="402" t="s">
        <v>541</v>
      </c>
      <c r="F13" s="397"/>
    </row>
    <row r="14" spans="1:6" ht="18.899999999999999" customHeight="1">
      <c r="A14" s="395"/>
      <c r="B14" s="401" t="s">
        <v>535</v>
      </c>
      <c r="C14" s="403">
        <v>2.75</v>
      </c>
      <c r="D14" s="401" t="s">
        <v>403</v>
      </c>
      <c r="E14" s="402" t="s">
        <v>549</v>
      </c>
      <c r="F14" s="397"/>
    </row>
    <row r="15" spans="1:6" ht="18.899999999999999" customHeight="1">
      <c r="A15" s="395"/>
      <c r="B15" s="401" t="s">
        <v>404</v>
      </c>
      <c r="C15" s="402" t="str">
        <f>'Performance Data Sheet'!H22 &amp; " lb-ft"</f>
        <v>1780 lb-ft</v>
      </c>
      <c r="D15" s="396"/>
      <c r="E15" s="396"/>
      <c r="F15" s="397"/>
    </row>
    <row r="16" spans="1:6" ht="18.899999999999999" customHeight="1">
      <c r="A16" s="395"/>
      <c r="B16" s="396"/>
      <c r="C16" s="396"/>
      <c r="D16" s="396"/>
      <c r="E16" s="396"/>
      <c r="F16" s="397"/>
    </row>
    <row r="17" spans="1:8" ht="18.899999999999999" customHeight="1">
      <c r="A17" s="395"/>
      <c r="B17" s="396"/>
      <c r="C17" s="396"/>
      <c r="D17" s="396"/>
      <c r="E17" s="396"/>
      <c r="F17" s="397"/>
    </row>
    <row r="18" spans="1:8" ht="18.899999999999999" customHeight="1">
      <c r="A18" s="395"/>
      <c r="B18" s="396"/>
      <c r="C18" s="396"/>
      <c r="D18" s="396"/>
      <c r="E18" s="396"/>
      <c r="F18" s="397"/>
    </row>
    <row r="19" spans="1:8" ht="18.899999999999999" customHeight="1">
      <c r="A19" s="395"/>
      <c r="B19" s="396"/>
      <c r="C19" s="396"/>
      <c r="D19" s="396"/>
      <c r="E19" s="396"/>
      <c r="F19" s="397"/>
    </row>
    <row r="20" spans="1:8" ht="18.899999999999999" customHeight="1">
      <c r="A20" s="395"/>
      <c r="B20" s="396"/>
      <c r="C20" s="396"/>
      <c r="D20" s="396"/>
      <c r="E20" s="396"/>
      <c r="F20" s="397"/>
    </row>
    <row r="21" spans="1:8" ht="18.899999999999999" customHeight="1">
      <c r="A21" s="395"/>
      <c r="B21" s="396"/>
      <c r="C21" s="396"/>
      <c r="D21" s="396"/>
      <c r="E21" s="396"/>
      <c r="F21" s="397"/>
    </row>
    <row r="22" spans="1:8" ht="18.899999999999999" customHeight="1">
      <c r="A22" s="395"/>
      <c r="B22" s="396"/>
      <c r="C22" s="396"/>
      <c r="D22" s="396"/>
      <c r="E22" s="396"/>
      <c r="F22" s="397"/>
    </row>
    <row r="23" spans="1:8" ht="18.899999999999999" customHeight="1">
      <c r="A23" s="395"/>
      <c r="B23" s="396"/>
      <c r="C23" s="396"/>
      <c r="D23" s="396"/>
      <c r="E23" s="396"/>
      <c r="F23" s="397"/>
    </row>
    <row r="24" spans="1:8" ht="18.899999999999999" customHeight="1">
      <c r="A24" s="395"/>
      <c r="B24" s="396"/>
      <c r="C24" s="396"/>
      <c r="D24" s="396"/>
      <c r="E24" s="396"/>
      <c r="F24" s="397"/>
      <c r="H24" s="421"/>
    </row>
    <row r="25" spans="1:8" ht="18.899999999999999" customHeight="1">
      <c r="A25" s="395"/>
      <c r="B25" s="396"/>
      <c r="C25" s="396"/>
      <c r="D25" s="396"/>
      <c r="E25" s="396"/>
      <c r="F25" s="397"/>
    </row>
    <row r="26" spans="1:8" ht="18.899999999999999" customHeight="1">
      <c r="A26" s="395"/>
      <c r="B26" s="396"/>
      <c r="C26" s="396"/>
      <c r="D26" s="396"/>
      <c r="E26" s="396"/>
      <c r="F26" s="397"/>
    </row>
    <row r="27" spans="1:8" ht="18.899999999999999" customHeight="1">
      <c r="A27" s="395"/>
      <c r="B27" s="396"/>
      <c r="C27" s="396"/>
      <c r="D27" s="396"/>
      <c r="E27" s="396"/>
      <c r="F27" s="397"/>
    </row>
    <row r="28" spans="1:8" ht="18.899999999999999" customHeight="1">
      <c r="A28" s="395"/>
      <c r="B28" s="396"/>
      <c r="C28" s="396"/>
      <c r="D28" s="396"/>
      <c r="E28" s="396"/>
      <c r="F28" s="397"/>
    </row>
    <row r="29" spans="1:8" ht="18.899999999999999" customHeight="1">
      <c r="A29" s="395"/>
      <c r="B29" s="396"/>
      <c r="C29" s="396"/>
      <c r="D29" s="396"/>
      <c r="E29" s="396"/>
      <c r="F29" s="397"/>
    </row>
    <row r="30" spans="1:8" ht="18.899999999999999" customHeight="1">
      <c r="A30" s="395"/>
      <c r="B30" s="396"/>
      <c r="C30" s="396"/>
      <c r="D30" s="396"/>
      <c r="E30" s="396"/>
      <c r="F30" s="397"/>
    </row>
    <row r="31" spans="1:8" ht="18.899999999999999" customHeight="1">
      <c r="A31" s="395"/>
      <c r="B31" s="396"/>
      <c r="C31" s="396"/>
      <c r="D31" s="396"/>
      <c r="E31" s="396"/>
      <c r="F31" s="397"/>
    </row>
    <row r="32" spans="1:8" ht="18.899999999999999" customHeight="1">
      <c r="A32" s="395"/>
      <c r="B32" s="396"/>
      <c r="C32" s="396"/>
      <c r="D32" s="396"/>
      <c r="E32" s="396"/>
      <c r="F32" s="397"/>
    </row>
    <row r="33" spans="1:6" ht="18.899999999999999" customHeight="1">
      <c r="A33" s="395"/>
      <c r="B33" s="396"/>
      <c r="C33" s="396"/>
      <c r="D33" s="396"/>
      <c r="E33" s="396"/>
      <c r="F33" s="397"/>
    </row>
    <row r="34" spans="1:6" ht="18.899999999999999" customHeight="1">
      <c r="A34" s="395"/>
      <c r="B34" s="396"/>
      <c r="C34" s="396"/>
      <c r="D34" s="396"/>
      <c r="E34" s="396"/>
      <c r="F34" s="397"/>
    </row>
    <row r="35" spans="1:6" ht="18.899999999999999" customHeight="1">
      <c r="A35" s="395"/>
      <c r="B35" s="396"/>
      <c r="C35" s="396"/>
      <c r="D35" s="396"/>
      <c r="E35" s="396"/>
      <c r="F35" s="397"/>
    </row>
    <row r="36" spans="1:6" ht="18.899999999999999" customHeight="1">
      <c r="A36" s="395"/>
      <c r="B36" s="396"/>
      <c r="C36" s="396"/>
      <c r="D36" s="396"/>
      <c r="E36" s="396"/>
      <c r="F36" s="397"/>
    </row>
    <row r="37" spans="1:6" ht="18.899999999999999" customHeight="1">
      <c r="A37" s="395"/>
      <c r="B37" s="396"/>
      <c r="C37" s="396"/>
      <c r="D37" s="396"/>
      <c r="E37" s="396"/>
      <c r="F37" s="397"/>
    </row>
    <row r="38" spans="1:6" ht="18.899999999999999" customHeight="1">
      <c r="A38" s="395"/>
      <c r="B38" s="396"/>
      <c r="C38" s="396"/>
      <c r="D38" s="396"/>
      <c r="E38" s="396"/>
      <c r="F38" s="397"/>
    </row>
    <row r="39" spans="1:6" ht="18.899999999999999" customHeight="1">
      <c r="A39" s="404" t="s">
        <v>536</v>
      </c>
      <c r="B39" s="405" t="s">
        <v>368</v>
      </c>
      <c r="C39" s="527" t="str">
        <f>'Performance Data Sheet'!C10</f>
        <v>2111218.1</v>
      </c>
      <c r="D39" s="396"/>
      <c r="E39" s="401" t="s">
        <v>537</v>
      </c>
      <c r="F39" s="406" t="str">
        <f>F10</f>
        <v>RF6400</v>
      </c>
    </row>
    <row r="40" spans="1:6" ht="18.899999999999999" customHeight="1">
      <c r="A40" s="395"/>
      <c r="B40" s="405"/>
      <c r="C40" s="405"/>
      <c r="D40" s="396"/>
      <c r="E40" s="396"/>
      <c r="F40" s="397"/>
    </row>
    <row r="41" spans="1:6" ht="18.899999999999999" customHeight="1">
      <c r="A41" s="395"/>
      <c r="B41" s="405"/>
      <c r="C41" s="405"/>
      <c r="D41" s="396"/>
      <c r="E41" s="396"/>
      <c r="F41" s="397"/>
    </row>
    <row r="42" spans="1:6" ht="18.899999999999999" customHeight="1">
      <c r="A42" s="395"/>
      <c r="B42" s="396"/>
      <c r="C42" s="396"/>
      <c r="D42" s="396"/>
      <c r="E42" s="396"/>
      <c r="F42" s="397"/>
    </row>
    <row r="43" spans="1:6" ht="18.899999999999999" customHeight="1">
      <c r="A43" s="407"/>
      <c r="B43" s="405"/>
      <c r="C43" s="408" t="s">
        <v>538</v>
      </c>
      <c r="D43" s="409" t="str">
        <f>'Performance Data Sheet'!K42</f>
        <v>Zichao Xie</v>
      </c>
      <c r="E43" s="408" t="s">
        <v>539</v>
      </c>
      <c r="F43" s="40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2" t="s">
        <v>400</v>
      </c>
      <c r="B53" s="422" t="s">
        <v>142</v>
      </c>
      <c r="C53" s="422" t="s">
        <v>120</v>
      </c>
      <c r="D53" s="422" t="s">
        <v>135</v>
      </c>
      <c r="E53" s="422" t="s">
        <v>5</v>
      </c>
      <c r="F53" s="423" t="s">
        <v>600</v>
      </c>
    </row>
    <row r="54" spans="1:6" ht="15" customHeight="1">
      <c r="A54" s="424">
        <v>0</v>
      </c>
      <c r="B54" s="425"/>
      <c r="C54" s="426"/>
      <c r="D54" s="426">
        <v>31.642776772918459</v>
      </c>
      <c r="E54" s="426">
        <v>100</v>
      </c>
      <c r="F54" s="427">
        <f>6105/8000</f>
        <v>0.76312500000000005</v>
      </c>
    </row>
    <row r="55" spans="1:6" ht="15" customHeight="1">
      <c r="A55" s="428">
        <v>25</v>
      </c>
      <c r="B55" s="429">
        <v>87.040771484375</v>
      </c>
      <c r="C55" s="430">
        <v>33.715747833251953</v>
      </c>
      <c r="D55" s="430">
        <v>36.696941375732422</v>
      </c>
      <c r="E55" s="430">
        <v>67.704516689751685</v>
      </c>
      <c r="F55" s="431">
        <v>10.714714251122006</v>
      </c>
    </row>
    <row r="56" spans="1:6" ht="15" customHeight="1">
      <c r="A56" s="428">
        <v>50</v>
      </c>
      <c r="B56" s="429">
        <v>92.515525817871094</v>
      </c>
      <c r="C56" s="430">
        <v>54.859210968017578</v>
      </c>
      <c r="D56" s="430">
        <v>42.437648773193359</v>
      </c>
      <c r="E56" s="430">
        <v>61.93349558574576</v>
      </c>
      <c r="F56" s="431">
        <v>20.161310088337213</v>
      </c>
    </row>
    <row r="57" spans="1:6">
      <c r="A57" s="428">
        <v>75</v>
      </c>
      <c r="B57" s="429">
        <v>94.191276550292969</v>
      </c>
      <c r="C57" s="430">
        <v>67.266136169433594</v>
      </c>
      <c r="D57" s="430">
        <v>50.991710662841797</v>
      </c>
      <c r="E57" s="430">
        <v>56.002239254802433</v>
      </c>
      <c r="F57" s="431">
        <v>29.703934130038757</v>
      </c>
    </row>
    <row r="58" spans="1:6">
      <c r="A58" s="428">
        <v>100</v>
      </c>
      <c r="B58" s="429">
        <v>94.843727111816406</v>
      </c>
      <c r="C58" s="430">
        <v>74.19305419921875</v>
      </c>
      <c r="D58" s="430">
        <v>61.217231750488281</v>
      </c>
      <c r="E58" s="430">
        <v>49.873756808134573</v>
      </c>
      <c r="F58" s="431">
        <v>39.332796522228584</v>
      </c>
    </row>
    <row r="59" spans="1:6" ht="13.8" thickBot="1">
      <c r="A59" s="432">
        <v>125</v>
      </c>
      <c r="B59" s="433">
        <v>95.049171447753906</v>
      </c>
      <c r="C59" s="434">
        <v>77.892494201660156</v>
      </c>
      <c r="D59" s="434">
        <v>72.72967529296875</v>
      </c>
      <c r="E59" s="434">
        <v>43.705225075439188</v>
      </c>
      <c r="F59" s="435">
        <v>49.059725953605877</v>
      </c>
    </row>
    <row r="60" spans="1:6">
      <c r="A60" s="410"/>
      <c r="B60" s="411"/>
      <c r="C60" s="411"/>
    </row>
    <row r="61" spans="1:6">
      <c r="A61" s="410"/>
      <c r="B61" s="411"/>
      <c r="C61" s="411"/>
    </row>
    <row r="62" spans="1:6">
      <c r="A62" s="410"/>
      <c r="B62" s="411"/>
      <c r="C62" s="411"/>
    </row>
    <row r="63" spans="1:6">
      <c r="A63" s="410"/>
      <c r="B63" s="411"/>
      <c r="C63" s="411"/>
    </row>
    <row r="64" spans="1:6">
      <c r="A64" s="410"/>
      <c r="B64" s="411"/>
      <c r="C64" s="411"/>
    </row>
    <row r="65" spans="1:3">
      <c r="A65" s="410"/>
      <c r="B65" s="411"/>
      <c r="C65" s="411"/>
    </row>
    <row r="66" spans="1:3">
      <c r="A66" s="410"/>
      <c r="B66" s="411"/>
      <c r="C66" s="411"/>
    </row>
    <row r="67" spans="1:3">
      <c r="A67" s="412"/>
      <c r="B67" s="411"/>
      <c r="C67" s="411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67"/>
  <sheetViews>
    <sheetView topLeftCell="A2" workbookViewId="0">
      <selection activeCell="O28" sqref="O28"/>
    </sheetView>
  </sheetViews>
  <sheetFormatPr defaultColWidth="9.109375" defaultRowHeight="13.2"/>
  <cols>
    <col min="1" max="6" width="16.6640625" style="376" customWidth="1"/>
    <col min="7" max="16384" width="9.109375" style="376"/>
  </cols>
  <sheetData>
    <row r="1" spans="1:6" ht="18.899999999999999" customHeight="1">
      <c r="A1" s="388"/>
      <c r="B1" s="389"/>
      <c r="C1" s="389"/>
      <c r="D1" s="389"/>
      <c r="E1" s="389"/>
      <c r="F1" s="390"/>
    </row>
    <row r="2" spans="1:6" ht="26.1" customHeight="1">
      <c r="A2" s="391" t="s">
        <v>267</v>
      </c>
      <c r="B2" s="392"/>
      <c r="C2" s="392"/>
      <c r="D2" s="392"/>
      <c r="E2" s="392"/>
      <c r="F2" s="393"/>
    </row>
    <row r="3" spans="1:6" ht="18.899999999999999" customHeight="1">
      <c r="A3" s="394" t="s">
        <v>599</v>
      </c>
      <c r="B3" s="392"/>
      <c r="C3" s="392"/>
      <c r="D3" s="392"/>
      <c r="E3" s="392"/>
      <c r="F3" s="393"/>
    </row>
    <row r="4" spans="1:6" ht="18.899999999999999" customHeight="1">
      <c r="A4" s="651" t="s">
        <v>543</v>
      </c>
      <c r="B4" s="652"/>
      <c r="C4" s="652"/>
      <c r="D4" s="652"/>
      <c r="E4" s="652"/>
      <c r="F4" s="653"/>
    </row>
    <row r="5" spans="1:6" ht="18.899999999999999" customHeight="1">
      <c r="A5" s="395"/>
      <c r="B5" s="396"/>
      <c r="C5" s="396"/>
      <c r="D5" s="396"/>
      <c r="E5" s="396"/>
      <c r="F5" s="397"/>
    </row>
    <row r="6" spans="1:6" ht="18.899999999999999" customHeight="1">
      <c r="A6" s="398" t="s">
        <v>520</v>
      </c>
      <c r="B6" s="643" t="str">
        <f>'Performance Data Sheet'!C17</f>
        <v>GP-10013067</v>
      </c>
      <c r="C6" s="644"/>
      <c r="D6" s="645"/>
      <c r="E6" s="398" t="s">
        <v>521</v>
      </c>
      <c r="F6" s="399" t="s">
        <v>721</v>
      </c>
    </row>
    <row r="7" spans="1:6" ht="18.899999999999999" customHeight="1">
      <c r="A7" s="398" t="s">
        <v>522</v>
      </c>
      <c r="B7" s="399" t="str">
        <f>'Performance Data Sheet'!F14</f>
        <v>TEFC</v>
      </c>
      <c r="C7" s="398" t="s">
        <v>523</v>
      </c>
      <c r="D7" s="399" t="s">
        <v>720</v>
      </c>
      <c r="E7" s="398" t="s">
        <v>524</v>
      </c>
      <c r="F7" s="399" t="str">
        <f>'Performance Data Sheet'!C14</f>
        <v>5011UZ</v>
      </c>
    </row>
    <row r="8" spans="1:6" ht="18.899999999999999" customHeight="1">
      <c r="A8" s="398" t="s">
        <v>525</v>
      </c>
      <c r="B8" s="399">
        <v>6</v>
      </c>
      <c r="C8" s="398" t="s">
        <v>526</v>
      </c>
      <c r="D8" s="399" t="s">
        <v>527</v>
      </c>
      <c r="E8" s="398" t="s">
        <v>528</v>
      </c>
      <c r="F8" s="399" t="str">
        <f>'Performance Data Sheet'!M15</f>
        <v>F</v>
      </c>
    </row>
    <row r="9" spans="1:6" ht="18.899999999999999" customHeight="1">
      <c r="A9" s="398" t="s">
        <v>529</v>
      </c>
      <c r="B9" s="399">
        <f>'Performance Data Sheet'!C13</f>
        <v>400</v>
      </c>
      <c r="C9" s="398" t="s">
        <v>530</v>
      </c>
      <c r="D9" s="399" t="s">
        <v>540</v>
      </c>
      <c r="E9" s="398" t="s">
        <v>2</v>
      </c>
      <c r="F9" s="400">
        <f>'Performance Data Sheet'!K44</f>
        <v>43416</v>
      </c>
    </row>
    <row r="10" spans="1:6" ht="18.899999999999999" customHeight="1">
      <c r="A10" s="398" t="s">
        <v>531</v>
      </c>
      <c r="B10" s="399">
        <f>'Performance Data Sheet'!M14</f>
        <v>1180</v>
      </c>
      <c r="C10" s="398" t="s">
        <v>402</v>
      </c>
      <c r="D10" s="399" t="s">
        <v>723</v>
      </c>
      <c r="E10" s="398" t="s">
        <v>1</v>
      </c>
      <c r="F10" s="399" t="s">
        <v>377</v>
      </c>
    </row>
    <row r="11" spans="1:6" ht="18.899999999999999" customHeight="1">
      <c r="A11" s="395"/>
      <c r="B11" s="396"/>
      <c r="C11" s="396"/>
      <c r="D11" s="396"/>
      <c r="E11" s="396"/>
      <c r="F11" s="397"/>
    </row>
    <row r="12" spans="1:6" ht="18.899999999999999" customHeight="1">
      <c r="A12" s="395"/>
      <c r="B12" s="401" t="s">
        <v>532</v>
      </c>
      <c r="C12" s="402" t="s">
        <v>722</v>
      </c>
      <c r="D12" s="401" t="s">
        <v>401</v>
      </c>
      <c r="E12" s="402" t="s">
        <v>723</v>
      </c>
      <c r="F12" s="397"/>
    </row>
    <row r="13" spans="1:6" ht="18.899999999999999" customHeight="1">
      <c r="A13" s="395"/>
      <c r="B13" s="401" t="s">
        <v>533</v>
      </c>
      <c r="C13" s="403">
        <f>'Performance Data Sheet'!H23/100</f>
        <v>2.25</v>
      </c>
      <c r="D13" s="401" t="s">
        <v>534</v>
      </c>
      <c r="E13" s="402" t="s">
        <v>723</v>
      </c>
      <c r="F13" s="397"/>
    </row>
    <row r="14" spans="1:6" ht="18.899999999999999" customHeight="1">
      <c r="A14" s="395"/>
      <c r="B14" s="401" t="s">
        <v>535</v>
      </c>
      <c r="C14" s="403">
        <v>2.75</v>
      </c>
      <c r="D14" s="401" t="s">
        <v>403</v>
      </c>
      <c r="E14" s="402" t="s">
        <v>723</v>
      </c>
      <c r="F14" s="397"/>
    </row>
    <row r="15" spans="1:6" ht="18.899999999999999" customHeight="1">
      <c r="A15" s="395"/>
      <c r="B15" s="401" t="s">
        <v>404</v>
      </c>
      <c r="C15" s="402" t="str">
        <f>'Performance Data Sheet'!H22 &amp; " lb-ft"</f>
        <v>1780 lb-ft</v>
      </c>
      <c r="D15" s="396"/>
      <c r="E15" s="396"/>
      <c r="F15" s="397"/>
    </row>
    <row r="16" spans="1:6" ht="18.899999999999999" customHeight="1">
      <c r="A16" s="395"/>
      <c r="B16" s="396"/>
      <c r="C16" s="396"/>
      <c r="D16" s="396"/>
      <c r="E16" s="396"/>
      <c r="F16" s="397"/>
    </row>
    <row r="17" spans="1:8" ht="18.899999999999999" customHeight="1">
      <c r="A17" s="395"/>
      <c r="B17" s="396"/>
      <c r="C17" s="396"/>
      <c r="D17" s="396"/>
      <c r="E17" s="396"/>
      <c r="F17" s="397"/>
    </row>
    <row r="18" spans="1:8" ht="18.899999999999999" customHeight="1">
      <c r="A18" s="395"/>
      <c r="B18" s="396"/>
      <c r="C18" s="396"/>
      <c r="D18" s="396"/>
      <c r="E18" s="396"/>
      <c r="F18" s="397"/>
    </row>
    <row r="19" spans="1:8" ht="18.899999999999999" customHeight="1">
      <c r="A19" s="395"/>
      <c r="B19" s="396"/>
      <c r="C19" s="396"/>
      <c r="D19" s="396"/>
      <c r="E19" s="396"/>
      <c r="F19" s="397"/>
    </row>
    <row r="20" spans="1:8" ht="18.899999999999999" customHeight="1">
      <c r="A20" s="395"/>
      <c r="B20" s="396"/>
      <c r="C20" s="396"/>
      <c r="D20" s="396"/>
      <c r="E20" s="396"/>
      <c r="F20" s="397"/>
    </row>
    <row r="21" spans="1:8" ht="18.899999999999999" customHeight="1">
      <c r="A21" s="395"/>
      <c r="B21" s="396"/>
      <c r="C21" s="396"/>
      <c r="D21" s="396"/>
      <c r="E21" s="396"/>
      <c r="F21" s="397"/>
    </row>
    <row r="22" spans="1:8" ht="18.899999999999999" customHeight="1">
      <c r="A22" s="395"/>
      <c r="B22" s="396"/>
      <c r="C22" s="396"/>
      <c r="D22" s="396"/>
      <c r="E22" s="396"/>
      <c r="F22" s="397"/>
    </row>
    <row r="23" spans="1:8" ht="18.899999999999999" customHeight="1">
      <c r="A23" s="395"/>
      <c r="B23" s="396"/>
      <c r="C23" s="396"/>
      <c r="D23" s="396"/>
      <c r="E23" s="396"/>
      <c r="F23" s="397"/>
    </row>
    <row r="24" spans="1:8" ht="18.899999999999999" customHeight="1">
      <c r="A24" s="395"/>
      <c r="B24" s="396"/>
      <c r="C24" s="396"/>
      <c r="D24" s="396"/>
      <c r="E24" s="396"/>
      <c r="F24" s="397"/>
      <c r="H24" s="421"/>
    </row>
    <row r="25" spans="1:8" ht="18.899999999999999" customHeight="1">
      <c r="A25" s="395"/>
      <c r="B25" s="396"/>
      <c r="C25" s="396"/>
      <c r="D25" s="396"/>
      <c r="E25" s="396"/>
      <c r="F25" s="397"/>
    </row>
    <row r="26" spans="1:8" ht="18.899999999999999" customHeight="1">
      <c r="A26" s="395"/>
      <c r="B26" s="396"/>
      <c r="C26" s="396"/>
      <c r="D26" s="396"/>
      <c r="E26" s="396"/>
      <c r="F26" s="397"/>
    </row>
    <row r="27" spans="1:8" ht="18.899999999999999" customHeight="1">
      <c r="A27" s="395"/>
      <c r="B27" s="396"/>
      <c r="C27" s="396"/>
      <c r="D27" s="396"/>
      <c r="E27" s="396"/>
      <c r="F27" s="397"/>
    </row>
    <row r="28" spans="1:8" ht="18.899999999999999" customHeight="1">
      <c r="A28" s="395"/>
      <c r="B28" s="396"/>
      <c r="C28" s="396"/>
      <c r="D28" s="396"/>
      <c r="E28" s="396"/>
      <c r="F28" s="397"/>
    </row>
    <row r="29" spans="1:8" ht="18.899999999999999" customHeight="1">
      <c r="A29" s="395"/>
      <c r="B29" s="396"/>
      <c r="C29" s="396"/>
      <c r="D29" s="396"/>
      <c r="E29" s="396"/>
      <c r="F29" s="397"/>
    </row>
    <row r="30" spans="1:8" ht="18.899999999999999" customHeight="1">
      <c r="A30" s="395"/>
      <c r="B30" s="396"/>
      <c r="C30" s="396"/>
      <c r="D30" s="396"/>
      <c r="E30" s="396"/>
      <c r="F30" s="397"/>
    </row>
    <row r="31" spans="1:8" ht="18.899999999999999" customHeight="1">
      <c r="A31" s="395"/>
      <c r="B31" s="396"/>
      <c r="C31" s="396"/>
      <c r="D31" s="396"/>
      <c r="E31" s="396"/>
      <c r="F31" s="397"/>
    </row>
    <row r="32" spans="1:8" ht="18.899999999999999" customHeight="1">
      <c r="A32" s="395"/>
      <c r="B32" s="396"/>
      <c r="C32" s="396"/>
      <c r="D32" s="396"/>
      <c r="E32" s="396"/>
      <c r="F32" s="397"/>
    </row>
    <row r="33" spans="1:6" ht="18.899999999999999" customHeight="1">
      <c r="A33" s="395"/>
      <c r="B33" s="396"/>
      <c r="C33" s="396"/>
      <c r="D33" s="396"/>
      <c r="E33" s="396"/>
      <c r="F33" s="397"/>
    </row>
    <row r="34" spans="1:6" ht="18.899999999999999" customHeight="1">
      <c r="A34" s="395"/>
      <c r="B34" s="396"/>
      <c r="C34" s="396"/>
      <c r="D34" s="396"/>
      <c r="E34" s="396"/>
      <c r="F34" s="397"/>
    </row>
    <row r="35" spans="1:6" ht="18.899999999999999" customHeight="1">
      <c r="A35" s="395"/>
      <c r="B35" s="396"/>
      <c r="C35" s="396"/>
      <c r="D35" s="396"/>
      <c r="E35" s="396"/>
      <c r="F35" s="397"/>
    </row>
    <row r="36" spans="1:6" ht="18.899999999999999" customHeight="1">
      <c r="A36" s="395"/>
      <c r="B36" s="396"/>
      <c r="C36" s="396"/>
      <c r="D36" s="396"/>
      <c r="E36" s="396"/>
      <c r="F36" s="397"/>
    </row>
    <row r="37" spans="1:6" ht="18.899999999999999" customHeight="1">
      <c r="A37" s="395"/>
      <c r="B37" s="396"/>
      <c r="C37" s="396"/>
      <c r="D37" s="396"/>
      <c r="E37" s="396"/>
      <c r="F37" s="397"/>
    </row>
    <row r="38" spans="1:6" ht="18.899999999999999" customHeight="1">
      <c r="A38" s="395"/>
      <c r="B38" s="396"/>
      <c r="C38" s="396"/>
      <c r="D38" s="396"/>
      <c r="E38" s="396"/>
      <c r="F38" s="397"/>
    </row>
    <row r="39" spans="1:6" ht="18.899999999999999" customHeight="1">
      <c r="A39" s="404" t="s">
        <v>536</v>
      </c>
      <c r="B39" s="405" t="s">
        <v>368</v>
      </c>
      <c r="C39" s="527" t="str">
        <f>'Performance Data Sheet'!C10</f>
        <v>2111218.1</v>
      </c>
      <c r="D39" s="396"/>
      <c r="E39" s="401" t="s">
        <v>537</v>
      </c>
      <c r="F39" s="406" t="str">
        <f>F10</f>
        <v>RF6400</v>
      </c>
    </row>
    <row r="40" spans="1:6" ht="18.899999999999999" customHeight="1">
      <c r="A40" s="395"/>
      <c r="B40" s="405"/>
      <c r="C40" s="405"/>
      <c r="D40" s="396"/>
      <c r="E40" s="396"/>
      <c r="F40" s="397"/>
    </row>
    <row r="41" spans="1:6" ht="18.899999999999999" customHeight="1">
      <c r="A41" s="395"/>
      <c r="B41" s="405"/>
      <c r="C41" s="405"/>
      <c r="D41" s="396"/>
      <c r="E41" s="396"/>
      <c r="F41" s="397"/>
    </row>
    <row r="42" spans="1:6" ht="18.899999999999999" customHeight="1">
      <c r="A42" s="395"/>
      <c r="B42" s="396"/>
      <c r="C42" s="396"/>
      <c r="D42" s="396"/>
      <c r="E42" s="396"/>
      <c r="F42" s="397"/>
    </row>
    <row r="43" spans="1:6" ht="18.899999999999999" customHeight="1">
      <c r="A43" s="407"/>
      <c r="B43" s="405"/>
      <c r="C43" s="408" t="s">
        <v>538</v>
      </c>
      <c r="D43" s="409" t="str">
        <f>'Performance Data Sheet'!K42</f>
        <v>Zichao Xie</v>
      </c>
      <c r="E43" s="408" t="s">
        <v>539</v>
      </c>
      <c r="F43" s="40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2" t="s">
        <v>400</v>
      </c>
      <c r="B53" s="422" t="s">
        <v>142</v>
      </c>
      <c r="C53" s="422" t="s">
        <v>120</v>
      </c>
      <c r="D53" s="422" t="s">
        <v>135</v>
      </c>
      <c r="E53" s="422" t="s">
        <v>5</v>
      </c>
      <c r="F53" s="423" t="s">
        <v>600</v>
      </c>
    </row>
    <row r="54" spans="1:6" ht="15" customHeight="1">
      <c r="A54" s="424">
        <v>0</v>
      </c>
      <c r="B54" s="425"/>
      <c r="C54" s="426"/>
      <c r="D54" s="426">
        <v>54.806897063255128</v>
      </c>
      <c r="E54" s="426">
        <v>100</v>
      </c>
      <c r="F54" s="427">
        <f>6105/8000</f>
        <v>0.76312500000000005</v>
      </c>
    </row>
    <row r="55" spans="1:6" ht="15" customHeight="1">
      <c r="A55" s="428">
        <v>25</v>
      </c>
      <c r="B55" s="429">
        <v>87.040771484375</v>
      </c>
      <c r="C55" s="430">
        <v>33.715747833251953</v>
      </c>
      <c r="D55" s="430">
        <v>63.560966945145083</v>
      </c>
      <c r="E55" s="430">
        <v>67.704516689751685</v>
      </c>
      <c r="F55" s="431">
        <v>10.714714251122006</v>
      </c>
    </row>
    <row r="56" spans="1:6" ht="15" customHeight="1">
      <c r="A56" s="428">
        <v>50</v>
      </c>
      <c r="B56" s="429">
        <v>92.515525817871094</v>
      </c>
      <c r="C56" s="430">
        <v>54.859210968017578</v>
      </c>
      <c r="D56" s="430">
        <v>73.504163828933926</v>
      </c>
      <c r="E56" s="430">
        <v>61.93349558574576</v>
      </c>
      <c r="F56" s="431">
        <v>20.161310088337213</v>
      </c>
    </row>
    <row r="57" spans="1:6">
      <c r="A57" s="428">
        <v>75</v>
      </c>
      <c r="B57" s="429">
        <v>94.191276550292969</v>
      </c>
      <c r="C57" s="430">
        <v>67.266136169433594</v>
      </c>
      <c r="D57" s="430">
        <v>88.320233632893661</v>
      </c>
      <c r="E57" s="430">
        <v>56.002239254802433</v>
      </c>
      <c r="F57" s="431">
        <v>29.703934130038757</v>
      </c>
    </row>
    <row r="58" spans="1:6">
      <c r="A58" s="428">
        <v>100</v>
      </c>
      <c r="B58" s="429">
        <v>94.843727111816406</v>
      </c>
      <c r="C58" s="430">
        <v>74.19305419921875</v>
      </c>
      <c r="D58" s="430">
        <v>106.03135569056434</v>
      </c>
      <c r="E58" s="430">
        <v>49.873756808134573</v>
      </c>
      <c r="F58" s="431">
        <v>39.332796522228584</v>
      </c>
    </row>
    <row r="59" spans="1:6" ht="13.8" thickBot="1">
      <c r="A59" s="432">
        <v>125</v>
      </c>
      <c r="B59" s="433">
        <v>95.049171447753906</v>
      </c>
      <c r="C59" s="434">
        <v>77.892494201660156</v>
      </c>
      <c r="D59" s="434">
        <v>125.97149282540875</v>
      </c>
      <c r="E59" s="434">
        <v>43.705225075439188</v>
      </c>
      <c r="F59" s="435">
        <v>49.059725953605877</v>
      </c>
    </row>
    <row r="60" spans="1:6">
      <c r="A60" s="410"/>
      <c r="B60" s="411"/>
      <c r="C60" s="411"/>
    </row>
    <row r="61" spans="1:6">
      <c r="A61" s="410"/>
      <c r="B61" s="411"/>
      <c r="C61" s="411"/>
    </row>
    <row r="62" spans="1:6">
      <c r="A62" s="410"/>
      <c r="B62" s="411"/>
      <c r="C62" s="411"/>
    </row>
    <row r="63" spans="1:6">
      <c r="A63" s="410"/>
      <c r="B63" s="411"/>
      <c r="C63" s="411"/>
    </row>
    <row r="64" spans="1:6">
      <c r="A64" s="410"/>
      <c r="B64" s="411"/>
      <c r="C64" s="411"/>
    </row>
    <row r="65" spans="1:3">
      <c r="A65" s="410"/>
      <c r="B65" s="411"/>
      <c r="C65" s="411"/>
    </row>
    <row r="66" spans="1:3">
      <c r="A66" s="410"/>
      <c r="B66" s="411"/>
      <c r="C66" s="411"/>
    </row>
    <row r="67" spans="1:3">
      <c r="A67" s="412"/>
      <c r="B67" s="411"/>
      <c r="C67" s="411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DesignSheet</vt:lpstr>
      <vt:lpstr>Data Sheet</vt:lpstr>
      <vt:lpstr>LoginSheet</vt:lpstr>
      <vt:lpstr>StallTime</vt:lpstr>
      <vt:lpstr>STCurve</vt:lpstr>
      <vt:lpstr>Performance Data Sheet</vt:lpstr>
      <vt:lpstr>Thermdam</vt:lpstr>
      <vt:lpstr>Performance 4000V</vt:lpstr>
      <vt:lpstr>Performance 2300V</vt:lpstr>
      <vt:lpstr>'Data Sheet'!Print_Area</vt:lpstr>
      <vt:lpstr>DesignSheet!Print_Area</vt:lpstr>
      <vt:lpstr>LoginSheet!Print_Area</vt:lpstr>
      <vt:lpstr>'Performance 2300V'!Print_Area</vt:lpstr>
      <vt:lpstr>'Performance 4000V'!Print_Area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</cp:lastModifiedBy>
  <cp:lastPrinted>2017-05-22T14:20:14Z</cp:lastPrinted>
  <dcterms:created xsi:type="dcterms:W3CDTF">1997-10-03T20:37:30Z</dcterms:created>
  <dcterms:modified xsi:type="dcterms:W3CDTF">2023-06-14T16:23:08Z</dcterms:modified>
</cp:coreProperties>
</file>