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N:\DESPRO\BASE MV DESIGNS\New 5010_5810 TEFC\"/>
    </mc:Choice>
  </mc:AlternateContent>
  <xr:revisionPtr revIDLastSave="0" documentId="13_ncr:1_{EC1DD1D8-D45D-49A7-848B-75A96ABA5D54}" xr6:coauthVersionLast="47" xr6:coauthVersionMax="47" xr10:uidLastSave="{00000000-0000-0000-0000-000000000000}"/>
  <bookViews>
    <workbookView xWindow="22932" yWindow="3480" windowWidth="19416" windowHeight="10416" tabRatio="838" activeTab="1" xr2:uid="{00000000-000D-0000-FFFF-FFFF00000000}"/>
  </bookViews>
  <sheets>
    <sheet name="DesignSheet" sheetId="2" r:id="rId1"/>
    <sheet name="Data Sheet" sheetId="3" r:id="rId2"/>
    <sheet name="LoginSheet" sheetId="4" r:id="rId3"/>
    <sheet name="StallTime" sheetId="5" r:id="rId4"/>
    <sheet name="MagNoise" sheetId="10" r:id="rId5"/>
    <sheet name="Performance Data Sheet" sheetId="9" r:id="rId6"/>
    <sheet name="STCurve" sheetId="6" r:id="rId7"/>
    <sheet name="Thermdam" sheetId="7" r:id="rId8"/>
    <sheet name="Performance 4000V" sheetId="8" r:id="rId9"/>
    <sheet name="Performance 2300V" sheetId="11" r:id="rId10"/>
  </sheets>
  <definedNames>
    <definedName name="_Regression_Int" localSheetId="5" hidden="1">1</definedName>
    <definedName name="_xlnm.Print_Area" localSheetId="1">'Data Sheet'!$A$1:$K$46</definedName>
    <definedName name="_xlnm.Print_Area" localSheetId="0">DesignSheet!$A$1:$J$69</definedName>
    <definedName name="_xlnm.Print_Area" localSheetId="2">LoginSheet!$A$1:$N$79</definedName>
    <definedName name="_xlnm.Print_Area" localSheetId="9">'Performance 2300V'!$A$1:$F$43</definedName>
    <definedName name="_xlnm.Print_Area" localSheetId="8">'Performance 4000V'!$A$1:$F$43</definedName>
    <definedName name="_xlnm.Print_Area" localSheetId="5">'Performance Data Sheet'!$A$1:$M$44</definedName>
    <definedName name="_xlnm.Print_Area" localSheetId="3">StallTime!$A$1:$G$40</definedName>
    <definedName name="_xlnm.Print_Area" localSheetId="6">STCurve!$A$1:$F$43</definedName>
    <definedName name="_xlnm.Print_Area" localSheetId="7">Thermdam!$A$1:$F$43</definedName>
    <definedName name="Print_Area_MI">'Performance Data Sheet'!$A$10:$N$42</definedName>
    <definedName name="Z_852987ED_B4F5_11D1_ABEC_0000832EB49E_.wvu.PrintArea" localSheetId="9" hidden="1">'Performance 2300V'!$A$1:$F$43</definedName>
    <definedName name="Z_852987ED_B4F5_11D1_ABEC_0000832EB49E_.wvu.PrintArea" localSheetId="8" hidden="1">'Performance 4000V'!$A$1:$F$43</definedName>
    <definedName name="Z_852987ED_B4F5_11D1_ABEC_0000832EB49E_.wvu.PrintArea" localSheetId="6" hidden="1">STCurve!$A$1:$F$43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" i="11" l="1"/>
  <c r="D43" i="11"/>
  <c r="F39" i="11"/>
  <c r="C39" i="11"/>
  <c r="C15" i="11"/>
  <c r="C13" i="11"/>
  <c r="B10" i="11"/>
  <c r="F9" i="11"/>
  <c r="B9" i="11"/>
  <c r="F8" i="11"/>
  <c r="F7" i="11"/>
  <c r="B7" i="11"/>
  <c r="B6" i="11"/>
  <c r="F54" i="8"/>
  <c r="E81" i="7"/>
  <c r="E80" i="7"/>
  <c r="D43" i="8"/>
  <c r="D43" i="7"/>
  <c r="D43" i="6"/>
  <c r="C39" i="8"/>
  <c r="C39" i="7"/>
  <c r="C39" i="6"/>
  <c r="C15" i="8"/>
  <c r="C15" i="7"/>
  <c r="C15" i="6"/>
  <c r="C13" i="8"/>
  <c r="C13" i="7"/>
  <c r="C13" i="6"/>
  <c r="C12" i="7"/>
  <c r="C12" i="6"/>
  <c r="F39" i="8"/>
  <c r="F39" i="7"/>
  <c r="F39" i="6"/>
  <c r="F9" i="8"/>
  <c r="F9" i="7"/>
  <c r="F9" i="6"/>
  <c r="F8" i="8"/>
  <c r="F8" i="7"/>
  <c r="F8" i="6"/>
  <c r="F7" i="8"/>
  <c r="F7" i="7"/>
  <c r="F7" i="6"/>
  <c r="F6" i="7"/>
  <c r="F6" i="6"/>
  <c r="D7" i="7"/>
  <c r="D7" i="6"/>
  <c r="B10" i="8"/>
  <c r="B10" i="7"/>
  <c r="B10" i="6"/>
  <c r="B9" i="8"/>
  <c r="B9" i="7"/>
  <c r="B9" i="6"/>
  <c r="B7" i="8"/>
  <c r="B7" i="7"/>
  <c r="B7" i="6"/>
  <c r="B6" i="8"/>
  <c r="B6" i="7"/>
  <c r="B6" i="6"/>
  <c r="C76" i="7"/>
  <c r="C77" i="7" s="1"/>
  <c r="C78" i="7" s="1"/>
  <c r="B76" i="7"/>
  <c r="C75" i="7"/>
  <c r="C74" i="7"/>
  <c r="B74" i="7"/>
  <c r="C69" i="7"/>
  <c r="E68" i="7"/>
  <c r="D66" i="7"/>
  <c r="F50" i="7"/>
  <c r="M28" i="3"/>
  <c r="M52" i="2"/>
  <c r="L41" i="2"/>
  <c r="N41" i="2" s="1"/>
  <c r="M40" i="2"/>
  <c r="N40" i="2" s="1"/>
  <c r="L40" i="2"/>
  <c r="M39" i="2"/>
  <c r="L39" i="2"/>
  <c r="M38" i="2"/>
  <c r="L38" i="2"/>
  <c r="M33" i="2"/>
  <c r="M32" i="2"/>
  <c r="M31" i="2"/>
  <c r="M30" i="2"/>
  <c r="M29" i="2"/>
  <c r="M50" i="2"/>
  <c r="M49" i="2"/>
  <c r="M48" i="2"/>
  <c r="M46" i="2"/>
  <c r="M47" i="2"/>
  <c r="N38" i="2" l="1"/>
  <c r="B70" i="7"/>
  <c r="B69" i="7"/>
  <c r="B75" i="7" s="1"/>
  <c r="N39" i="2"/>
  <c r="M53" i="2"/>
  <c r="C70" i="7" l="1"/>
  <c r="C71" i="7"/>
  <c r="B71" i="7"/>
  <c r="A72" i="7"/>
  <c r="A73" i="7" l="1"/>
  <c r="B73" i="7" s="1"/>
  <c r="B7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Yoshiura</author>
  </authors>
  <commentList>
    <comment ref="K4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 shapeId="0" xr:uid="{00000000-0006-0000-0100-000003000000}">
      <text>
        <r>
          <rPr>
            <b/>
            <sz val="8"/>
            <color indexed="81"/>
            <rFont val="Tahoma"/>
          </rPr>
          <t>Choose Method of coil connection from list!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<sst xmlns="http://schemas.openxmlformats.org/spreadsheetml/2006/main" count="1028" uniqueCount="763">
  <si>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</si>
  <si>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</si>
  <si>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</si>
  <si>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</si>
  <si>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</si>
  <si>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</si>
  <si>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</si>
  <si>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</si>
  <si>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</si>
  <si>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</si>
  <si>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</si>
  <si>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</si>
  <si>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</si>
  <si>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</si>
  <si>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</si>
  <si>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</si>
  <si>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</si>
  <si>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</si>
  <si>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</si>
  <si>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</si>
  <si>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</si>
  <si>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</si>
  <si>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</si>
  <si>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</si>
  <si>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</si>
  <si>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</si>
  <si>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</si>
  <si>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</si>
  <si>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</si>
  <si>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</si>
  <si>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</si>
  <si>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</si>
  <si>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</si>
  <si>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</si>
  <si>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</si>
  <si>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</si>
  <si>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</si>
  <si>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</si>
  <si>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</si>
  <si>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</si>
  <si>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</si>
  <si>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</si>
  <si>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</si>
  <si>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</si>
  <si>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</si>
  <si>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</si>
  <si>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</si>
  <si>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</si>
  <si>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</si>
  <si>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</si>
  <si>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</si>
  <si>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</si>
  <si>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</si>
  <si>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</si>
  <si>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</si>
  <si>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</si>
  <si>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</si>
  <si>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</si>
  <si>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</si>
  <si>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</si>
  <si>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</si>
  <si>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</si>
  <si>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</si>
  <si>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</si>
  <si>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</si>
  <si>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</si>
  <si>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</si>
  <si>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</si>
  <si>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</si>
  <si>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</si>
  <si>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</si>
  <si>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</si>
  <si>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</si>
  <si>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</si>
  <si>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</si>
  <si>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</si>
  <si>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</si>
  <si>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</si>
  <si>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</si>
  <si>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</si>
  <si>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</si>
  <si>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</si>
  <si>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</si>
  <si>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</si>
  <si>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</si>
  <si>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</si>
  <si>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</si>
  <si>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</si>
  <si>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</si>
  <si>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</si>
  <si>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</si>
  <si>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</si>
  <si>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</si>
  <si>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</si>
  <si>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</si>
  <si>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</si>
  <si>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</si>
  <si>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</si>
  <si>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</si>
  <si>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</si>
  <si>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</si>
  <si>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</si>
  <si>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</si>
  <si>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</si>
  <si>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</si>
  <si>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</si>
  <si>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</si>
  <si>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</si>
  <si>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</si>
  <si>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</si>
  <si>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</si>
  <si>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</si>
  <si>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</si>
  <si>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</si>
  <si>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</si>
  <si>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</si>
  <si>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</si>
  <si>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</si>
  <si>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</si>
  <si>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</si>
  <si>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</si>
  <si>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</si>
  <si>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</si>
  <si>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</si>
  <si>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</si>
  <si>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</si>
  <si>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</si>
  <si>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</si>
  <si>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</si>
  <si>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</si>
  <si>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</si>
  <si>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</si>
  <si>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</si>
  <si>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</si>
  <si>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</si>
  <si>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</si>
  <si>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</si>
  <si>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</si>
  <si>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</si>
  <si>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</si>
  <si>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</si>
  <si>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</si>
  <si>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</si>
  <si>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</si>
  <si>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Double Cage Data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</si>
  <si>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</si>
  <si>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</si>
  <si>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</si>
  <si>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</si>
  <si>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</si>
  <si>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</si>
  <si>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</si>
  <si>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</si>
  <si>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</si>
  <si>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</si>
  <si>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</si>
  <si>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</si>
  <si>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</si>
  <si>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</si>
  <si>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</si>
  <si>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</si>
  <si>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</si>
  <si>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</si>
  <si>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</si>
  <si>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</si>
  <si>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</si>
  <si>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</si>
  <si>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</si>
  <si>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</si>
  <si>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</si>
  <si>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</si>
  <si>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</si>
  <si>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</si>
  <si>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</si>
  <si>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</si>
  <si>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</si>
  <si>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</si>
  <si>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Current</t>
  </si>
  <si>
    <t>Eff.</t>
  </si>
  <si>
    <t>PF.</t>
  </si>
  <si>
    <r>
      <t>HP</t>
    </r>
    <r>
      <rPr>
        <vertAlign val="superscript"/>
        <sz val="10"/>
        <rFont val="Arial"/>
        <family val="2"/>
      </rPr>
      <t>0.95</t>
    </r>
  </si>
  <si>
    <r>
      <t>HP</t>
    </r>
    <r>
      <rPr>
        <vertAlign val="superscript"/>
        <sz val="10"/>
        <rFont val="Arial"/>
        <family val="2"/>
      </rPr>
      <t>1.5</t>
    </r>
  </si>
  <si>
    <r>
      <t>(RPM/1000)</t>
    </r>
    <r>
      <rPr>
        <vertAlign val="superscript"/>
        <sz val="10"/>
        <rFont val="Arial"/>
        <family val="2"/>
      </rPr>
      <t>2.4</t>
    </r>
  </si>
  <si>
    <r>
      <t>(RPM/1000)</t>
    </r>
    <r>
      <rPr>
        <vertAlign val="superscript"/>
        <sz val="10"/>
        <rFont val="Arial"/>
        <family val="2"/>
      </rPr>
      <t>1.8</t>
    </r>
  </si>
  <si>
    <t>A</t>
  </si>
  <si>
    <t>k</t>
  </si>
  <si>
    <t>Load Inertia</t>
  </si>
  <si>
    <t>125RPM</t>
  </si>
  <si>
    <t>100RPM</t>
  </si>
  <si>
    <t>75RPM</t>
  </si>
  <si>
    <t>50RPM</t>
  </si>
  <si>
    <t>25RPM</t>
  </si>
  <si>
    <t>Hz</t>
  </si>
  <si>
    <t>FCKW</t>
  </si>
  <si>
    <t>5811US</t>
  </si>
  <si>
    <t>Open</t>
  </si>
  <si>
    <t>Dbl - Closed</t>
  </si>
  <si>
    <t>7.80 - 7.80</t>
  </si>
  <si>
    <t>2.83 - 2.00</t>
  </si>
  <si>
    <t>Magnetic</t>
  </si>
  <si>
    <t>1 ~ 11</t>
  </si>
  <si>
    <t>(.102"x.144")x1</t>
  </si>
  <si>
    <t>(.102"x.162")x1</t>
  </si>
  <si>
    <t>Wye</t>
  </si>
  <si>
    <t>(105°C)</t>
  </si>
  <si>
    <t>CU</t>
  </si>
  <si>
    <t>AL</t>
  </si>
  <si>
    <t>ERD1: 306.0</t>
  </si>
  <si>
    <t>ERD2: 420.0</t>
  </si>
  <si>
    <t>LB:  -</t>
  </si>
  <si>
    <t>LER:  -</t>
  </si>
  <si>
    <t>UB: 432.9</t>
  </si>
  <si>
    <t>UER: 2040.0</t>
  </si>
  <si>
    <t>ERT: 40.0</t>
  </si>
  <si>
    <t>(Coeff.: 0.1171)</t>
  </si>
  <si>
    <t>Skew R.: 0.57</t>
  </si>
  <si>
    <t>G:\DESPRO\RATFILE\RF6500USS.rat</t>
  </si>
  <si>
    <t>2-2-2-0-1-2</t>
  </si>
  <si>
    <t>B.L.-1  P.F.-1</t>
  </si>
  <si>
    <t>4712.2 / 5225.4</t>
  </si>
  <si>
    <t>2902.6 / 3442.9</t>
  </si>
  <si>
    <t>11162.0 / 7515.0</t>
  </si>
  <si>
    <t>4030.0 / 3407.9</t>
  </si>
  <si>
    <t>6731.1 / 3586.0</t>
  </si>
  <si>
    <t>1199.0 / 638.7</t>
  </si>
  <si>
    <t>5532.2 / 2947.2</t>
  </si>
  <si>
    <t>1.75 / 0.93</t>
  </si>
  <si>
    <t>79 / 79</t>
  </si>
  <si>
    <t>Temp. Rise @ 100%:</t>
  </si>
  <si>
    <t>Stray Loss</t>
  </si>
  <si>
    <t>0.888 / 0.886</t>
  </si>
  <si>
    <t>0.935 / 0.933</t>
  </si>
  <si>
    <t>0.949 / 0.947</t>
  </si>
  <si>
    <t>0.954 / 0.953</t>
  </si>
  <si>
    <t>0.955 / 0.954</t>
  </si>
  <si>
    <t>0.511 / 0.496</t>
  </si>
  <si>
    <t>0.720 / 0.699</t>
  </si>
  <si>
    <t>0.800 / 0.777</t>
  </si>
  <si>
    <t>0.8298 / 0.8060</t>
  </si>
  <si>
    <t>0.836 / 0.812</t>
  </si>
  <si>
    <t>29.67 / 30.61</t>
  </si>
  <si>
    <t>39.98 / 41.24</t>
  </si>
  <si>
    <t>53.19 / 54.86</t>
  </si>
  <si>
    <t>67.98 / 70.12</t>
  </si>
  <si>
    <t>84.21 / 86.87</t>
  </si>
  <si>
    <t>3.48 / 3.59</t>
  </si>
  <si>
    <t>UB: 1.97 / 2.04</t>
  </si>
  <si>
    <t>UER: 1.29 / 1.34</t>
  </si>
  <si>
    <t>1197.8 / 1195.6</t>
  </si>
  <si>
    <t>1195.7 / 1193.4</t>
  </si>
  <si>
    <t>1193.5 / 1191.3</t>
  </si>
  <si>
    <t>1191.2 / 1189.0</t>
  </si>
  <si>
    <t>1188.9 / 1186.6</t>
  </si>
  <si>
    <t>0.0018 / 0.0037</t>
  </si>
  <si>
    <t>0.0036 / 0.0055</t>
  </si>
  <si>
    <t>0.0054 / 0.0073</t>
  </si>
  <si>
    <t>0.0073 / 0.0092</t>
  </si>
  <si>
    <t>0.0093 / 0.0111</t>
  </si>
  <si>
    <t>22.900 / 24.408</t>
  </si>
  <si>
    <t>0.971 / 1.034</t>
  </si>
  <si>
    <t>22.92 / 24.43</t>
  </si>
  <si>
    <t>322.8 / 394.2</t>
  </si>
  <si>
    <t>474.8 / 579.9</t>
  </si>
  <si>
    <t>327.7 / 403.5</t>
  </si>
  <si>
    <t>107.4 / 132.3</t>
  </si>
  <si>
    <t>183.5 / 215.4</t>
  </si>
  <si>
    <t>Correlated to: RF6500USS_LAB 2983 &amp; 2988_RM_550Fan.dat</t>
  </si>
  <si>
    <t>USA Wire Std</t>
  </si>
  <si>
    <t>DesPro8AX Draft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</si>
  <si>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</si>
  <si>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</si>
  <si>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</si>
  <si>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</si>
  <si>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</si>
  <si>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</si>
  <si>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</si>
  <si>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</si>
  <si>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</si>
  <si>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</si>
  <si>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</si>
  <si>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</si>
  <si>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</si>
  <si>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</si>
  <si>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</si>
  <si>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</si>
  <si>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</si>
  <si>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</si>
  <si>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</si>
  <si>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</si>
  <si>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</si>
  <si>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</si>
  <si>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</si>
  <si>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</si>
  <si>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</si>
  <si>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</si>
  <si>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</si>
  <si>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</si>
  <si>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</si>
  <si>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</si>
  <si>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</si>
  <si>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</si>
  <si>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</si>
  <si>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</si>
  <si>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</si>
  <si>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</si>
  <si>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</si>
  <si>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</si>
  <si>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</si>
  <si>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</si>
  <si>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</si>
  <si>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</si>
  <si>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</si>
  <si>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</si>
  <si>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</si>
  <si>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</si>
  <si>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</si>
  <si>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</si>
  <si>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</si>
  <si>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</si>
  <si>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</si>
  <si>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B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</si>
  <si>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</si>
  <si>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</si>
  <si>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</si>
  <si>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</si>
  <si>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</si>
  <si>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</si>
  <si>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</si>
  <si>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</si>
  <si>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</si>
  <si>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</si>
  <si>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</si>
  <si>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</si>
  <si>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</si>
  <si>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</si>
  <si>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</si>
  <si>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</si>
  <si>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</si>
  <si>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</si>
  <si>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</si>
  <si>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</si>
  <si>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</si>
  <si>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</si>
  <si>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</si>
  <si>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</si>
  <si>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</si>
  <si>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</si>
  <si>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 (Reference)</t>
  </si>
  <si>
    <t>Note</t>
  </si>
  <si>
    <t>Approved</t>
  </si>
  <si>
    <t>Design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</si>
  <si>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</si>
  <si>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</si>
  <si>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</si>
  <si>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</si>
  <si>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</si>
  <si>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</si>
  <si>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</si>
  <si>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</si>
  <si>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</si>
  <si>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</si>
  <si>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</si>
  <si>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</si>
  <si>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</si>
  <si>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</si>
  <si>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</si>
  <si>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</si>
  <si>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</si>
  <si>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</si>
  <si>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</si>
  <si>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</si>
  <si>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</si>
  <si>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</si>
  <si>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</si>
  <si>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</si>
  <si>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</si>
  <si>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</si>
  <si>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</si>
  <si>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</si>
  <si>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RF6500USS</t>
  </si>
  <si>
    <t>13 x 2</t>
  </si>
  <si>
    <t>79 / 104</t>
  </si>
  <si>
    <t>359 / 2021</t>
  </si>
  <si>
    <t>204 / 134</t>
  </si>
  <si>
    <t>5006FTAL11E-A</t>
  </si>
  <si>
    <t>Outer Fan: 550 mm Radial fan w/plate</t>
  </si>
  <si>
    <t>Rotor Skew, 0.8</t>
  </si>
  <si>
    <t>QC Limits: RF6500USS</t>
  </si>
  <si>
    <t>Rev2. Wire size changed from 0.102x0.144x2</t>
  </si>
  <si>
    <t>A.Gracia  06/01/10</t>
  </si>
  <si>
    <t>LINK:</t>
  </si>
  <si>
    <t>Z.X 02/13/19</t>
  </si>
  <si>
    <t>V.Phillips</t>
  </si>
  <si>
    <t>Rev1. CHGED WIRE DUE TO EDS08-1061</t>
  </si>
  <si>
    <t>Rev3. Update correlation.</t>
  </si>
  <si>
    <t xml:space="preserve">JERRY R 04/05/10 </t>
  </si>
  <si>
    <t>Z.X 05/23/19</t>
  </si>
  <si>
    <t>Rev0. FIRST ISSUE</t>
  </si>
  <si>
    <t>6,7,7,6</t>
  </si>
  <si>
    <t>RF6500USS.rat with RF6500USS_LAB 2983 &amp; 2988_RM_550Fan.dat</t>
  </si>
  <si>
    <t>Rev4. Update Correlation based on latest tests.</t>
  </si>
  <si>
    <t>Current (%)</t>
  </si>
  <si>
    <t>Current(%)</t>
  </si>
  <si>
    <t>S-T Curve Data (Custom Values)</t>
  </si>
  <si>
    <t>Load</t>
  </si>
  <si>
    <t>Load Type:</t>
  </si>
  <si>
    <t>Load Inertia:</t>
  </si>
  <si>
    <t>Accel. Time:</t>
  </si>
  <si>
    <t>Rated Torque:</t>
  </si>
  <si>
    <t>Fan / Pump</t>
  </si>
  <si>
    <t>864.1 kg.m²</t>
  </si>
  <si>
    <t>Acceleration Data (FV V)</t>
  </si>
  <si>
    <t>11.0 (s)</t>
  </si>
  <si>
    <t>305.0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</si>
  <si>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</si>
  <si>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</si>
  <si>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</si>
  <si>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</si>
  <si>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</si>
  <si>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</si>
  <si>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</si>
  <si>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</si>
  <si>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</si>
  <si>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</si>
  <si>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</si>
  <si>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</si>
  <si>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</si>
  <si>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</si>
  <si>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</si>
  <si>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</si>
  <si>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</si>
  <si>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</si>
  <si>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</si>
  <si>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</si>
  <si>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</si>
  <si>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</si>
  <si>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</si>
  <si>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</si>
  <si>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</si>
  <si>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</si>
  <si>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</si>
  <si>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</si>
  <si>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</si>
  <si>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</si>
  <si>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</si>
  <si>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</si>
  <si>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</si>
  <si>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</si>
  <si>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</si>
  <si>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</si>
  <si>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</si>
  <si>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</si>
  <si>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</si>
  <si>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6 Pole - 500.0 HP - 1200 RPM - 4000 V - 60 Hz</t>
  </si>
  <si>
    <t>0~120</t>
  </si>
  <si>
    <t>120~240</t>
  </si>
  <si>
    <t>240~360</t>
  </si>
  <si>
    <t>360~480</t>
  </si>
  <si>
    <t>480~600</t>
  </si>
  <si>
    <t>600~720</t>
  </si>
  <si>
    <t>720~840</t>
  </si>
  <si>
    <t>840~960</t>
  </si>
  <si>
    <t>960~1020</t>
  </si>
  <si>
    <t>1020~1080</t>
  </si>
  <si>
    <t>1080~1140</t>
  </si>
  <si>
    <t>1140~1188</t>
  </si>
  <si>
    <t>1188~1191</t>
  </si>
  <si>
    <t>Load Type: Fan / Pump - 5126.4 lb-ft²</t>
  </si>
  <si>
    <t>126.0</t>
  </si>
  <si>
    <t>119.4</t>
  </si>
  <si>
    <t>115.2</t>
  </si>
  <si>
    <t>112.6</t>
  </si>
  <si>
    <t>111.0</t>
  </si>
  <si>
    <t>110.2</t>
  </si>
  <si>
    <t>110.0</t>
  </si>
  <si>
    <t>111.7</t>
  </si>
  <si>
    <t>117.7</t>
  </si>
  <si>
    <t>135.4</t>
  </si>
  <si>
    <t>181.8</t>
  </si>
  <si>
    <t>165.8</t>
  </si>
  <si>
    <t>108.3</t>
  </si>
  <si>
    <t>22.5</t>
  </si>
  <si>
    <t>11.5</t>
  </si>
  <si>
    <t>7.0</t>
  </si>
  <si>
    <t>11.0</t>
  </si>
  <si>
    <t>18.0</t>
  </si>
  <si>
    <t>27.5</t>
  </si>
  <si>
    <t>41.5</t>
  </si>
  <si>
    <t>55.5</t>
  </si>
  <si>
    <t>67.5</t>
  </si>
  <si>
    <t>80.5</t>
  </si>
  <si>
    <t>92.5</t>
  </si>
  <si>
    <t>99.0</t>
  </si>
  <si>
    <t>0.940</t>
  </si>
  <si>
    <t>0.901</t>
  </si>
  <si>
    <t>0.899</t>
  </si>
  <si>
    <t>0.921</t>
  </si>
  <si>
    <t>0.973</t>
  </si>
  <si>
    <t>1.055</t>
  </si>
  <si>
    <t>1.179</t>
  </si>
  <si>
    <t>1.386</t>
  </si>
  <si>
    <t>0.782</t>
  </si>
  <si>
    <t>0.716</t>
  </si>
  <si>
    <t>0.480</t>
  </si>
  <si>
    <t>0.531</t>
  </si>
  <si>
    <t>0.281</t>
  </si>
  <si>
    <t>390.7</t>
  </si>
  <si>
    <t>383.8</t>
  </si>
  <si>
    <t>376.3</t>
  </si>
  <si>
    <t>368.1</t>
  </si>
  <si>
    <t>359.5</t>
  </si>
  <si>
    <t>350.1</t>
  </si>
  <si>
    <t>340.2</t>
  </si>
  <si>
    <t>329.2</t>
  </si>
  <si>
    <t>319.3</t>
  </si>
  <si>
    <t>308.3</t>
  </si>
  <si>
    <t>279.5</t>
  </si>
  <si>
    <t>173.8</t>
  </si>
  <si>
    <t>53.0</t>
  </si>
  <si>
    <t>148.8</t>
  </si>
  <si>
    <t>138.0</t>
  </si>
  <si>
    <t>132.5</t>
  </si>
  <si>
    <t>130.2</t>
  </si>
  <si>
    <t>131.4</t>
  </si>
  <si>
    <t>135.6</t>
  </si>
  <si>
    <t>143.3</t>
  </si>
  <si>
    <t>158.7</t>
  </si>
  <si>
    <t>83.3</t>
  </si>
  <si>
    <t>72.6</t>
  </si>
  <si>
    <t>44.5</t>
  </si>
  <si>
    <t>35.9</t>
  </si>
  <si>
    <t>1.4</t>
  </si>
  <si>
    <t>415.4</t>
  </si>
  <si>
    <t>336.5</t>
  </si>
  <si>
    <t>285.7</t>
  </si>
  <si>
    <t>248.9</t>
  </si>
  <si>
    <t>221.5</t>
  </si>
  <si>
    <t>198.2</t>
  </si>
  <si>
    <t>176.4</t>
  </si>
  <si>
    <t>155.5</t>
  </si>
  <si>
    <t>120.5</t>
  </si>
  <si>
    <t>89.2</t>
  </si>
  <si>
    <t>48.5</t>
  </si>
  <si>
    <t>30.4</t>
  </si>
  <si>
    <t>1356 kW / s</t>
  </si>
  <si>
    <t>2059 kW / s</t>
  </si>
  <si>
    <t>316 kW / s</t>
  </si>
  <si>
    <t>24°C</t>
  </si>
  <si>
    <t>62°C</t>
  </si>
  <si>
    <t>27°C</t>
  </si>
  <si>
    <t>47°C</t>
  </si>
  <si>
    <t>125°C</t>
  </si>
  <si>
    <t>55°C</t>
  </si>
  <si>
    <t>Acceleration Time:  11.0 s</t>
  </si>
  <si>
    <t>3.3°C / s</t>
  </si>
  <si>
    <t>12.7°C / s</t>
  </si>
  <si>
    <t>5.6°C / s</t>
  </si>
  <si>
    <t>191.2 kW</t>
  </si>
  <si>
    <t>420.3 kW</t>
  </si>
  <si>
    <t>64.6 kW</t>
  </si>
  <si>
    <t>47.9 s</t>
  </si>
  <si>
    <t>20.4 s</t>
  </si>
  <si>
    <t>32.2 s</t>
  </si>
  <si>
    <t>79°C    +</t>
  </si>
  <si>
    <t>108°C    +</t>
  </si>
  <si>
    <t>81°C    +</t>
  </si>
  <si>
    <t>152°C   +</t>
  </si>
  <si>
    <t>72°C   +</t>
  </si>
  <si>
    <t>24.2 s</t>
  </si>
  <si>
    <t>12.0 s</t>
  </si>
  <si>
    <t>12.9 s</t>
  </si>
  <si>
    <t>19.3 s</t>
  </si>
  <si>
    <t>7.7 s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</si>
  <si>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</si>
  <si>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</si>
  <si>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</si>
  <si>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</si>
  <si>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</si>
  <si>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</si>
  <si>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</si>
  <si>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</si>
  <si>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</si>
  <si>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</si>
  <si>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</si>
  <si>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</si>
  <si>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</si>
  <si>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Locked Rotor Amps:</t>
  </si>
  <si>
    <t>Locked Rotor Torque:</t>
  </si>
  <si>
    <t>Starting at:</t>
  </si>
  <si>
    <t>Breakdown Torque:</t>
  </si>
  <si>
    <t>Comments:</t>
  </si>
  <si>
    <t>D.E.Curve #:</t>
  </si>
  <si>
    <t>Prepared by:</t>
  </si>
  <si>
    <t>Checked by:</t>
  </si>
  <si>
    <t>373.2 lb-ft²</t>
  </si>
  <si>
    <t>5126.4 lb-ft²</t>
  </si>
  <si>
    <t>FV (V)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</si>
  <si>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</si>
  <si>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</si>
  <si>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</si>
  <si>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</si>
  <si>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</si>
  <si>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</si>
  <si>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Performance Curve</t>
  </si>
  <si>
    <t>Input Watts</t>
  </si>
  <si>
    <t>INDEX</t>
  </si>
  <si>
    <t>MPCF-1033</t>
  </si>
  <si>
    <t>Industrial Division / Houston Motor Plant</t>
  </si>
  <si>
    <t>SHEET NO.</t>
  </si>
  <si>
    <t>1 of 1</t>
  </si>
  <si>
    <t>ISSUED</t>
  </si>
  <si>
    <t>7/31/13</t>
  </si>
  <si>
    <t>SUPERSEDES</t>
  </si>
  <si>
    <t>11/8/96</t>
  </si>
  <si>
    <t>REVISION</t>
  </si>
  <si>
    <t>SQUIRREL CAGE INDUCTION MOTOR</t>
  </si>
  <si>
    <t>WRITTEN BY</t>
  </si>
  <si>
    <t>MDC</t>
  </si>
  <si>
    <t>PERFORMANCE SPECIFICATIONS</t>
  </si>
  <si>
    <t>APPROVED BY</t>
  </si>
  <si>
    <t>PAA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</si>
  <si>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</si>
  <si>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</si>
  <si>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</si>
  <si>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</si>
  <si>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</si>
  <si>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</si>
  <si>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</si>
  <si>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</si>
  <si>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</si>
  <si>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</si>
  <si>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</si>
  <si>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</si>
  <si>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</si>
  <si>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</si>
  <si>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</si>
  <si>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</si>
  <si>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</si>
  <si>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</si>
  <si>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</si>
  <si>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</si>
  <si>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</si>
  <si>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</si>
  <si>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</si>
  <si>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</si>
  <si>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</si>
  <si>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</si>
  <si>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</si>
  <si>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</si>
  <si>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</si>
  <si>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</si>
  <si>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REFER TO NP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</si>
  <si>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</si>
  <si>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</si>
  <si>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</si>
  <si>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</si>
  <si>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</si>
  <si>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</si>
  <si>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</si>
  <si>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</si>
  <si>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</si>
  <si>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</si>
  <si>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</si>
  <si>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</si>
  <si>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</si>
  <si>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</si>
  <si>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</si>
  <si>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Zichao Xie</t>
  </si>
  <si>
    <t>DATE:</t>
  </si>
  <si>
    <t>6205ZZ</t>
  </si>
  <si>
    <t>TEFC</t>
  </si>
  <si>
    <t>6206UU</t>
  </si>
  <si>
    <t>ODP</t>
  </si>
  <si>
    <t>6207ZZ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</si>
  <si>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</si>
  <si>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</si>
  <si>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</si>
  <si>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</si>
  <si>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</si>
  <si>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</si>
  <si>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</si>
  <si>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</si>
  <si>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</si>
  <si>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</si>
  <si>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</si>
  <si>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</si>
  <si>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</si>
  <si>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</si>
  <si>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</si>
  <si>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</si>
  <si>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</si>
  <si>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</si>
  <si>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</si>
  <si>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</si>
  <si>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</si>
  <si>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</si>
  <si>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</si>
  <si>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</si>
  <si>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</si>
  <si>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</si>
  <si>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</si>
  <si>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</si>
  <si>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</si>
  <si>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</si>
  <si>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</si>
  <si>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</si>
  <si>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</si>
  <si>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</si>
  <si>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</si>
  <si>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</si>
  <si>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TIKK</t>
  </si>
  <si>
    <t>60 Hz</t>
  </si>
  <si>
    <t>Magnetic Noise Verification</t>
  </si>
  <si>
    <t>Electromagnetic Excitation Frequencies</t>
  </si>
  <si>
    <t>L =</t>
  </si>
  <si>
    <t>+ 1</t>
  </si>
  <si>
    <t>- 1</t>
  </si>
  <si>
    <t>Slip =</t>
  </si>
  <si>
    <t>Mode A</t>
  </si>
  <si>
    <t>Mode B</t>
  </si>
  <si>
    <t>Mode C</t>
  </si>
  <si>
    <t>Natural Frequencies of Stator Core</t>
  </si>
  <si>
    <t>Mode 0  =</t>
  </si>
  <si>
    <t>Mode 6  =</t>
  </si>
  <si>
    <t>Mode 2  =</t>
  </si>
  <si>
    <t>Mode 7  =</t>
  </si>
  <si>
    <t>Mode 3  =</t>
  </si>
  <si>
    <t>Mode 8  =</t>
  </si>
  <si>
    <t>Mode 4  =</t>
  </si>
  <si>
    <t>Mode 9  =</t>
  </si>
  <si>
    <t>Mode 5  =</t>
  </si>
  <si>
    <t>Mode 10  =</t>
  </si>
  <si>
    <t>Analysis Results</t>
  </si>
  <si>
    <t>1280.0 Hz</t>
  </si>
  <si>
    <t>1271.5 Hz</t>
  </si>
  <si>
    <t>1040.0 Hz</t>
  </si>
  <si>
    <t>1031.5 Hz</t>
  </si>
  <si>
    <t>1160.0 Hz</t>
  </si>
  <si>
    <t>1151.5 Hz</t>
  </si>
  <si>
    <t>2351.7 Hz</t>
  </si>
  <si>
    <t>264.0 Hz</t>
  </si>
  <si>
    <t>746.7 Hz</t>
  </si>
  <si>
    <t>1431.8 Hz</t>
  </si>
  <si>
    <t>2315.6 Hz</t>
  </si>
  <si>
    <t>3396.9 Hz</t>
  </si>
  <si>
    <t>4675.4 Hz</t>
  </si>
  <si>
    <t>6150.9 Hz</t>
  </si>
  <si>
    <t>7823.3 Hz</t>
  </si>
  <si>
    <t>9692.5 Hz</t>
  </si>
  <si>
    <t>No matching frequencies detected.</t>
  </si>
  <si>
    <t>1.15</t>
  </si>
  <si>
    <t>Type: TIKK - Form: FCKW - 6 Pole - 500 HP - 2300/4000 V - 60 Hz - 5811US - Class F</t>
  </si>
  <si>
    <t>1 x D / 1 x Wye</t>
  </si>
  <si>
    <t>682 / 394</t>
  </si>
  <si>
    <t>121 / 70</t>
  </si>
  <si>
    <t>ADDED 2300V DATA JROD 01/19/2024</t>
  </si>
  <si>
    <t>2300/4000</t>
  </si>
  <si>
    <t>121/70</t>
  </si>
  <si>
    <t>682/394</t>
  </si>
  <si>
    <t>2300 V</t>
  </si>
  <si>
    <t>682 A</t>
  </si>
  <si>
    <t>4000 V</t>
  </si>
  <si>
    <t>394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</si>
</sst>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0"/>
    <numFmt numFmtId="165" formatCode="0.0000"/>
    <numFmt numFmtId="166" formatCode="0.000"/>
    <numFmt numFmtId="167" formatCode="0.0"/>
    <numFmt numFmtId="168" formatCode="0.0%"/>
    <numFmt numFmtId="169" formatCode=".0000"/>
    <numFmt numFmtId="170" formatCode="mm/dd/yy"/>
    <numFmt numFmtId="171" formatCode="0.00_);\(0.00\)"/>
    <numFmt numFmtId="172" formatCode="General_)"/>
  </numFmts>
  <fonts count="82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vertAlign val="superscript"/>
      <sz val="10"/>
      <name val="Arial"/>
      <family val="2"/>
    </font>
    <font>
      <b/>
      <sz val="10"/>
      <color indexed="12"/>
      <name val="Arial"/>
      <family val="2"/>
    </font>
    <font>
      <sz val="12"/>
      <name val="Arial"/>
      <family val="2"/>
    </font>
    <font>
      <sz val="10"/>
      <color indexed="10"/>
      <name val="Arial"/>
      <family val="2"/>
    </font>
    <font>
      <sz val="10"/>
      <color indexed="8"/>
      <name val="Times New Roman"/>
      <family val="1"/>
    </font>
    <font>
      <sz val="10"/>
      <color rgb="FFFF0000"/>
      <name val="Arial"/>
      <family val="2"/>
    </font>
    <font>
      <sz val="10"/>
      <color theme="1"/>
      <name val="Times New Roman"/>
      <family val="1"/>
    </font>
    <font>
      <sz val="10"/>
      <color theme="3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sz val="20"/>
      <color indexed="8"/>
      <name val="WP Greek Century"/>
      <charset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</font>
    <font>
      <b/>
      <sz val="8"/>
      <color indexed="81"/>
      <name val="Tahoma"/>
    </font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i/>
      <sz val="12"/>
      <color indexed="8"/>
      <name val="Arial"/>
      <family val="2"/>
    </font>
    <font>
      <sz val="12"/>
      <name val="Times New Roman"/>
      <family val="1"/>
    </font>
    <font>
      <b/>
      <i/>
      <sz val="14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i/>
      <sz val="12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b/>
      <i/>
      <u/>
      <sz val="16"/>
      <name val="Times New Roman"/>
      <family val="1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9"/>
        <bgColor indexed="64"/>
      </patternFill>
    </fill>
  </fills>
  <borders count="1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</borders>
  <cellStyleXfs count="6">
    <xf numFmtId="0" fontId="0" fillId="0" borderId="0"/>
    <xf numFmtId="0" fontId="23" fillId="0" borderId="0"/>
    <xf numFmtId="0" fontId="53" fillId="0" borderId="0"/>
    <xf numFmtId="0" fontId="23" fillId="0" borderId="0"/>
    <xf numFmtId="0" fontId="1" fillId="0" borderId="0"/>
    <xf numFmtId="172" fontId="69" fillId="0" borderId="0"/>
  </cellStyleXfs>
  <cellXfs count="671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/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5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7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7" fontId="2" fillId="0" borderId="25" xfId="0" applyNumberFormat="1" applyFont="1" applyBorder="1" applyAlignment="1">
      <alignment horizontal="center"/>
    </xf>
    <xf numFmtId="166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7" fontId="2" fillId="0" borderId="33" xfId="0" applyNumberFormat="1" applyFont="1" applyBorder="1" applyAlignment="1">
      <alignment horizontal="center"/>
    </xf>
    <xf numFmtId="167" fontId="2" fillId="0" borderId="34" xfId="0" applyNumberFormat="1" applyFont="1" applyBorder="1" applyAlignment="1">
      <alignment horizontal="center"/>
    </xf>
    <xf numFmtId="167" fontId="2" fillId="0" borderId="10" xfId="0" applyNumberFormat="1" applyFont="1" applyBorder="1" applyAlignment="1">
      <alignment horizontal="center"/>
    </xf>
    <xf numFmtId="167" fontId="2" fillId="0" borderId="30" xfId="0" applyNumberFormat="1" applyFont="1" applyBorder="1" applyAlignment="1">
      <alignment horizontal="center"/>
    </xf>
    <xf numFmtId="167" fontId="2" fillId="0" borderId="35" xfId="0" applyNumberFormat="1" applyFont="1" applyBorder="1" applyAlignment="1">
      <alignment horizontal="center"/>
    </xf>
    <xf numFmtId="167" fontId="2" fillId="0" borderId="36" xfId="0" applyNumberFormat="1" applyFont="1" applyBorder="1" applyAlignment="1">
      <alignment horizontal="center"/>
    </xf>
    <xf numFmtId="167" fontId="2" fillId="0" borderId="37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67" fontId="2" fillId="0" borderId="38" xfId="0" applyNumberFormat="1" applyFont="1" applyBorder="1" applyAlignment="1">
      <alignment horizontal="center"/>
    </xf>
    <xf numFmtId="167" fontId="2" fillId="0" borderId="39" xfId="0" applyNumberFormat="1" applyFont="1" applyBorder="1" applyAlignment="1">
      <alignment horizontal="center"/>
    </xf>
    <xf numFmtId="167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Continuous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7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6" fontId="3" fillId="0" borderId="20" xfId="0" quotePrefix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0" fontId="3" fillId="0" borderId="49" xfId="0" applyFont="1" applyBorder="1" applyAlignment="1">
      <alignment horizontal="right"/>
    </xf>
    <xf numFmtId="167" fontId="14" fillId="0" borderId="1" xfId="0" applyNumberFormat="1" applyFont="1" applyBorder="1" applyAlignment="1">
      <alignment horizontal="center"/>
    </xf>
    <xf numFmtId="167" fontId="2" fillId="0" borderId="7" xfId="0" applyNumberFormat="1" applyFont="1" applyBorder="1" applyAlignment="1">
      <alignment horizontal="center"/>
    </xf>
    <xf numFmtId="167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/>
    <xf numFmtId="165" fontId="0" fillId="0" borderId="0" xfId="0" applyNumberFormat="1"/>
    <xf numFmtId="167" fontId="0" fillId="0" borderId="0" xfId="0" applyNumberFormat="1"/>
    <xf numFmtId="168" fontId="2" fillId="2" borderId="1" xfId="0" applyNumberFormat="1" applyFont="1" applyFill="1" applyBorder="1" applyAlignment="1">
      <alignment horizontal="center"/>
    </xf>
    <xf numFmtId="0" fontId="2" fillId="3" borderId="0" xfId="0" applyFont="1" applyFill="1"/>
    <xf numFmtId="0" fontId="17" fillId="4" borderId="0" xfId="0" applyFont="1" applyFill="1"/>
    <xf numFmtId="0" fontId="5" fillId="4" borderId="0" xfId="0" applyFont="1" applyFill="1"/>
    <xf numFmtId="0" fontId="4" fillId="0" borderId="41" xfId="0" applyFont="1" applyBorder="1" applyAlignment="1">
      <alignment horizontal="center"/>
    </xf>
    <xf numFmtId="1" fontId="2" fillId="0" borderId="44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Continuous"/>
    </xf>
    <xf numFmtId="165" fontId="2" fillId="2" borderId="0" xfId="0" applyNumberFormat="1" applyFont="1" applyFill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12" fillId="0" borderId="47" xfId="0" applyFont="1" applyBorder="1" applyAlignment="1">
      <alignment horizontal="right"/>
    </xf>
    <xf numFmtId="0" fontId="3" fillId="0" borderId="1" xfId="0" applyFont="1" applyBorder="1"/>
    <xf numFmtId="0" fontId="3" fillId="0" borderId="11" xfId="0" applyFont="1" applyBorder="1"/>
    <xf numFmtId="2" fontId="20" fillId="0" borderId="1" xfId="0" applyNumberFormat="1" applyFont="1" applyBorder="1" applyAlignment="1">
      <alignment horizontal="center"/>
    </xf>
    <xf numFmtId="167" fontId="20" fillId="0" borderId="9" xfId="0" applyNumberFormat="1" applyFont="1" applyBorder="1" applyAlignment="1">
      <alignment horizontal="center"/>
    </xf>
    <xf numFmtId="166" fontId="20" fillId="0" borderId="11" xfId="0" applyNumberFormat="1" applyFont="1" applyBorder="1" applyAlignment="1">
      <alignment horizontal="center"/>
    </xf>
    <xf numFmtId="2" fontId="20" fillId="0" borderId="11" xfId="0" applyNumberFormat="1" applyFont="1" applyBorder="1" applyAlignment="1">
      <alignment horizontal="center"/>
    </xf>
    <xf numFmtId="167" fontId="20" fillId="0" borderId="33" xfId="0" applyNumberFormat="1" applyFont="1" applyBorder="1" applyAlignment="1">
      <alignment horizontal="center"/>
    </xf>
    <xf numFmtId="1" fontId="0" fillId="0" borderId="0" xfId="0" applyNumberFormat="1" applyAlignment="1">
      <alignment horizontal="left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2" fontId="21" fillId="0" borderId="1" xfId="0" applyNumberFormat="1" applyFont="1" applyBorder="1" applyAlignment="1">
      <alignment horizontal="center"/>
    </xf>
    <xf numFmtId="2" fontId="21" fillId="0" borderId="9" xfId="0" applyNumberFormat="1" applyFont="1" applyBorder="1" applyAlignment="1">
      <alignment horizontal="center"/>
    </xf>
    <xf numFmtId="166" fontId="21" fillId="0" borderId="1" xfId="0" applyNumberFormat="1" applyFont="1" applyBorder="1" applyAlignment="1">
      <alignment horizontal="center"/>
    </xf>
    <xf numFmtId="166" fontId="21" fillId="0" borderId="9" xfId="0" applyNumberFormat="1" applyFont="1" applyBorder="1" applyAlignment="1">
      <alignment horizontal="center"/>
    </xf>
    <xf numFmtId="165" fontId="21" fillId="0" borderId="1" xfId="0" applyNumberFormat="1" applyFont="1" applyBorder="1" applyAlignment="1">
      <alignment horizontal="center"/>
    </xf>
    <xf numFmtId="165" fontId="21" fillId="0" borderId="9" xfId="0" applyNumberFormat="1" applyFont="1" applyBorder="1" applyAlignment="1">
      <alignment horizontal="center"/>
    </xf>
    <xf numFmtId="167" fontId="21" fillId="0" borderId="1" xfId="0" applyNumberFormat="1" applyFont="1" applyBorder="1" applyAlignment="1">
      <alignment horizontal="center"/>
    </xf>
    <xf numFmtId="167" fontId="21" fillId="0" borderId="9" xfId="0" applyNumberFormat="1" applyFont="1" applyBorder="1" applyAlignment="1">
      <alignment horizontal="center"/>
    </xf>
    <xf numFmtId="166" fontId="21" fillId="0" borderId="11" xfId="0" applyNumberFormat="1" applyFont="1" applyBorder="1" applyAlignment="1">
      <alignment horizontal="center"/>
    </xf>
    <xf numFmtId="166" fontId="22" fillId="0" borderId="31" xfId="0" applyNumberFormat="1" applyFont="1" applyBorder="1" applyAlignment="1">
      <alignment horizontal="center"/>
    </xf>
    <xf numFmtId="166" fontId="22" fillId="0" borderId="51" xfId="0" applyNumberFormat="1" applyFont="1" applyBorder="1" applyAlignment="1">
      <alignment horizontal="center"/>
    </xf>
    <xf numFmtId="166" fontId="22" fillId="0" borderId="32" xfId="0" applyNumberFormat="1" applyFont="1" applyBorder="1" applyAlignment="1">
      <alignment horizontal="center"/>
    </xf>
    <xf numFmtId="0" fontId="25" fillId="0" borderId="0" xfId="1" applyFont="1"/>
    <xf numFmtId="0" fontId="26" fillId="0" borderId="0" xfId="1" applyFont="1"/>
    <xf numFmtId="0" fontId="28" fillId="5" borderId="0" xfId="1" applyFont="1" applyFill="1" applyAlignment="1">
      <alignment horizontal="right"/>
    </xf>
    <xf numFmtId="0" fontId="29" fillId="5" borderId="0" xfId="1" applyFont="1" applyFill="1"/>
    <xf numFmtId="0" fontId="30" fillId="5" borderId="0" xfId="1" applyFont="1" applyFill="1"/>
    <xf numFmtId="0" fontId="27" fillId="5" borderId="0" xfId="1" applyFont="1" applyFill="1" applyAlignment="1">
      <alignment horizontal="center"/>
    </xf>
    <xf numFmtId="0" fontId="31" fillId="0" borderId="52" xfId="1" applyFont="1" applyBorder="1" applyAlignment="1">
      <alignment horizontal="left" vertical="center"/>
    </xf>
    <xf numFmtId="0" fontId="31" fillId="0" borderId="53" xfId="1" applyFont="1" applyBorder="1" applyAlignment="1">
      <alignment vertical="center"/>
    </xf>
    <xf numFmtId="0" fontId="23" fillId="0" borderId="53" xfId="1" applyBorder="1"/>
    <xf numFmtId="0" fontId="31" fillId="0" borderId="54" xfId="1" applyFont="1" applyBorder="1" applyAlignment="1">
      <alignment horizontal="right" vertical="center"/>
    </xf>
    <xf numFmtId="0" fontId="19" fillId="0" borderId="0" xfId="1" applyFont="1"/>
    <xf numFmtId="0" fontId="32" fillId="0" borderId="52" xfId="1" applyFont="1" applyBorder="1"/>
    <xf numFmtId="0" fontId="19" fillId="0" borderId="54" xfId="1" applyFont="1" applyBorder="1"/>
    <xf numFmtId="0" fontId="32" fillId="0" borderId="54" xfId="1" applyFont="1" applyBorder="1"/>
    <xf numFmtId="0" fontId="33" fillId="0" borderId="0" xfId="1" applyFont="1"/>
    <xf numFmtId="0" fontId="34" fillId="5" borderId="13" xfId="1" applyFont="1" applyFill="1" applyBorder="1" applyAlignment="1">
      <alignment horizontal="center"/>
    </xf>
    <xf numFmtId="0" fontId="34" fillId="5" borderId="55" xfId="1" applyFont="1" applyFill="1" applyBorder="1" applyAlignment="1">
      <alignment horizontal="center"/>
    </xf>
    <xf numFmtId="0" fontId="34" fillId="5" borderId="0" xfId="1" quotePrefix="1" applyFont="1" applyFill="1" applyAlignment="1">
      <alignment horizontal="left"/>
    </xf>
    <xf numFmtId="0" fontId="35" fillId="5" borderId="56" xfId="1" applyFont="1" applyFill="1" applyBorder="1" applyAlignment="1">
      <alignment horizontal="right"/>
    </xf>
    <xf numFmtId="0" fontId="34" fillId="5" borderId="57" xfId="1" applyFont="1" applyFill="1" applyBorder="1" applyAlignment="1">
      <alignment horizontal="center"/>
    </xf>
    <xf numFmtId="0" fontId="34" fillId="5" borderId="21" xfId="1" applyFont="1" applyFill="1" applyBorder="1" applyAlignment="1">
      <alignment horizontal="center"/>
    </xf>
    <xf numFmtId="0" fontId="32" fillId="0" borderId="45" xfId="1" applyFont="1" applyBorder="1"/>
    <xf numFmtId="0" fontId="19" fillId="0" borderId="21" xfId="1" applyFont="1" applyBorder="1"/>
    <xf numFmtId="0" fontId="32" fillId="0" borderId="21" xfId="1" applyFont="1" applyBorder="1"/>
    <xf numFmtId="0" fontId="36" fillId="5" borderId="67" xfId="1" applyFont="1" applyFill="1" applyBorder="1"/>
    <xf numFmtId="0" fontId="36" fillId="5" borderId="68" xfId="1" applyFont="1" applyFill="1" applyBorder="1"/>
    <xf numFmtId="0" fontId="39" fillId="5" borderId="68" xfId="1" applyFont="1" applyFill="1" applyBorder="1"/>
    <xf numFmtId="0" fontId="39" fillId="5" borderId="69" xfId="1" applyFont="1" applyFill="1" applyBorder="1"/>
    <xf numFmtId="167" fontId="38" fillId="5" borderId="64" xfId="1" applyNumberFormat="1" applyFont="1" applyFill="1" applyBorder="1" applyAlignment="1">
      <alignment horizontal="center"/>
    </xf>
    <xf numFmtId="0" fontId="38" fillId="5" borderId="70" xfId="1" applyFont="1" applyFill="1" applyBorder="1" applyAlignment="1">
      <alignment horizontal="center"/>
    </xf>
    <xf numFmtId="0" fontId="36" fillId="5" borderId="71" xfId="1" applyFont="1" applyFill="1" applyBorder="1"/>
    <xf numFmtId="0" fontId="36" fillId="5" borderId="72" xfId="1" applyFont="1" applyFill="1" applyBorder="1"/>
    <xf numFmtId="0" fontId="39" fillId="5" borderId="72" xfId="1" applyFont="1" applyFill="1" applyBorder="1"/>
    <xf numFmtId="0" fontId="39" fillId="5" borderId="73" xfId="1" applyFont="1" applyFill="1" applyBorder="1"/>
    <xf numFmtId="1" fontId="38" fillId="5" borderId="64" xfId="1" applyNumberFormat="1" applyFont="1" applyFill="1" applyBorder="1" applyAlignment="1">
      <alignment horizontal="center"/>
    </xf>
    <xf numFmtId="0" fontId="38" fillId="5" borderId="74" xfId="1" applyFont="1" applyFill="1" applyBorder="1" applyAlignment="1">
      <alignment horizontal="center"/>
    </xf>
    <xf numFmtId="0" fontId="40" fillId="5" borderId="68" xfId="1" applyFont="1" applyFill="1" applyBorder="1"/>
    <xf numFmtId="0" fontId="41" fillId="5" borderId="69" xfId="1" applyFont="1" applyFill="1" applyBorder="1" applyAlignment="1">
      <alignment horizontal="left"/>
    </xf>
    <xf numFmtId="0" fontId="38" fillId="5" borderId="64" xfId="1" applyFont="1" applyFill="1" applyBorder="1" applyAlignment="1">
      <alignment horizontal="center"/>
    </xf>
    <xf numFmtId="0" fontId="32" fillId="0" borderId="46" xfId="1" applyFont="1" applyBorder="1"/>
    <xf numFmtId="0" fontId="32" fillId="0" borderId="24" xfId="1" applyFont="1" applyBorder="1"/>
    <xf numFmtId="0" fontId="36" fillId="5" borderId="76" xfId="1" applyFont="1" applyFill="1" applyBorder="1"/>
    <xf numFmtId="0" fontId="36" fillId="5" borderId="77" xfId="1" applyFont="1" applyFill="1" applyBorder="1"/>
    <xf numFmtId="0" fontId="40" fillId="5" borderId="77" xfId="1" applyFont="1" applyFill="1" applyBorder="1"/>
    <xf numFmtId="0" fontId="38" fillId="5" borderId="78" xfId="1" applyFont="1" applyFill="1" applyBorder="1" applyAlignment="1">
      <alignment horizontal="center"/>
    </xf>
    <xf numFmtId="0" fontId="38" fillId="5" borderId="79" xfId="1" applyFont="1" applyFill="1" applyBorder="1" applyAlignment="1">
      <alignment horizontal="center"/>
    </xf>
    <xf numFmtId="0" fontId="19" fillId="0" borderId="24" xfId="1" applyFont="1" applyBorder="1"/>
    <xf numFmtId="0" fontId="36" fillId="5" borderId="63" xfId="1" quotePrefix="1" applyFont="1" applyFill="1" applyBorder="1" applyAlignment="1">
      <alignment horizontal="left"/>
    </xf>
    <xf numFmtId="0" fontId="33" fillId="0" borderId="69" xfId="1" applyFont="1" applyBorder="1"/>
    <xf numFmtId="0" fontId="36" fillId="5" borderId="83" xfId="1" quotePrefix="1" applyFont="1" applyFill="1" applyBorder="1" applyAlignment="1">
      <alignment horizontal="left"/>
    </xf>
    <xf numFmtId="0" fontId="36" fillId="5" borderId="59" xfId="1" applyFont="1" applyFill="1" applyBorder="1"/>
    <xf numFmtId="0" fontId="39" fillId="5" borderId="59" xfId="1" applyFont="1" applyFill="1" applyBorder="1"/>
    <xf numFmtId="0" fontId="43" fillId="5" borderId="59" xfId="1" applyFont="1" applyFill="1" applyBorder="1" applyAlignment="1">
      <alignment horizontal="right"/>
    </xf>
    <xf numFmtId="49" fontId="38" fillId="5" borderId="59" xfId="1" applyNumberFormat="1" applyFont="1" applyFill="1" applyBorder="1" applyAlignment="1">
      <alignment horizontal="center"/>
    </xf>
    <xf numFmtId="0" fontId="38" fillId="5" borderId="84" xfId="1" applyFont="1" applyFill="1" applyBorder="1" applyAlignment="1">
      <alignment horizontal="center"/>
    </xf>
    <xf numFmtId="0" fontId="36" fillId="5" borderId="64" xfId="1" applyFont="1" applyFill="1" applyBorder="1"/>
    <xf numFmtId="0" fontId="39" fillId="5" borderId="64" xfId="1" applyFont="1" applyFill="1" applyBorder="1"/>
    <xf numFmtId="0" fontId="36" fillId="5" borderId="85" xfId="1" quotePrefix="1" applyFont="1" applyFill="1" applyBorder="1" applyAlignment="1">
      <alignment horizontal="left"/>
    </xf>
    <xf numFmtId="0" fontId="36" fillId="5" borderId="78" xfId="1" applyFont="1" applyFill="1" applyBorder="1"/>
    <xf numFmtId="0" fontId="39" fillId="5" borderId="78" xfId="1" applyFont="1" applyFill="1" applyBorder="1"/>
    <xf numFmtId="0" fontId="36" fillId="5" borderId="63" xfId="1" applyFont="1" applyFill="1" applyBorder="1" applyAlignment="1">
      <alignment horizontal="left"/>
    </xf>
    <xf numFmtId="0" fontId="19" fillId="5" borderId="86" xfId="1" applyFont="1" applyFill="1" applyBorder="1"/>
    <xf numFmtId="0" fontId="19" fillId="5" borderId="69" xfId="1" applyFont="1" applyFill="1" applyBorder="1"/>
    <xf numFmtId="0" fontId="36" fillId="5" borderId="63" xfId="1" applyFont="1" applyFill="1" applyBorder="1"/>
    <xf numFmtId="0" fontId="19" fillId="5" borderId="68" xfId="1" applyFont="1" applyFill="1" applyBorder="1"/>
    <xf numFmtId="0" fontId="36" fillId="5" borderId="86" xfId="1" applyFont="1" applyFill="1" applyBorder="1"/>
    <xf numFmtId="0" fontId="43" fillId="5" borderId="69" xfId="1" applyFont="1" applyFill="1" applyBorder="1" applyAlignment="1">
      <alignment horizontal="right"/>
    </xf>
    <xf numFmtId="0" fontId="36" fillId="5" borderId="58" xfId="1" quotePrefix="1" applyFont="1" applyFill="1" applyBorder="1" applyAlignment="1">
      <alignment horizontal="left"/>
    </xf>
    <xf numFmtId="0" fontId="33" fillId="0" borderId="93" xfId="1" applyFont="1" applyBorder="1"/>
    <xf numFmtId="0" fontId="36" fillId="5" borderId="86" xfId="1" quotePrefix="1" applyFont="1" applyFill="1" applyBorder="1" applyAlignment="1">
      <alignment horizontal="left"/>
    </xf>
    <xf numFmtId="0" fontId="19" fillId="5" borderId="64" xfId="1" applyFont="1" applyFill="1" applyBorder="1"/>
    <xf numFmtId="0" fontId="36" fillId="5" borderId="94" xfId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center"/>
    </xf>
    <xf numFmtId="0" fontId="19" fillId="5" borderId="69" xfId="1" quotePrefix="1" applyFont="1" applyFill="1" applyBorder="1" applyAlignment="1">
      <alignment horizontal="center"/>
    </xf>
    <xf numFmtId="0" fontId="36" fillId="5" borderId="95" xfId="1" applyFont="1" applyFill="1" applyBorder="1"/>
    <xf numFmtId="0" fontId="33" fillId="0" borderId="96" xfId="1" applyFont="1" applyBorder="1"/>
    <xf numFmtId="0" fontId="38" fillId="0" borderId="97" xfId="1" applyFont="1" applyBorder="1" applyAlignment="1">
      <alignment horizontal="center"/>
    </xf>
    <xf numFmtId="0" fontId="36" fillId="5" borderId="98" xfId="1" applyFont="1" applyFill="1" applyBorder="1" applyAlignment="1">
      <alignment horizontal="center"/>
    </xf>
    <xf numFmtId="0" fontId="36" fillId="5" borderId="77" xfId="1" quotePrefix="1" applyFont="1" applyFill="1" applyBorder="1" applyAlignment="1">
      <alignment horizontal="center"/>
    </xf>
    <xf numFmtId="0" fontId="19" fillId="5" borderId="99" xfId="1" quotePrefix="1" applyFont="1" applyFill="1" applyBorder="1" applyAlignment="1">
      <alignment horizontal="center"/>
    </xf>
    <xf numFmtId="0" fontId="38" fillId="0" borderId="74" xfId="1" applyFont="1" applyBorder="1" applyAlignment="1">
      <alignment horizontal="center"/>
    </xf>
    <xf numFmtId="0" fontId="38" fillId="0" borderId="46" xfId="1" applyFont="1" applyBorder="1"/>
    <xf numFmtId="0" fontId="44" fillId="0" borderId="24" xfId="1" applyFont="1" applyBorder="1"/>
    <xf numFmtId="0" fontId="28" fillId="0" borderId="102" xfId="1" applyFont="1" applyBorder="1" applyAlignment="1">
      <alignment horizontal="left"/>
    </xf>
    <xf numFmtId="0" fontId="28" fillId="0" borderId="62" xfId="1" applyFont="1" applyBorder="1" applyAlignment="1">
      <alignment horizontal="left"/>
    </xf>
    <xf numFmtId="0" fontId="46" fillId="5" borderId="103" xfId="1" applyFont="1" applyFill="1" applyBorder="1" applyAlignment="1">
      <alignment horizontal="center"/>
    </xf>
    <xf numFmtId="0" fontId="36" fillId="5" borderId="104" xfId="1" applyFont="1" applyFill="1" applyBorder="1" applyAlignment="1">
      <alignment horizontal="left"/>
    </xf>
    <xf numFmtId="0" fontId="19" fillId="5" borderId="105" xfId="1" applyFont="1" applyFill="1" applyBorder="1"/>
    <xf numFmtId="0" fontId="19" fillId="5" borderId="106" xfId="1" applyFont="1" applyFill="1" applyBorder="1"/>
    <xf numFmtId="0" fontId="38" fillId="5" borderId="107" xfId="1" applyFont="1" applyFill="1" applyBorder="1" applyAlignment="1">
      <alignment horizontal="center"/>
    </xf>
    <xf numFmtId="0" fontId="33" fillId="0" borderId="78" xfId="1" applyFont="1" applyBorder="1"/>
    <xf numFmtId="0" fontId="33" fillId="0" borderId="79" xfId="1" applyFont="1" applyBorder="1"/>
    <xf numFmtId="0" fontId="33" fillId="0" borderId="87" xfId="1" applyFont="1" applyBorder="1"/>
    <xf numFmtId="0" fontId="36" fillId="5" borderId="96" xfId="1" applyFont="1" applyFill="1" applyBorder="1"/>
    <xf numFmtId="0" fontId="43" fillId="5" borderId="64" xfId="1" applyFont="1" applyFill="1" applyBorder="1" applyAlignment="1">
      <alignment horizontal="right" shrinkToFit="1"/>
    </xf>
    <xf numFmtId="9" fontId="33" fillId="0" borderId="0" xfId="1" applyNumberFormat="1" applyFont="1"/>
    <xf numFmtId="0" fontId="36" fillId="5" borderId="83" xfId="1" applyFont="1" applyFill="1" applyBorder="1"/>
    <xf numFmtId="0" fontId="36" fillId="5" borderId="56" xfId="1" applyFont="1" applyFill="1" applyBorder="1"/>
    <xf numFmtId="0" fontId="43" fillId="5" borderId="64" xfId="1" applyFont="1" applyFill="1" applyBorder="1" applyAlignment="1">
      <alignment horizontal="right"/>
    </xf>
    <xf numFmtId="2" fontId="38" fillId="5" borderId="64" xfId="1" applyNumberFormat="1" applyFont="1" applyFill="1" applyBorder="1" applyAlignment="1">
      <alignment horizontal="center"/>
    </xf>
    <xf numFmtId="0" fontId="43" fillId="5" borderId="56" xfId="1" applyFont="1" applyFill="1" applyBorder="1" applyAlignment="1">
      <alignment horizontal="right"/>
    </xf>
    <xf numFmtId="0" fontId="43" fillId="5" borderId="64" xfId="1" applyFont="1" applyFill="1" applyBorder="1"/>
    <xf numFmtId="0" fontId="36" fillId="5" borderId="110" xfId="1" applyFont="1" applyFill="1" applyBorder="1"/>
    <xf numFmtId="0" fontId="36" fillId="5" borderId="111" xfId="1" applyFont="1" applyFill="1" applyBorder="1"/>
    <xf numFmtId="0" fontId="36" fillId="5" borderId="112" xfId="1" applyFont="1" applyFill="1" applyBorder="1"/>
    <xf numFmtId="0" fontId="43" fillId="5" borderId="112" xfId="1" applyFont="1" applyFill="1" applyBorder="1"/>
    <xf numFmtId="167" fontId="38" fillId="5" borderId="112" xfId="1" applyNumberFormat="1" applyFont="1" applyFill="1" applyBorder="1" applyAlignment="1">
      <alignment horizontal="center"/>
    </xf>
    <xf numFmtId="0" fontId="38" fillId="5" borderId="113" xfId="1" applyFont="1" applyFill="1" applyBorder="1" applyAlignment="1">
      <alignment horizontal="center"/>
    </xf>
    <xf numFmtId="0" fontId="36" fillId="5" borderId="73" xfId="1" applyFont="1" applyFill="1" applyBorder="1"/>
    <xf numFmtId="0" fontId="36" fillId="5" borderId="103" xfId="1" applyFont="1" applyFill="1" applyBorder="1" applyAlignment="1">
      <alignment horizontal="left"/>
    </xf>
    <xf numFmtId="0" fontId="36" fillId="5" borderId="73" xfId="1" applyFont="1" applyFill="1" applyBorder="1" applyAlignment="1">
      <alignment horizontal="left"/>
    </xf>
    <xf numFmtId="1" fontId="38" fillId="5" borderId="59" xfId="1" applyNumberFormat="1" applyFont="1" applyFill="1" applyBorder="1" applyAlignment="1">
      <alignment horizontal="center"/>
    </xf>
    <xf numFmtId="0" fontId="38" fillId="5" borderId="114" xfId="1" applyFont="1" applyFill="1" applyBorder="1" applyAlignment="1">
      <alignment horizontal="center"/>
    </xf>
    <xf numFmtId="0" fontId="47" fillId="0" borderId="0" xfId="1" quotePrefix="1" applyFont="1" applyAlignment="1">
      <alignment horizontal="left"/>
    </xf>
    <xf numFmtId="0" fontId="36" fillId="5" borderId="0" xfId="1" applyFont="1" applyFill="1"/>
    <xf numFmtId="0" fontId="36" fillId="5" borderId="86" xfId="1" applyFont="1" applyFill="1" applyBorder="1" applyAlignment="1">
      <alignment horizontal="left"/>
    </xf>
    <xf numFmtId="0" fontId="36" fillId="5" borderId="69" xfId="1" applyFont="1" applyFill="1" applyBorder="1" applyAlignment="1">
      <alignment horizontal="left"/>
    </xf>
    <xf numFmtId="0" fontId="36" fillId="5" borderId="40" xfId="1" applyFont="1" applyFill="1" applyBorder="1"/>
    <xf numFmtId="0" fontId="36" fillId="5" borderId="107" xfId="1" applyFont="1" applyFill="1" applyBorder="1" applyAlignment="1">
      <alignment horizontal="left"/>
    </xf>
    <xf numFmtId="0" fontId="36" fillId="5" borderId="99" xfId="1" applyFont="1" applyFill="1" applyBorder="1" applyAlignment="1">
      <alignment horizontal="left"/>
    </xf>
    <xf numFmtId="1" fontId="38" fillId="5" borderId="78" xfId="1" applyNumberFormat="1" applyFont="1" applyFill="1" applyBorder="1" applyAlignment="1">
      <alignment horizontal="center"/>
    </xf>
    <xf numFmtId="0" fontId="38" fillId="5" borderId="115" xfId="1" applyFont="1" applyFill="1" applyBorder="1" applyAlignment="1">
      <alignment horizontal="center"/>
    </xf>
    <xf numFmtId="0" fontId="36" fillId="0" borderId="116" xfId="1" applyFont="1" applyBorder="1"/>
    <xf numFmtId="0" fontId="36" fillId="5" borderId="119" xfId="1" applyFont="1" applyFill="1" applyBorder="1"/>
    <xf numFmtId="0" fontId="36" fillId="5" borderId="121" xfId="1" applyFont="1" applyFill="1" applyBorder="1"/>
    <xf numFmtId="0" fontId="36" fillId="5" borderId="23" xfId="1" applyFont="1" applyFill="1" applyBorder="1"/>
    <xf numFmtId="0" fontId="30" fillId="0" borderId="0" xfId="1" applyFont="1"/>
    <xf numFmtId="0" fontId="53" fillId="0" borderId="6" xfId="2" applyBorder="1"/>
    <xf numFmtId="0" fontId="53" fillId="0" borderId="7" xfId="2" applyBorder="1"/>
    <xf numFmtId="0" fontId="53" fillId="0" borderId="41" xfId="2" applyBorder="1"/>
    <xf numFmtId="0" fontId="53" fillId="0" borderId="41" xfId="2" applyBorder="1" applyAlignment="1">
      <alignment horizontal="center"/>
    </xf>
    <xf numFmtId="0" fontId="54" fillId="0" borderId="41" xfId="2" applyFont="1" applyBorder="1" applyAlignment="1">
      <alignment horizontal="center"/>
    </xf>
    <xf numFmtId="0" fontId="53" fillId="0" borderId="0" xfId="2"/>
    <xf numFmtId="0" fontId="55" fillId="0" borderId="127" xfId="2" applyFont="1" applyBorder="1" applyAlignment="1">
      <alignment horizontal="center"/>
    </xf>
    <xf numFmtId="0" fontId="53" fillId="0" borderId="127" xfId="2" applyBorder="1" applyAlignment="1">
      <alignment horizontal="center"/>
    </xf>
    <xf numFmtId="0" fontId="54" fillId="0" borderId="127" xfId="2" applyFont="1" applyBorder="1" applyAlignment="1">
      <alignment horizontal="center"/>
    </xf>
    <xf numFmtId="0" fontId="55" fillId="0" borderId="45" xfId="2" applyFont="1" applyBorder="1" applyAlignment="1">
      <alignment horizontal="center"/>
    </xf>
    <xf numFmtId="0" fontId="55" fillId="0" borderId="0" xfId="2" applyFont="1" applyAlignment="1">
      <alignment horizontal="center"/>
    </xf>
    <xf numFmtId="0" fontId="53" fillId="0" borderId="45" xfId="2" applyBorder="1"/>
    <xf numFmtId="0" fontId="56" fillId="0" borderId="0" xfId="2" applyFont="1"/>
    <xf numFmtId="0" fontId="53" fillId="0" borderId="127" xfId="2" applyBorder="1"/>
    <xf numFmtId="0" fontId="54" fillId="0" borderId="0" xfId="2" applyFont="1"/>
    <xf numFmtId="0" fontId="54" fillId="0" borderId="127" xfId="2" applyFont="1" applyBorder="1"/>
    <xf numFmtId="170" fontId="53" fillId="0" borderId="3" xfId="2" applyNumberFormat="1" applyBorder="1"/>
    <xf numFmtId="49" fontId="53" fillId="0" borderId="1" xfId="2" applyNumberFormat="1" applyBorder="1" applyAlignment="1">
      <alignment horizontal="center"/>
    </xf>
    <xf numFmtId="49" fontId="53" fillId="0" borderId="1" xfId="2" applyNumberFormat="1" applyBorder="1"/>
    <xf numFmtId="49" fontId="54" fillId="0" borderId="1" xfId="2" applyNumberFormat="1" applyFont="1" applyBorder="1"/>
    <xf numFmtId="171" fontId="54" fillId="0" borderId="1" xfId="2" applyNumberFormat="1" applyFont="1" applyBorder="1"/>
    <xf numFmtId="0" fontId="53" fillId="0" borderId="1" xfId="2" applyBorder="1"/>
    <xf numFmtId="0" fontId="53" fillId="0" borderId="9" xfId="2" applyBorder="1"/>
    <xf numFmtId="171" fontId="53" fillId="0" borderId="1" xfId="2" applyNumberFormat="1" applyBorder="1"/>
    <xf numFmtId="0" fontId="53" fillId="0" borderId="1" xfId="2" applyBorder="1" applyAlignment="1">
      <alignment horizontal="center"/>
    </xf>
    <xf numFmtId="170" fontId="53" fillId="0" borderId="18" xfId="2" applyNumberFormat="1" applyBorder="1"/>
    <xf numFmtId="49" fontId="53" fillId="0" borderId="26" xfId="2" applyNumberFormat="1" applyBorder="1"/>
    <xf numFmtId="171" fontId="53" fillId="0" borderId="26" xfId="2" applyNumberFormat="1" applyBorder="1"/>
    <xf numFmtId="0" fontId="53" fillId="0" borderId="26" xfId="2" applyBorder="1"/>
    <xf numFmtId="0" fontId="53" fillId="0" borderId="128" xfId="2" applyBorder="1"/>
    <xf numFmtId="0" fontId="54" fillId="0" borderId="129" xfId="2" applyFont="1" applyBorder="1" applyAlignment="1">
      <alignment horizontal="center"/>
    </xf>
    <xf numFmtId="0" fontId="54" fillId="0" borderId="130" xfId="2" applyFont="1" applyBorder="1" applyAlignment="1">
      <alignment horizontal="center"/>
    </xf>
    <xf numFmtId="49" fontId="54" fillId="0" borderId="2" xfId="2" applyNumberFormat="1" applyFont="1" applyBorder="1" applyAlignment="1">
      <alignment horizontal="center"/>
    </xf>
    <xf numFmtId="0" fontId="53" fillId="0" borderId="55" xfId="2" applyBorder="1" applyAlignment="1">
      <alignment horizontal="left"/>
    </xf>
    <xf numFmtId="49" fontId="53" fillId="0" borderId="3" xfId="2" applyNumberFormat="1" applyBorder="1"/>
    <xf numFmtId="0" fontId="53" fillId="0" borderId="132" xfId="2" applyBorder="1" applyAlignment="1">
      <alignment horizontal="left"/>
    </xf>
    <xf numFmtId="49" fontId="53" fillId="0" borderId="4" xfId="2" applyNumberFormat="1" applyBorder="1"/>
    <xf numFmtId="0" fontId="53" fillId="0" borderId="133" xfId="2" applyBorder="1" applyAlignment="1">
      <alignment horizontal="left"/>
    </xf>
    <xf numFmtId="0" fontId="19" fillId="0" borderId="7" xfId="1" applyFont="1" applyBorder="1"/>
    <xf numFmtId="0" fontId="38" fillId="0" borderId="96" xfId="1" applyFont="1" applyBorder="1" applyAlignment="1">
      <alignment horizontal="center"/>
    </xf>
    <xf numFmtId="0" fontId="38" fillId="0" borderId="69" xfId="1" applyFont="1" applyBorder="1" applyAlignment="1">
      <alignment horizontal="center"/>
    </xf>
    <xf numFmtId="167" fontId="38" fillId="0" borderId="69" xfId="1" applyNumberFormat="1" applyFont="1" applyBorder="1" applyAlignment="1">
      <alignment horizontal="center"/>
    </xf>
    <xf numFmtId="0" fontId="28" fillId="5" borderId="80" xfId="1" applyFont="1" applyFill="1" applyBorder="1" applyAlignment="1">
      <alignment horizontal="left"/>
    </xf>
    <xf numFmtId="0" fontId="28" fillId="5" borderId="81" xfId="1" applyFont="1" applyFill="1" applyBorder="1" applyAlignment="1">
      <alignment horizontal="left"/>
    </xf>
    <xf numFmtId="0" fontId="28" fillId="5" borderId="82" xfId="1" applyFont="1" applyFill="1" applyBorder="1" applyAlignment="1">
      <alignment horizontal="left"/>
    </xf>
    <xf numFmtId="0" fontId="30" fillId="5" borderId="83" xfId="1" applyFont="1" applyFill="1" applyBorder="1"/>
    <xf numFmtId="0" fontId="33" fillId="5" borderId="72" xfId="1" applyFont="1" applyFill="1" applyBorder="1" applyAlignment="1">
      <alignment horizontal="left"/>
    </xf>
    <xf numFmtId="0" fontId="33" fillId="5" borderId="84" xfId="1" applyFont="1" applyFill="1" applyBorder="1" applyAlignment="1">
      <alignment horizontal="left"/>
    </xf>
    <xf numFmtId="0" fontId="30" fillId="5" borderId="68" xfId="1" applyFont="1" applyFill="1" applyBorder="1" applyAlignment="1">
      <alignment horizontal="left"/>
    </xf>
    <xf numFmtId="0" fontId="30" fillId="5" borderId="74" xfId="1" applyFont="1" applyFill="1" applyBorder="1" applyAlignment="1">
      <alignment horizontal="left"/>
    </xf>
    <xf numFmtId="0" fontId="48" fillId="0" borderId="0" xfId="1" applyFont="1"/>
    <xf numFmtId="0" fontId="28" fillId="5" borderId="135" xfId="3" applyFont="1" applyFill="1" applyBorder="1" applyAlignment="1">
      <alignment horizontal="left"/>
    </xf>
    <xf numFmtId="0" fontId="28" fillId="5" borderId="136" xfId="3" applyFont="1" applyFill="1" applyBorder="1" applyAlignment="1">
      <alignment horizontal="left"/>
    </xf>
    <xf numFmtId="167" fontId="2" fillId="0" borderId="0" xfId="0" applyNumberFormat="1" applyFont="1" applyAlignment="1">
      <alignment horizontal="center"/>
    </xf>
    <xf numFmtId="167" fontId="2" fillId="0" borderId="134" xfId="0" applyNumberFormat="1" applyFont="1" applyBorder="1" applyAlignment="1">
      <alignment horizontal="center"/>
    </xf>
    <xf numFmtId="2" fontId="4" fillId="0" borderId="40" xfId="0" applyNumberFormat="1" applyFont="1" applyBorder="1" applyAlignment="1">
      <alignment horizontal="left"/>
    </xf>
    <xf numFmtId="167" fontId="14" fillId="0" borderId="40" xfId="0" applyNumberFormat="1" applyFont="1" applyBorder="1" applyAlignment="1">
      <alignment horizontal="left"/>
    </xf>
    <xf numFmtId="167" fontId="2" fillId="0" borderId="0" xfId="0" applyNumberFormat="1" applyFont="1" applyAlignment="1">
      <alignment horizontal="centerContinuous"/>
    </xf>
    <xf numFmtId="167" fontId="2" fillId="0" borderId="23" xfId="0" applyNumberFormat="1" applyFont="1" applyBorder="1" applyAlignment="1">
      <alignment horizontal="centerContinuous"/>
    </xf>
    <xf numFmtId="0" fontId="57" fillId="5" borderId="120" xfId="1" applyFont="1" applyFill="1" applyBorder="1" applyAlignment="1">
      <alignment horizontal="center"/>
    </xf>
    <xf numFmtId="14" fontId="19" fillId="5" borderId="124" xfId="1" applyNumberFormat="1" applyFont="1" applyFill="1" applyBorder="1" applyAlignment="1">
      <alignment horizontal="center"/>
    </xf>
    <xf numFmtId="167" fontId="3" fillId="0" borderId="0" xfId="0" quotePrefix="1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0" fontId="30" fillId="0" borderId="7" xfId="1" applyFont="1" applyBorder="1"/>
    <xf numFmtId="0" fontId="19" fillId="5" borderId="45" xfId="1" applyFont="1" applyFill="1" applyBorder="1"/>
    <xf numFmtId="0" fontId="19" fillId="5" borderId="74" xfId="1" applyFont="1" applyFill="1" applyBorder="1" applyAlignment="1">
      <alignment horizontal="left"/>
    </xf>
    <xf numFmtId="0" fontId="19" fillId="5" borderId="68" xfId="1" applyFont="1" applyFill="1" applyBorder="1" applyAlignment="1">
      <alignment horizontal="left"/>
    </xf>
    <xf numFmtId="0" fontId="19" fillId="5" borderId="136" xfId="3" applyFont="1" applyFill="1" applyBorder="1" applyAlignment="1">
      <alignment horizontal="left"/>
    </xf>
    <xf numFmtId="0" fontId="19" fillId="5" borderId="83" xfId="1" applyFont="1" applyFill="1" applyBorder="1"/>
    <xf numFmtId="167" fontId="2" fillId="0" borderId="1" xfId="4" applyNumberFormat="1" applyFont="1" applyBorder="1" applyAlignment="1">
      <alignment horizontal="center"/>
    </xf>
    <xf numFmtId="167" fontId="2" fillId="0" borderId="9" xfId="4" applyNumberFormat="1" applyFont="1" applyBorder="1" applyAlignment="1">
      <alignment horizontal="center"/>
    </xf>
    <xf numFmtId="167" fontId="2" fillId="0" borderId="33" xfId="4" applyNumberFormat="1" applyFont="1" applyBorder="1" applyAlignment="1">
      <alignment horizontal="center"/>
    </xf>
    <xf numFmtId="167" fontId="2" fillId="0" borderId="39" xfId="4" applyNumberFormat="1" applyFont="1" applyBorder="1" applyAlignment="1">
      <alignment horizontal="center"/>
    </xf>
    <xf numFmtId="167" fontId="2" fillId="0" borderId="0" xfId="4" applyNumberFormat="1" applyFont="1" applyAlignment="1">
      <alignment horizontal="center"/>
    </xf>
    <xf numFmtId="0" fontId="1" fillId="0" borderId="0" xfId="4"/>
    <xf numFmtId="0" fontId="58" fillId="0" borderId="0" xfId="4" applyFont="1"/>
    <xf numFmtId="0" fontId="61" fillId="0" borderId="61" xfId="4" applyFont="1" applyBorder="1"/>
    <xf numFmtId="0" fontId="61" fillId="0" borderId="62" xfId="4" applyFont="1" applyBorder="1"/>
    <xf numFmtId="0" fontId="61" fillId="0" borderId="38" xfId="4" applyFont="1" applyBorder="1"/>
    <xf numFmtId="0" fontId="62" fillId="0" borderId="83" xfId="4" applyFont="1" applyBorder="1" applyAlignment="1">
      <alignment horizontal="centerContinuous"/>
    </xf>
    <xf numFmtId="0" fontId="61" fillId="0" borderId="0" xfId="4" applyFont="1" applyAlignment="1">
      <alignment horizontal="centerContinuous"/>
    </xf>
    <xf numFmtId="0" fontId="61" fillId="0" borderId="108" xfId="4" applyFont="1" applyBorder="1" applyAlignment="1">
      <alignment horizontal="centerContinuous"/>
    </xf>
    <xf numFmtId="0" fontId="63" fillId="0" borderId="83" xfId="4" applyFont="1" applyBorder="1" applyAlignment="1">
      <alignment horizontal="centerContinuous"/>
    </xf>
    <xf numFmtId="0" fontId="61" fillId="0" borderId="83" xfId="4" applyFont="1" applyBorder="1"/>
    <xf numFmtId="0" fontId="61" fillId="0" borderId="0" xfId="4" applyFont="1"/>
    <xf numFmtId="0" fontId="61" fillId="0" borderId="108" xfId="4" applyFont="1" applyBorder="1"/>
    <xf numFmtId="0" fontId="59" fillId="0" borderId="1" xfId="4" applyFont="1" applyBorder="1" applyAlignment="1">
      <alignment horizontal="right"/>
    </xf>
    <xf numFmtId="0" fontId="61" fillId="0" borderId="1" xfId="4" applyFont="1" applyBorder="1" applyAlignment="1">
      <alignment horizontal="center"/>
    </xf>
    <xf numFmtId="14" fontId="61" fillId="0" borderId="1" xfId="4" applyNumberFormat="1" applyFont="1" applyBorder="1" applyAlignment="1">
      <alignment horizontal="center"/>
    </xf>
    <xf numFmtId="0" fontId="59" fillId="0" borderId="0" xfId="4" applyFont="1" applyAlignment="1">
      <alignment horizontal="right"/>
    </xf>
    <xf numFmtId="0" fontId="61" fillId="0" borderId="0" xfId="4" applyFont="1" applyAlignment="1">
      <alignment horizontal="center"/>
    </xf>
    <xf numFmtId="9" fontId="61" fillId="0" borderId="0" xfId="4" applyNumberFormat="1" applyFont="1" applyAlignment="1">
      <alignment horizontal="center"/>
    </xf>
    <xf numFmtId="0" fontId="59" fillId="0" borderId="83" xfId="4" applyFont="1" applyBorder="1" applyAlignment="1">
      <alignment horizontal="right"/>
    </xf>
    <xf numFmtId="0" fontId="61" fillId="0" borderId="40" xfId="4" applyFont="1" applyBorder="1"/>
    <xf numFmtId="0" fontId="61" fillId="0" borderId="39" xfId="4" applyFont="1" applyBorder="1" applyAlignment="1">
      <alignment horizontal="center"/>
    </xf>
    <xf numFmtId="0" fontId="61" fillId="0" borderId="85" xfId="4" applyFont="1" applyBorder="1"/>
    <xf numFmtId="0" fontId="59" fillId="0" borderId="17" xfId="4" applyFont="1" applyBorder="1" applyAlignment="1">
      <alignment horizontal="right"/>
    </xf>
    <xf numFmtId="0" fontId="61" fillId="0" borderId="132" xfId="4" applyFont="1" applyBorder="1"/>
    <xf numFmtId="167" fontId="3" fillId="0" borderId="0" xfId="4" quotePrefix="1" applyNumberFormat="1" applyFont="1" applyAlignment="1">
      <alignment horizontal="center"/>
    </xf>
    <xf numFmtId="167" fontId="3" fillId="0" borderId="0" xfId="4" applyNumberFormat="1" applyFont="1" applyAlignment="1">
      <alignment horizontal="center"/>
    </xf>
    <xf numFmtId="0" fontId="6" fillId="0" borderId="0" xfId="4" applyFont="1" applyAlignment="1">
      <alignment horizontal="right"/>
    </xf>
    <xf numFmtId="0" fontId="24" fillId="0" borderId="0" xfId="4" applyFont="1"/>
    <xf numFmtId="0" fontId="64" fillId="0" borderId="26" xfId="4" applyFont="1" applyBorder="1" applyAlignment="1">
      <alignment horizontal="center"/>
    </xf>
    <xf numFmtId="0" fontId="64" fillId="0" borderId="28" xfId="4" applyFont="1" applyBorder="1" applyAlignment="1">
      <alignment horizontal="center"/>
    </xf>
    <xf numFmtId="0" fontId="58" fillId="0" borderId="1" xfId="4" applyFont="1" applyBorder="1" applyAlignment="1">
      <alignment horizontal="center"/>
    </xf>
    <xf numFmtId="0" fontId="64" fillId="0" borderId="1" xfId="4" applyFont="1" applyBorder="1" applyAlignment="1">
      <alignment horizontal="center"/>
    </xf>
    <xf numFmtId="0" fontId="64" fillId="0" borderId="1" xfId="4" applyFont="1" applyBorder="1" applyAlignment="1">
      <alignment horizontal="right"/>
    </xf>
    <xf numFmtId="0" fontId="58" fillId="0" borderId="131" xfId="4" applyFont="1" applyBorder="1" applyAlignment="1">
      <alignment horizontal="center"/>
    </xf>
    <xf numFmtId="0" fontId="58" fillId="0" borderId="132" xfId="4" quotePrefix="1" applyFont="1" applyBorder="1" applyAlignment="1">
      <alignment horizontal="center"/>
    </xf>
    <xf numFmtId="0" fontId="58" fillId="0" borderId="132" xfId="4" applyFont="1" applyBorder="1" applyAlignment="1">
      <alignment horizontal="center"/>
    </xf>
    <xf numFmtId="0" fontId="64" fillId="0" borderId="0" xfId="4" applyFont="1" applyAlignment="1">
      <alignment horizontal="right"/>
    </xf>
    <xf numFmtId="0" fontId="66" fillId="0" borderId="0" xfId="4" applyFont="1"/>
    <xf numFmtId="0" fontId="67" fillId="0" borderId="0" xfId="4" applyFont="1"/>
    <xf numFmtId="0" fontId="2" fillId="0" borderId="1" xfId="4" applyFont="1" applyBorder="1" applyAlignment="1">
      <alignment horizontal="center"/>
    </xf>
    <xf numFmtId="1" fontId="2" fillId="5" borderId="1" xfId="4" applyNumberFormat="1" applyFont="1" applyFill="1" applyBorder="1" applyAlignment="1">
      <alignment horizontal="center"/>
    </xf>
    <xf numFmtId="2" fontId="2" fillId="5" borderId="1" xfId="4" applyNumberFormat="1" applyFont="1" applyFill="1" applyBorder="1" applyAlignment="1">
      <alignment horizontal="center"/>
    </xf>
    <xf numFmtId="0" fontId="2" fillId="5" borderId="1" xfId="4" applyFont="1" applyFill="1" applyBorder="1" applyAlignment="1">
      <alignment horizontal="center"/>
    </xf>
    <xf numFmtId="0" fontId="6" fillId="0" borderId="0" xfId="4" applyFont="1"/>
    <xf numFmtId="0" fontId="59" fillId="0" borderId="0" xfId="4" applyFont="1"/>
    <xf numFmtId="0" fontId="31" fillId="0" borderId="17" xfId="4" applyFont="1" applyBorder="1" applyAlignment="1">
      <alignment horizontal="right"/>
    </xf>
    <xf numFmtId="0" fontId="31" fillId="0" borderId="132" xfId="4" applyFont="1" applyBorder="1" applyAlignment="1">
      <alignment horizontal="left"/>
    </xf>
    <xf numFmtId="0" fontId="31" fillId="0" borderId="132" xfId="4" quotePrefix="1" applyFont="1" applyBorder="1" applyAlignment="1">
      <alignment horizontal="left"/>
    </xf>
    <xf numFmtId="0" fontId="19" fillId="0" borderId="23" xfId="1" applyFont="1" applyBorder="1"/>
    <xf numFmtId="0" fontId="19" fillId="5" borderId="23" xfId="3" applyFont="1" applyFill="1" applyBorder="1" applyAlignment="1">
      <alignment horizontal="left"/>
    </xf>
    <xf numFmtId="0" fontId="19" fillId="5" borderId="125" xfId="1" applyFont="1" applyFill="1" applyBorder="1" applyAlignment="1">
      <alignment horizontal="left"/>
    </xf>
    <xf numFmtId="0" fontId="19" fillId="5" borderId="126" xfId="1" applyFont="1" applyFill="1" applyBorder="1" applyAlignment="1">
      <alignment horizontal="left"/>
    </xf>
    <xf numFmtId="2" fontId="7" fillId="0" borderId="36" xfId="0" applyNumberFormat="1" applyFont="1" applyBorder="1" applyAlignment="1">
      <alignment horizontal="center"/>
    </xf>
    <xf numFmtId="2" fontId="7" fillId="0" borderId="0" xfId="0" applyNumberFormat="1" applyFont="1" applyAlignment="1">
      <alignment horizontal="right"/>
    </xf>
    <xf numFmtId="2" fontId="7" fillId="0" borderId="23" xfId="0" applyNumberFormat="1" applyFont="1" applyBorder="1" applyAlignment="1">
      <alignment horizontal="right"/>
    </xf>
    <xf numFmtId="0" fontId="18" fillId="0" borderId="0" xfId="4" applyFont="1"/>
    <xf numFmtId="0" fontId="2" fillId="0" borderId="44" xfId="4" applyFont="1" applyBorder="1" applyAlignment="1">
      <alignment horizontal="center"/>
    </xf>
    <xf numFmtId="0" fontId="2" fillId="0" borderId="54" xfId="4" applyFont="1" applyBorder="1" applyAlignment="1">
      <alignment horizontal="center"/>
    </xf>
    <xf numFmtId="167" fontId="3" fillId="0" borderId="137" xfId="4" quotePrefix="1" applyNumberFormat="1" applyFont="1" applyBorder="1" applyAlignment="1">
      <alignment horizontal="center"/>
    </xf>
    <xf numFmtId="167" fontId="2" fillId="0" borderId="28" xfId="4" applyNumberFormat="1" applyFont="1" applyBorder="1" applyAlignment="1">
      <alignment horizontal="center"/>
    </xf>
    <xf numFmtId="167" fontId="2" fillId="0" borderId="138" xfId="4" applyNumberFormat="1" applyFont="1" applyBorder="1" applyAlignment="1">
      <alignment horizontal="center"/>
    </xf>
    <xf numFmtId="167" fontId="3" fillId="0" borderId="139" xfId="4" quotePrefix="1" applyNumberFormat="1" applyFont="1" applyBorder="1" applyAlignment="1">
      <alignment horizontal="center"/>
    </xf>
    <xf numFmtId="167" fontId="2" fillId="0" borderId="132" xfId="4" applyNumberFormat="1" applyFont="1" applyBorder="1" applyAlignment="1">
      <alignment horizontal="center"/>
    </xf>
    <xf numFmtId="167" fontId="3" fillId="0" borderId="25" xfId="4" quotePrefix="1" applyNumberFormat="1" applyFont="1" applyBorder="1" applyAlignment="1">
      <alignment horizontal="center"/>
    </xf>
    <xf numFmtId="167" fontId="2" fillId="0" borderId="133" xfId="4" applyNumberFormat="1" applyFont="1" applyBorder="1" applyAlignment="1">
      <alignment horizontal="center"/>
    </xf>
    <xf numFmtId="167" fontId="2" fillId="0" borderId="11" xfId="4" applyNumberFormat="1" applyFont="1" applyBorder="1" applyAlignment="1">
      <alignment horizontal="center"/>
    </xf>
    <xf numFmtId="172" fontId="70" fillId="0" borderId="6" xfId="5" applyFont="1" applyBorder="1" applyAlignment="1">
      <alignment horizontal="centerContinuous"/>
    </xf>
    <xf numFmtId="172" fontId="70" fillId="0" borderId="7" xfId="5" applyFont="1" applyBorder="1" applyAlignment="1">
      <alignment horizontal="centerContinuous"/>
    </xf>
    <xf numFmtId="172" fontId="71" fillId="0" borderId="12" xfId="5" applyFont="1" applyBorder="1" applyAlignment="1">
      <alignment horizontal="left"/>
    </xf>
    <xf numFmtId="172" fontId="72" fillId="0" borderId="55" xfId="5" applyFont="1" applyBorder="1"/>
    <xf numFmtId="172" fontId="71" fillId="0" borderId="13" xfId="5" applyFont="1" applyBorder="1" applyAlignment="1">
      <alignment horizontal="centerContinuous"/>
    </xf>
    <xf numFmtId="172" fontId="72" fillId="0" borderId="14" xfId="5" applyFont="1" applyBorder="1" applyAlignment="1">
      <alignment horizontal="centerContinuous"/>
    </xf>
    <xf numFmtId="172" fontId="73" fillId="0" borderId="0" xfId="5" applyFont="1"/>
    <xf numFmtId="172" fontId="69" fillId="0" borderId="0" xfId="5"/>
    <xf numFmtId="172" fontId="70" fillId="0" borderId="45" xfId="5" applyFont="1" applyBorder="1" applyAlignment="1">
      <alignment horizontal="centerContinuous"/>
    </xf>
    <xf numFmtId="172" fontId="70" fillId="0" borderId="0" xfId="5" applyFont="1" applyAlignment="1">
      <alignment horizontal="centerContinuous"/>
    </xf>
    <xf numFmtId="172" fontId="71" fillId="0" borderId="109" xfId="5" applyFont="1" applyBorder="1" applyAlignment="1">
      <alignment horizontal="left"/>
    </xf>
    <xf numFmtId="172" fontId="72" fillId="0" borderId="39" xfId="5" applyFont="1" applyBorder="1"/>
    <xf numFmtId="172" fontId="71" fillId="0" borderId="40" xfId="5" applyFont="1" applyBorder="1" applyAlignment="1">
      <alignment horizontal="centerContinuous"/>
    </xf>
    <xf numFmtId="172" fontId="72" fillId="0" borderId="29" xfId="5" applyFont="1" applyBorder="1" applyAlignment="1">
      <alignment horizontal="centerContinuous"/>
    </xf>
    <xf numFmtId="172" fontId="72" fillId="0" borderId="45" xfId="5" applyFont="1" applyBorder="1" applyAlignment="1">
      <alignment horizontal="centerContinuous"/>
    </xf>
    <xf numFmtId="172" fontId="72" fillId="0" borderId="0" xfId="5" applyFont="1" applyAlignment="1">
      <alignment horizontal="centerContinuous"/>
    </xf>
    <xf numFmtId="172" fontId="71" fillId="0" borderId="40" xfId="5" quotePrefix="1" applyFont="1" applyBorder="1" applyAlignment="1">
      <alignment horizontal="centerContinuous"/>
    </xf>
    <xf numFmtId="172" fontId="74" fillId="0" borderId="45" xfId="5" applyFont="1" applyBorder="1" applyAlignment="1">
      <alignment horizontal="centerContinuous"/>
    </xf>
    <xf numFmtId="172" fontId="73" fillId="0" borderId="45" xfId="5" applyFont="1" applyBorder="1" applyAlignment="1">
      <alignment horizontal="centerContinuous"/>
    </xf>
    <xf numFmtId="172" fontId="73" fillId="0" borderId="46" xfId="5" applyFont="1" applyBorder="1" applyAlignment="1">
      <alignment horizontal="centerContinuous"/>
    </xf>
    <xf numFmtId="172" fontId="72" fillId="0" borderId="23" xfId="5" applyFont="1" applyBorder="1" applyAlignment="1">
      <alignment horizontal="centerContinuous"/>
    </xf>
    <xf numFmtId="172" fontId="71" fillId="0" borderId="46" xfId="5" applyFont="1" applyBorder="1" applyAlignment="1">
      <alignment horizontal="left"/>
    </xf>
    <xf numFmtId="172" fontId="72" fillId="0" borderId="48" xfId="5" applyFont="1" applyBorder="1"/>
    <xf numFmtId="172" fontId="75" fillId="0" borderId="23" xfId="5" applyFont="1" applyBorder="1" applyAlignment="1">
      <alignment horizontal="centerContinuous"/>
    </xf>
    <xf numFmtId="172" fontId="72" fillId="0" borderId="24" xfId="5" applyFont="1" applyBorder="1" applyAlignment="1">
      <alignment horizontal="centerContinuous"/>
    </xf>
    <xf numFmtId="172" fontId="73" fillId="0" borderId="0" xfId="5" applyFont="1" applyAlignment="1">
      <alignment horizontal="centerContinuous"/>
    </xf>
    <xf numFmtId="172" fontId="71" fillId="0" borderId="0" xfId="5" applyFont="1" applyAlignment="1">
      <alignment horizontal="left"/>
    </xf>
    <xf numFmtId="172" fontId="72" fillId="0" borderId="0" xfId="5" applyFont="1"/>
    <xf numFmtId="172" fontId="71" fillId="0" borderId="0" xfId="5" applyFont="1" applyAlignment="1">
      <alignment horizontal="centerContinuous"/>
    </xf>
    <xf numFmtId="172" fontId="76" fillId="0" borderId="0" xfId="5" applyFont="1"/>
    <xf numFmtId="172" fontId="76" fillId="0" borderId="0" xfId="5" applyFont="1" applyAlignment="1">
      <alignment horizontal="right"/>
    </xf>
    <xf numFmtId="172" fontId="76" fillId="0" borderId="0" xfId="5" applyFont="1" applyAlignment="1" applyProtection="1">
      <alignment horizontal="left"/>
      <protection locked="0"/>
    </xf>
    <xf numFmtId="172" fontId="76" fillId="0" borderId="0" xfId="5" applyFont="1" applyAlignment="1">
      <alignment horizontal="centerContinuous"/>
    </xf>
    <xf numFmtId="172" fontId="76" fillId="0" borderId="0" xfId="5" applyFont="1" applyAlignment="1">
      <alignment horizontal="left"/>
    </xf>
    <xf numFmtId="49" fontId="76" fillId="0" borderId="0" xfId="5" quotePrefix="1" applyNumberFormat="1" applyFont="1" applyAlignment="1" applyProtection="1">
      <alignment horizontal="left"/>
      <protection locked="0"/>
    </xf>
    <xf numFmtId="172" fontId="77" fillId="0" borderId="140" xfId="5" applyFont="1" applyBorder="1" applyAlignment="1">
      <alignment horizontal="centerContinuous"/>
    </xf>
    <xf numFmtId="172" fontId="73" fillId="0" borderId="141" xfId="5" applyFont="1" applyBorder="1" applyAlignment="1">
      <alignment horizontal="centerContinuous"/>
    </xf>
    <xf numFmtId="172" fontId="73" fillId="0" borderId="142" xfId="5" applyFont="1" applyBorder="1" applyAlignment="1">
      <alignment horizontal="centerContinuous"/>
    </xf>
    <xf numFmtId="172" fontId="76" fillId="0" borderId="45" xfId="5" applyFont="1" applyBorder="1"/>
    <xf numFmtId="172" fontId="76" fillId="0" borderId="0" xfId="5" applyFont="1" applyAlignment="1" applyProtection="1">
      <alignment horizontal="center"/>
      <protection locked="0"/>
    </xf>
    <xf numFmtId="172" fontId="76" fillId="0" borderId="21" xfId="5" applyFont="1" applyBorder="1" applyAlignment="1" applyProtection="1">
      <alignment horizontal="center"/>
      <protection locked="0"/>
    </xf>
    <xf numFmtId="172" fontId="76" fillId="0" borderId="0" xfId="5" applyFont="1" applyAlignment="1">
      <alignment horizontal="center"/>
    </xf>
    <xf numFmtId="49" fontId="76" fillId="0" borderId="0" xfId="5" applyNumberFormat="1" applyFont="1" applyAlignment="1">
      <alignment horizontal="center"/>
    </xf>
    <xf numFmtId="172" fontId="76" fillId="0" borderId="0" xfId="5" quotePrefix="1" applyFont="1" applyAlignment="1">
      <alignment horizontal="right"/>
    </xf>
    <xf numFmtId="172" fontId="76" fillId="0" borderId="0" xfId="5" quotePrefix="1" applyFont="1" applyAlignment="1" applyProtection="1">
      <alignment horizontal="center"/>
      <protection locked="0"/>
    </xf>
    <xf numFmtId="172" fontId="76" fillId="0" borderId="21" xfId="5" applyFont="1" applyBorder="1"/>
    <xf numFmtId="172" fontId="76" fillId="0" borderId="46" xfId="5" applyFont="1" applyBorder="1"/>
    <xf numFmtId="172" fontId="76" fillId="0" borderId="23" xfId="5" applyFont="1" applyBorder="1" applyAlignment="1">
      <alignment horizontal="right"/>
    </xf>
    <xf numFmtId="167" fontId="76" fillId="0" borderId="23" xfId="5" quotePrefix="1" applyNumberFormat="1" applyFont="1" applyBorder="1" applyAlignment="1" applyProtection="1">
      <alignment horizontal="center"/>
      <protection locked="0"/>
    </xf>
    <xf numFmtId="172" fontId="76" fillId="0" borderId="23" xfId="5" applyFont="1" applyBorder="1"/>
    <xf numFmtId="167" fontId="76" fillId="0" borderId="23" xfId="5" applyNumberFormat="1" applyFont="1" applyBorder="1"/>
    <xf numFmtId="172" fontId="76" fillId="0" borderId="24" xfId="5" applyFont="1" applyBorder="1"/>
    <xf numFmtId="172" fontId="78" fillId="0" borderId="45" xfId="5" quotePrefix="1" applyFont="1" applyBorder="1" applyAlignment="1">
      <alignment horizontal="left"/>
    </xf>
    <xf numFmtId="172" fontId="72" fillId="0" borderId="0" xfId="5" quotePrefix="1" applyFont="1" applyAlignment="1">
      <alignment horizontal="right"/>
    </xf>
    <xf numFmtId="172" fontId="72" fillId="0" borderId="108" xfId="5" applyFont="1" applyBorder="1"/>
    <xf numFmtId="172" fontId="78" fillId="0" borderId="0" xfId="5" applyFont="1" applyAlignment="1">
      <alignment horizontal="left"/>
    </xf>
    <xf numFmtId="172" fontId="72" fillId="0" borderId="0" xfId="5" applyFont="1" applyAlignment="1">
      <alignment horizontal="right"/>
    </xf>
    <xf numFmtId="172" fontId="72" fillId="0" borderId="108" xfId="5" applyFont="1" applyBorder="1" applyAlignment="1">
      <alignment horizontal="right"/>
    </xf>
    <xf numFmtId="172" fontId="78" fillId="0" borderId="0" xfId="5" quotePrefix="1" applyFont="1" applyAlignment="1">
      <alignment horizontal="left"/>
    </xf>
    <xf numFmtId="172" fontId="72" fillId="0" borderId="21" xfId="5" applyFont="1" applyBorder="1"/>
    <xf numFmtId="172" fontId="69" fillId="0" borderId="45" xfId="5" applyBorder="1"/>
    <xf numFmtId="172" fontId="76" fillId="0" borderId="108" xfId="5" applyFont="1" applyBorder="1" applyAlignment="1" applyProtection="1">
      <alignment horizontal="center"/>
      <protection locked="0"/>
    </xf>
    <xf numFmtId="1" fontId="76" fillId="0" borderId="108" xfId="5" applyNumberFormat="1" applyFont="1" applyBorder="1" applyAlignment="1">
      <alignment horizontal="center"/>
    </xf>
    <xf numFmtId="172" fontId="76" fillId="0" borderId="108" xfId="5" applyFont="1" applyBorder="1"/>
    <xf numFmtId="172" fontId="76" fillId="0" borderId="48" xfId="5" applyFont="1" applyBorder="1"/>
    <xf numFmtId="172" fontId="76" fillId="0" borderId="48" xfId="5" applyFont="1" applyBorder="1" applyAlignment="1">
      <alignment horizontal="left"/>
    </xf>
    <xf numFmtId="172" fontId="77" fillId="0" borderId="143" xfId="5" applyFont="1" applyBorder="1" applyAlignment="1">
      <alignment horizontal="centerContinuous"/>
    </xf>
    <xf numFmtId="172" fontId="73" fillId="0" borderId="144" xfId="5" applyFont="1" applyBorder="1" applyAlignment="1">
      <alignment horizontal="centerContinuous"/>
    </xf>
    <xf numFmtId="172" fontId="69" fillId="0" borderId="145" xfId="5" applyBorder="1"/>
    <xf numFmtId="172" fontId="73" fillId="0" borderId="146" xfId="5" applyFont="1" applyBorder="1" applyAlignment="1">
      <alignment horizontal="centerContinuous"/>
    </xf>
    <xf numFmtId="172" fontId="78" fillId="0" borderId="45" xfId="5" applyFont="1" applyBorder="1" applyAlignment="1">
      <alignment horizontal="left"/>
    </xf>
    <xf numFmtId="172" fontId="69" fillId="0" borderId="108" xfId="5" applyBorder="1"/>
    <xf numFmtId="167" fontId="76" fillId="0" borderId="0" xfId="5" applyNumberFormat="1" applyFont="1" applyAlignment="1" applyProtection="1">
      <alignment horizontal="center"/>
      <protection locked="0"/>
    </xf>
    <xf numFmtId="172" fontId="76" fillId="0" borderId="45" xfId="5" applyFont="1" applyBorder="1" applyAlignment="1">
      <alignment horizontal="left"/>
    </xf>
    <xf numFmtId="172" fontId="69" fillId="0" borderId="48" xfId="5" applyBorder="1"/>
    <xf numFmtId="172" fontId="73" fillId="0" borderId="0" xfId="5" applyFont="1" applyAlignment="1">
      <alignment horizontal="left"/>
    </xf>
    <xf numFmtId="172" fontId="73" fillId="0" borderId="143" xfId="5" applyFont="1" applyBorder="1"/>
    <xf numFmtId="172" fontId="72" fillId="0" borderId="144" xfId="5" applyFont="1" applyBorder="1" applyAlignment="1">
      <alignment horizontal="left"/>
    </xf>
    <xf numFmtId="172" fontId="72" fillId="0" borderId="146" xfId="5" applyFont="1" applyBorder="1" applyAlignment="1">
      <alignment horizontal="left"/>
    </xf>
    <xf numFmtId="172" fontId="76" fillId="0" borderId="45" xfId="5" quotePrefix="1" applyFont="1" applyBorder="1" applyAlignment="1">
      <alignment horizontal="left"/>
    </xf>
    <xf numFmtId="172" fontId="76" fillId="0" borderId="21" xfId="5" applyFont="1" applyBorder="1" applyAlignment="1">
      <alignment horizontal="left"/>
    </xf>
    <xf numFmtId="172" fontId="79" fillId="0" borderId="147" xfId="5" applyFont="1" applyBorder="1"/>
    <xf numFmtId="172" fontId="76" fillId="0" borderId="0" xfId="5" quotePrefix="1" applyFont="1" applyAlignment="1">
      <alignment horizontal="left"/>
    </xf>
    <xf numFmtId="172" fontId="76" fillId="0" borderId="148" xfId="5" quotePrefix="1" applyFont="1" applyBorder="1" applyAlignment="1">
      <alignment horizontal="left"/>
    </xf>
    <xf numFmtId="172" fontId="76" fillId="0" borderId="149" xfId="5" quotePrefix="1" applyFont="1" applyBorder="1" applyAlignment="1">
      <alignment horizontal="left"/>
    </xf>
    <xf numFmtId="172" fontId="76" fillId="0" borderId="46" xfId="5" applyFont="1" applyBorder="1" applyAlignment="1">
      <alignment horizontal="left"/>
    </xf>
    <xf numFmtId="172" fontId="76" fillId="0" borderId="23" xfId="5" applyFont="1" applyBorder="1" applyAlignment="1">
      <alignment horizontal="left"/>
    </xf>
    <xf numFmtId="172" fontId="76" fillId="0" borderId="24" xfId="5" applyFont="1" applyBorder="1" applyAlignment="1">
      <alignment horizontal="left"/>
    </xf>
    <xf numFmtId="172" fontId="72" fillId="0" borderId="0" xfId="5" applyFont="1" applyAlignment="1">
      <alignment horizontal="left"/>
    </xf>
    <xf numFmtId="172" fontId="80" fillId="0" borderId="0" xfId="5" applyFont="1" applyAlignment="1">
      <alignment horizontal="right"/>
    </xf>
    <xf numFmtId="172" fontId="69" fillId="0" borderId="0" xfId="5" applyAlignment="1">
      <alignment horizontal="right"/>
    </xf>
    <xf numFmtId="49" fontId="61" fillId="0" borderId="40" xfId="4" applyNumberFormat="1" applyFont="1" applyBorder="1"/>
    <xf numFmtId="14" fontId="19" fillId="5" borderId="122" xfId="1" applyNumberFormat="1" applyFont="1" applyFill="1" applyBorder="1" applyAlignment="1">
      <alignment horizontal="center"/>
    </xf>
    <xf numFmtId="14" fontId="19" fillId="5" borderId="123" xfId="1" applyNumberFormat="1" applyFont="1" applyFill="1" applyBorder="1" applyAlignment="1">
      <alignment horizontal="center"/>
    </xf>
    <xf numFmtId="0" fontId="29" fillId="5" borderId="23" xfId="1" applyFont="1" applyFill="1" applyBorder="1" applyAlignment="1">
      <alignment horizontal="center"/>
    </xf>
    <xf numFmtId="0" fontId="37" fillId="5" borderId="60" xfId="1" applyFont="1" applyFill="1" applyBorder="1" applyAlignment="1">
      <alignment horizontal="center"/>
    </xf>
    <xf numFmtId="0" fontId="37" fillId="5" borderId="56" xfId="1" applyFont="1" applyFill="1" applyBorder="1" applyAlignment="1">
      <alignment horizontal="center"/>
    </xf>
    <xf numFmtId="0" fontId="38" fillId="0" borderId="65" xfId="1" applyFont="1" applyBorder="1" applyAlignment="1">
      <alignment horizontal="center"/>
    </xf>
    <xf numFmtId="0" fontId="38" fillId="0" borderId="66" xfId="1" applyFont="1" applyBorder="1" applyAlignment="1">
      <alignment horizontal="center"/>
    </xf>
    <xf numFmtId="0" fontId="33" fillId="0" borderId="45" xfId="1" applyFont="1" applyBorder="1" applyAlignment="1">
      <alignment horizontal="center"/>
    </xf>
    <xf numFmtId="0" fontId="33" fillId="0" borderId="0" xfId="1" applyFont="1" applyAlignment="1">
      <alignment horizontal="center"/>
    </xf>
    <xf numFmtId="0" fontId="33" fillId="0" borderId="108" xfId="1" applyFont="1" applyBorder="1" applyAlignment="1">
      <alignment horizontal="center"/>
    </xf>
    <xf numFmtId="0" fontId="33" fillId="0" borderId="109" xfId="1" applyFont="1" applyBorder="1" applyAlignment="1">
      <alignment horizontal="center"/>
    </xf>
    <xf numFmtId="0" fontId="33" fillId="0" borderId="40" xfId="1" applyFont="1" applyBorder="1" applyAlignment="1">
      <alignment horizontal="center"/>
    </xf>
    <xf numFmtId="0" fontId="33" fillId="0" borderId="39" xfId="1" applyFont="1" applyBorder="1" applyAlignment="1">
      <alignment horizontal="center"/>
    </xf>
    <xf numFmtId="0" fontId="28" fillId="0" borderId="102" xfId="1" applyFont="1" applyBorder="1" applyAlignment="1">
      <alignment horizontal="left"/>
    </xf>
    <xf numFmtId="0" fontId="28" fillId="0" borderId="62" xfId="1" applyFont="1" applyBorder="1" applyAlignment="1">
      <alignment horizontal="left"/>
    </xf>
    <xf numFmtId="0" fontId="28" fillId="0" borderId="38" xfId="1" applyFont="1" applyBorder="1" applyAlignment="1">
      <alignment horizontal="left"/>
    </xf>
    <xf numFmtId="0" fontId="33" fillId="0" borderId="46" xfId="1" applyFont="1" applyBorder="1" applyAlignment="1">
      <alignment horizontal="center"/>
    </xf>
    <xf numFmtId="0" fontId="33" fillId="0" borderId="23" xfId="1" applyFont="1" applyBorder="1" applyAlignment="1">
      <alignment horizontal="center"/>
    </xf>
    <xf numFmtId="0" fontId="33" fillId="0" borderId="48" xfId="1" applyFont="1" applyBorder="1" applyAlignment="1">
      <alignment horizontal="center"/>
    </xf>
    <xf numFmtId="0" fontId="49" fillId="5" borderId="117" xfId="1" applyFont="1" applyFill="1" applyBorder="1" applyAlignment="1">
      <alignment horizontal="center"/>
    </xf>
    <xf numFmtId="0" fontId="49" fillId="5" borderId="118" xfId="1" applyFont="1" applyFill="1" applyBorder="1" applyAlignment="1">
      <alignment horizontal="center"/>
    </xf>
    <xf numFmtId="169" fontId="38" fillId="5" borderId="65" xfId="1" applyNumberFormat="1" applyFont="1" applyFill="1" applyBorder="1" applyAlignment="1">
      <alignment horizontal="center"/>
    </xf>
    <xf numFmtId="169" fontId="38" fillId="5" borderId="66" xfId="1" applyNumberFormat="1" applyFont="1" applyFill="1" applyBorder="1" applyAlignment="1">
      <alignment horizontal="center"/>
    </xf>
    <xf numFmtId="1" fontId="38" fillId="5" borderId="65" xfId="1" applyNumberFormat="1" applyFont="1" applyFill="1" applyBorder="1" applyAlignment="1">
      <alignment horizontal="center"/>
    </xf>
    <xf numFmtId="1" fontId="38" fillId="5" borderId="66" xfId="1" applyNumberFormat="1" applyFont="1" applyFill="1" applyBorder="1" applyAlignment="1">
      <alignment horizontal="center"/>
    </xf>
    <xf numFmtId="1" fontId="38" fillId="5" borderId="100" xfId="1" applyNumberFormat="1" applyFont="1" applyFill="1" applyBorder="1" applyAlignment="1">
      <alignment horizontal="center"/>
    </xf>
    <xf numFmtId="1" fontId="38" fillId="5" borderId="101" xfId="1" applyNumberFormat="1" applyFont="1" applyFill="1" applyBorder="1" applyAlignment="1">
      <alignment horizontal="center"/>
    </xf>
    <xf numFmtId="0" fontId="33" fillId="0" borderId="107" xfId="1" applyFont="1" applyBorder="1" applyAlignment="1">
      <alignment horizontal="left"/>
    </xf>
    <xf numFmtId="0" fontId="33" fillId="0" borderId="77" xfId="1" applyFont="1" applyBorder="1" applyAlignment="1">
      <alignment horizontal="left"/>
    </xf>
    <xf numFmtId="0" fontId="28" fillId="5" borderId="61" xfId="1" applyFont="1" applyFill="1" applyBorder="1" applyAlignment="1">
      <alignment horizontal="left"/>
    </xf>
    <xf numFmtId="0" fontId="28" fillId="5" borderId="62" xfId="1" applyFont="1" applyFill="1" applyBorder="1" applyAlignment="1">
      <alignment horizontal="left"/>
    </xf>
    <xf numFmtId="0" fontId="28" fillId="5" borderId="27" xfId="1" applyFont="1" applyFill="1" applyBorder="1" applyAlignment="1">
      <alignment horizontal="left"/>
    </xf>
    <xf numFmtId="0" fontId="36" fillId="5" borderId="75" xfId="1" quotePrefix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left"/>
    </xf>
    <xf numFmtId="0" fontId="36" fillId="5" borderId="69" xfId="1" quotePrefix="1" applyFont="1" applyFill="1" applyBorder="1" applyAlignment="1">
      <alignment horizontal="left"/>
    </xf>
    <xf numFmtId="2" fontId="38" fillId="5" borderId="65" xfId="1" applyNumberFormat="1" applyFont="1" applyFill="1" applyBorder="1" applyAlignment="1">
      <alignment horizontal="center"/>
    </xf>
    <xf numFmtId="2" fontId="38" fillId="5" borderId="66" xfId="1" applyNumberFormat="1" applyFont="1" applyFill="1" applyBorder="1" applyAlignment="1">
      <alignment horizontal="center"/>
    </xf>
    <xf numFmtId="0" fontId="38" fillId="5" borderId="65" xfId="1" applyFont="1" applyFill="1" applyBorder="1" applyAlignment="1">
      <alignment horizontal="center"/>
    </xf>
    <xf numFmtId="0" fontId="38" fillId="5" borderId="66" xfId="1" applyFont="1" applyFill="1" applyBorder="1" applyAlignment="1">
      <alignment horizontal="center"/>
    </xf>
    <xf numFmtId="0" fontId="28" fillId="0" borderId="80" xfId="1" applyFont="1" applyBorder="1" applyAlignment="1">
      <alignment horizontal="left"/>
    </xf>
    <xf numFmtId="0" fontId="28" fillId="0" borderId="81" xfId="1" applyFont="1" applyBorder="1" applyAlignment="1">
      <alignment horizontal="left"/>
    </xf>
    <xf numFmtId="0" fontId="28" fillId="0" borderId="82" xfId="1" applyFont="1" applyBorder="1" applyAlignment="1">
      <alignment horizontal="left"/>
    </xf>
    <xf numFmtId="167" fontId="38" fillId="5" borderId="65" xfId="1" applyNumberFormat="1" applyFont="1" applyFill="1" applyBorder="1" applyAlignment="1">
      <alignment horizontal="center"/>
    </xf>
    <xf numFmtId="167" fontId="38" fillId="5" borderId="66" xfId="1" applyNumberFormat="1" applyFont="1" applyFill="1" applyBorder="1" applyAlignment="1">
      <alignment horizontal="center"/>
    </xf>
    <xf numFmtId="0" fontId="36" fillId="5" borderId="87" xfId="1" applyFont="1" applyFill="1" applyBorder="1" applyAlignment="1">
      <alignment horizontal="center"/>
    </xf>
    <xf numFmtId="0" fontId="36" fillId="5" borderId="88" xfId="1" applyFont="1" applyFill="1" applyBorder="1" applyAlignment="1">
      <alignment horizontal="center"/>
    </xf>
    <xf numFmtId="0" fontId="36" fillId="5" borderId="83" xfId="1" applyFont="1" applyFill="1" applyBorder="1" applyAlignment="1">
      <alignment horizontal="center"/>
    </xf>
    <xf numFmtId="0" fontId="36" fillId="5" borderId="0" xfId="1" applyFont="1" applyFill="1" applyAlignment="1">
      <alignment horizontal="center"/>
    </xf>
    <xf numFmtId="0" fontId="36" fillId="5" borderId="85" xfId="1" applyFont="1" applyFill="1" applyBorder="1" applyAlignment="1">
      <alignment horizontal="center"/>
    </xf>
    <xf numFmtId="0" fontId="36" fillId="5" borderId="40" xfId="1" applyFont="1" applyFill="1" applyBorder="1" applyAlignment="1">
      <alignment horizontal="center"/>
    </xf>
    <xf numFmtId="0" fontId="36" fillId="5" borderId="89" xfId="1" applyFont="1" applyFill="1" applyBorder="1" applyAlignment="1">
      <alignment horizontal="left"/>
    </xf>
    <xf numFmtId="0" fontId="36" fillId="5" borderId="90" xfId="1" applyFont="1" applyFill="1" applyBorder="1" applyAlignment="1">
      <alignment horizontal="left"/>
    </xf>
    <xf numFmtId="0" fontId="36" fillId="5" borderId="91" xfId="1" applyFont="1" applyFill="1" applyBorder="1" applyAlignment="1">
      <alignment horizontal="left"/>
    </xf>
    <xf numFmtId="0" fontId="38" fillId="5" borderId="92" xfId="1" applyFont="1" applyFill="1" applyBorder="1" applyAlignment="1">
      <alignment horizontal="center"/>
    </xf>
    <xf numFmtId="0" fontId="38" fillId="0" borderId="92" xfId="1" applyFont="1" applyBorder="1" applyAlignment="1">
      <alignment horizontal="center"/>
    </xf>
    <xf numFmtId="0" fontId="36" fillId="5" borderId="75" xfId="1" applyFont="1" applyFill="1" applyBorder="1" applyAlignment="1">
      <alignment horizontal="left"/>
    </xf>
    <xf numFmtId="0" fontId="36" fillId="5" borderId="68" xfId="1" applyFont="1" applyFill="1" applyBorder="1" applyAlignment="1">
      <alignment horizontal="left"/>
    </xf>
    <xf numFmtId="0" fontId="36" fillId="5" borderId="69" xfId="1" applyFont="1" applyFill="1" applyBorder="1" applyAlignment="1">
      <alignment horizontal="left"/>
    </xf>
    <xf numFmtId="0" fontId="36" fillId="0" borderId="75" xfId="1" applyFont="1" applyBorder="1" applyAlignment="1">
      <alignment horizontal="left"/>
    </xf>
    <xf numFmtId="0" fontId="36" fillId="0" borderId="68" xfId="1" applyFont="1" applyBorder="1" applyAlignment="1">
      <alignment horizontal="left"/>
    </xf>
    <xf numFmtId="0" fontId="36" fillId="0" borderId="69" xfId="1" applyFont="1" applyBorder="1" applyAlignment="1">
      <alignment horizontal="left"/>
    </xf>
    <xf numFmtId="167" fontId="38" fillId="0" borderId="65" xfId="1" applyNumberFormat="1" applyFont="1" applyBorder="1" applyAlignment="1">
      <alignment horizontal="center"/>
    </xf>
    <xf numFmtId="167" fontId="38" fillId="0" borderId="66" xfId="1" applyNumberFormat="1" applyFont="1" applyBorder="1" applyAlignment="1">
      <alignment horizontal="center"/>
    </xf>
    <xf numFmtId="0" fontId="36" fillId="0" borderId="63" xfId="1" applyFont="1" applyBorder="1" applyAlignment="1">
      <alignment horizontal="left"/>
    </xf>
    <xf numFmtId="0" fontId="36" fillId="0" borderId="64" xfId="1" applyFont="1" applyBorder="1" applyAlignment="1">
      <alignment horizontal="left"/>
    </xf>
    <xf numFmtId="2" fontId="38" fillId="0" borderId="65" xfId="1" applyNumberFormat="1" applyFont="1" applyBorder="1" applyAlignment="1">
      <alignment horizontal="center"/>
    </xf>
    <xf numFmtId="2" fontId="38" fillId="0" borderId="66" xfId="1" applyNumberFormat="1" applyFont="1" applyBorder="1" applyAlignment="1">
      <alignment horizontal="center"/>
    </xf>
    <xf numFmtId="0" fontId="24" fillId="0" borderId="0" xfId="1" applyFont="1" applyAlignment="1">
      <alignment horizontal="center"/>
    </xf>
    <xf numFmtId="0" fontId="27" fillId="5" borderId="0" xfId="1" applyFont="1" applyFill="1" applyAlignment="1">
      <alignment horizontal="center"/>
    </xf>
    <xf numFmtId="0" fontId="34" fillId="5" borderId="12" xfId="1" applyFont="1" applyFill="1" applyBorder="1" applyAlignment="1">
      <alignment horizontal="left"/>
    </xf>
    <xf numFmtId="0" fontId="34" fillId="5" borderId="13" xfId="1" applyFont="1" applyFill="1" applyBorder="1" applyAlignment="1">
      <alignment horizontal="left"/>
    </xf>
    <xf numFmtId="0" fontId="36" fillId="0" borderId="58" xfId="1" applyFont="1" applyBorder="1" applyAlignment="1">
      <alignment horizontal="left"/>
    </xf>
    <xf numFmtId="0" fontId="36" fillId="0" borderId="59" xfId="1" applyFont="1" applyBorder="1" applyAlignment="1">
      <alignment horizontal="left"/>
    </xf>
    <xf numFmtId="0" fontId="53" fillId="0" borderId="17" xfId="2" applyBorder="1" applyAlignment="1">
      <alignment horizontal="left"/>
    </xf>
    <xf numFmtId="0" fontId="53" fillId="0" borderId="131" xfId="2" applyBorder="1" applyAlignment="1">
      <alignment horizontal="left"/>
    </xf>
    <xf numFmtId="170" fontId="53" fillId="0" borderId="17" xfId="2" applyNumberFormat="1" applyBorder="1" applyAlignment="1">
      <alignment horizontal="center"/>
    </xf>
    <xf numFmtId="170" fontId="53" fillId="0" borderId="131" xfId="2" applyNumberFormat="1" applyBorder="1" applyAlignment="1">
      <alignment horizontal="center"/>
    </xf>
    <xf numFmtId="170" fontId="53" fillId="0" borderId="132" xfId="2" applyNumberFormat="1" applyBorder="1" applyAlignment="1">
      <alignment horizontal="center"/>
    </xf>
    <xf numFmtId="49" fontId="53" fillId="0" borderId="17" xfId="2" applyNumberFormat="1" applyBorder="1" applyAlignment="1">
      <alignment horizontal="center"/>
    </xf>
    <xf numFmtId="49" fontId="53" fillId="0" borderId="131" xfId="2" applyNumberFormat="1" applyBorder="1" applyAlignment="1">
      <alignment horizontal="center"/>
    </xf>
    <xf numFmtId="49" fontId="53" fillId="0" borderId="16" xfId="2" applyNumberFormat="1" applyBorder="1" applyAlignment="1">
      <alignment horizontal="center"/>
    </xf>
    <xf numFmtId="0" fontId="53" fillId="0" borderId="31" xfId="2" applyBorder="1" applyAlignment="1">
      <alignment horizontal="left"/>
    </xf>
    <xf numFmtId="0" fontId="53" fillId="0" borderId="51" xfId="2" applyBorder="1" applyAlignment="1">
      <alignment horizontal="left"/>
    </xf>
    <xf numFmtId="170" fontId="53" fillId="0" borderId="31" xfId="2" applyNumberFormat="1" applyBorder="1" applyAlignment="1">
      <alignment horizontal="center"/>
    </xf>
    <xf numFmtId="170" fontId="53" fillId="0" borderId="51" xfId="2" applyNumberFormat="1" applyBorder="1" applyAlignment="1">
      <alignment horizontal="center"/>
    </xf>
    <xf numFmtId="170" fontId="53" fillId="0" borderId="133" xfId="2" applyNumberFormat="1" applyBorder="1" applyAlignment="1">
      <alignment horizontal="center"/>
    </xf>
    <xf numFmtId="49" fontId="53" fillId="0" borderId="31" xfId="2" applyNumberFormat="1" applyBorder="1" applyAlignment="1">
      <alignment horizontal="center"/>
    </xf>
    <xf numFmtId="49" fontId="53" fillId="0" borderId="51" xfId="2" applyNumberFormat="1" applyBorder="1" applyAlignment="1">
      <alignment horizontal="center"/>
    </xf>
    <xf numFmtId="49" fontId="53" fillId="0" borderId="32" xfId="2" applyNumberFormat="1" applyBorder="1" applyAlignment="1">
      <alignment horizontal="center"/>
    </xf>
    <xf numFmtId="0" fontId="53" fillId="0" borderId="50" xfId="2" applyBorder="1" applyAlignment="1">
      <alignment horizontal="left"/>
    </xf>
    <xf numFmtId="0" fontId="53" fillId="0" borderId="13" xfId="2" applyBorder="1" applyAlignment="1">
      <alignment horizontal="left"/>
    </xf>
    <xf numFmtId="170" fontId="53" fillId="0" borderId="50" xfId="2" applyNumberFormat="1" applyBorder="1" applyAlignment="1">
      <alignment horizontal="center"/>
    </xf>
    <xf numFmtId="170" fontId="53" fillId="0" borderId="13" xfId="2" applyNumberFormat="1" applyBorder="1" applyAlignment="1">
      <alignment horizontal="center"/>
    </xf>
    <xf numFmtId="170" fontId="53" fillId="0" borderId="55" xfId="2" applyNumberFormat="1" applyBorder="1" applyAlignment="1">
      <alignment horizontal="center"/>
    </xf>
    <xf numFmtId="49" fontId="53" fillId="0" borderId="50" xfId="2" applyNumberFormat="1" applyBorder="1" applyAlignment="1">
      <alignment horizontal="center"/>
    </xf>
    <xf numFmtId="49" fontId="53" fillId="0" borderId="13" xfId="2" applyNumberFormat="1" applyBorder="1" applyAlignment="1">
      <alignment horizontal="center"/>
    </xf>
    <xf numFmtId="49" fontId="53" fillId="0" borderId="14" xfId="2" applyNumberFormat="1" applyBorder="1" applyAlignment="1">
      <alignment horizontal="center"/>
    </xf>
    <xf numFmtId="0" fontId="55" fillId="0" borderId="45" xfId="2" applyFont="1" applyBorder="1" applyAlignment="1">
      <alignment horizontal="center"/>
    </xf>
    <xf numFmtId="0" fontId="55" fillId="0" borderId="0" xfId="2" applyFont="1" applyAlignment="1">
      <alignment horizontal="center"/>
    </xf>
    <xf numFmtId="0" fontId="55" fillId="0" borderId="53" xfId="2" applyFont="1" applyBorder="1" applyAlignment="1">
      <alignment horizontal="center"/>
    </xf>
    <xf numFmtId="0" fontId="54" fillId="0" borderId="15" xfId="2" applyFont="1" applyBorder="1" applyAlignment="1">
      <alignment horizontal="center"/>
    </xf>
    <xf numFmtId="0" fontId="54" fillId="0" borderId="7" xfId="2" applyFont="1" applyBorder="1" applyAlignment="1">
      <alignment horizontal="center"/>
    </xf>
    <xf numFmtId="0" fontId="54" fillId="0" borderId="130" xfId="2" applyFont="1" applyBorder="1" applyAlignment="1">
      <alignment horizontal="center"/>
    </xf>
    <xf numFmtId="0" fontId="54" fillId="0" borderId="8" xfId="2" applyFont="1" applyBorder="1" applyAlignment="1">
      <alignment horizontal="center"/>
    </xf>
    <xf numFmtId="0" fontId="58" fillId="0" borderId="17" xfId="4" applyFont="1" applyBorder="1" applyAlignment="1">
      <alignment horizontal="right"/>
    </xf>
    <xf numFmtId="0" fontId="58" fillId="0" borderId="131" xfId="4" applyFont="1" applyBorder="1" applyAlignment="1">
      <alignment horizontal="right"/>
    </xf>
    <xf numFmtId="0" fontId="31" fillId="0" borderId="0" xfId="4" applyFont="1" applyAlignment="1">
      <alignment horizontal="center"/>
    </xf>
    <xf numFmtId="0" fontId="64" fillId="0" borderId="0" xfId="4" applyFont="1" applyAlignment="1">
      <alignment horizontal="right"/>
    </xf>
    <xf numFmtId="0" fontId="58" fillId="0" borderId="1" xfId="4" applyFont="1" applyBorder="1" applyAlignment="1">
      <alignment horizontal="center"/>
    </xf>
    <xf numFmtId="0" fontId="31" fillId="0" borderId="17" xfId="4" applyFont="1" applyBorder="1" applyAlignment="1">
      <alignment horizontal="center"/>
    </xf>
    <xf numFmtId="0" fontId="31" fillId="0" borderId="131" xfId="4" applyFont="1" applyBorder="1" applyAlignment="1">
      <alignment horizontal="center"/>
    </xf>
    <xf numFmtId="0" fontId="31" fillId="0" borderId="132" xfId="4" applyFont="1" applyBorder="1" applyAlignment="1">
      <alignment horizontal="center"/>
    </xf>
    <xf numFmtId="0" fontId="64" fillId="0" borderId="1" xfId="4" applyFont="1" applyBorder="1" applyAlignment="1">
      <alignment horizontal="center"/>
    </xf>
    <xf numFmtId="0" fontId="6" fillId="0" borderId="0" xfId="4" applyFont="1" applyAlignment="1">
      <alignment horizontal="center"/>
    </xf>
    <xf numFmtId="0" fontId="60" fillId="0" borderId="17" xfId="4" applyFont="1" applyBorder="1" applyAlignment="1">
      <alignment horizontal="center"/>
    </xf>
    <xf numFmtId="0" fontId="58" fillId="0" borderId="1" xfId="4" applyFont="1" applyBorder="1" applyAlignment="1">
      <alignment horizontal="right"/>
    </xf>
    <xf numFmtId="0" fontId="58" fillId="0" borderId="132" xfId="4" applyFont="1" applyBorder="1" applyAlignment="1">
      <alignment horizontal="center"/>
    </xf>
    <xf numFmtId="0" fontId="68" fillId="0" borderId="0" xfId="4" applyFont="1" applyAlignment="1">
      <alignment horizontal="center"/>
    </xf>
    <xf numFmtId="172" fontId="81" fillId="0" borderId="150" xfId="5" applyFont="1" applyBorder="1" applyAlignment="1" applyProtection="1">
      <alignment horizontal="center"/>
      <protection locked="0"/>
    </xf>
    <xf numFmtId="14" fontId="23" fillId="0" borderId="150" xfId="5" quotePrefix="1" applyNumberFormat="1" applyFont="1" applyBorder="1" applyAlignment="1" applyProtection="1">
      <alignment horizontal="center"/>
      <protection locked="0"/>
    </xf>
    <xf numFmtId="0" fontId="61" fillId="0" borderId="17" xfId="4" applyFont="1" applyBorder="1" applyAlignment="1">
      <alignment horizontal="center"/>
    </xf>
    <xf numFmtId="0" fontId="61" fillId="0" borderId="131" xfId="4" applyFont="1" applyBorder="1" applyAlignment="1">
      <alignment horizontal="center"/>
    </xf>
    <xf numFmtId="0" fontId="61" fillId="0" borderId="132" xfId="4" applyFont="1" applyBorder="1" applyAlignment="1">
      <alignment horizontal="center"/>
    </xf>
    <xf numFmtId="0" fontId="63" fillId="0" borderId="83" xfId="4" applyFont="1" applyBorder="1" applyAlignment="1">
      <alignment horizontal="center"/>
    </xf>
    <xf numFmtId="0" fontId="63" fillId="0" borderId="0" xfId="4" applyFont="1" applyAlignment="1">
      <alignment horizontal="center"/>
    </xf>
    <xf numFmtId="0" fontId="63" fillId="0" borderId="108" xfId="4" applyFont="1" applyBorder="1" applyAlignment="1">
      <alignment horizontal="center"/>
    </xf>
    <xf numFmtId="0" fontId="65" fillId="0" borderId="83" xfId="4" applyFont="1" applyBorder="1" applyAlignment="1">
      <alignment horizontal="center"/>
    </xf>
    <xf numFmtId="0" fontId="65" fillId="0" borderId="0" xfId="4" applyFont="1" applyAlignment="1">
      <alignment horizontal="center"/>
    </xf>
    <xf numFmtId="0" fontId="65" fillId="0" borderId="108" xfId="4" applyFont="1" applyBorder="1" applyAlignment="1">
      <alignment horizontal="center"/>
    </xf>
  </cellXfs>
  <cellStyles count="6">
    <cellStyle name="Normal" xfId="0" builtinId="0"/>
    <cellStyle name="Normal 2" xfId="1" xr:uid="{00000000-0005-0000-0000-000001000000}"/>
    <cellStyle name="Normal 3" xfId="4" xr:uid="{00000000-0005-0000-0000-000002000000}"/>
    <cellStyle name="Normal 4" xfId="5" xr:uid="{00000000-0005-0000-0000-000003000000}"/>
    <cellStyle name="Normal_OPTEST" xfId="3" xr:uid="{00000000-0005-0000-0000-000004000000}"/>
    <cellStyle name="Normal_PROJ_REV_HIST" xfId="2" xr:uid="{00000000-0005-0000-0000-000005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96465037246067"/>
          <c:y val="2.10132556959791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982326707498097"/>
          <c:y val="0.1134708694282645"/>
          <c:w val="0.67929306829992386"/>
          <c:h val="0.68082521656958694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9.9999997764825821E-3</c:v>
                </c:pt>
                <c:pt idx="2">
                  <c:v>5.000000074505806E-2</c:v>
                </c:pt>
                <c:pt idx="3" formatCode="0.00">
                  <c:v>0.10000000149011612</c:v>
                </c:pt>
                <c:pt idx="4" formatCode="0.00">
                  <c:v>0.15000000596046448</c:v>
                </c:pt>
                <c:pt idx="5" formatCode="0.00">
                  <c:v>0.20000000298023224</c:v>
                </c:pt>
                <c:pt idx="6" formatCode="0.00">
                  <c:v>0.30000001192092896</c:v>
                </c:pt>
                <c:pt idx="7" formatCode="0.00">
                  <c:v>0.40000000596046448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116.68075123961226</c:v>
                </c:pt>
                <c:pt idx="2">
                  <c:v>215</c:v>
                </c:pt>
                <c:pt idx="3">
                  <c:v>148.66614220716752</c:v>
                </c:pt>
                <c:pt idx="4">
                  <c:v>122.13802044054131</c:v>
                </c:pt>
                <c:pt idx="5">
                  <c:v>113.312102298822</c:v>
                </c:pt>
                <c:pt idx="6">
                  <c:v>110.03264268136778</c:v>
                </c:pt>
                <c:pt idx="7">
                  <c:v>110</c:v>
                </c:pt>
                <c:pt idx="8">
                  <c:v>110.49624971532761</c:v>
                </c:pt>
                <c:pt idx="9">
                  <c:v>111.60128428329072</c:v>
                </c:pt>
                <c:pt idx="10">
                  <c:v>113.55298957614457</c:v>
                </c:pt>
                <c:pt idx="11">
                  <c:v>116.82707387017962</c:v>
                </c:pt>
                <c:pt idx="12">
                  <c:v>121.96402113592156</c:v>
                </c:pt>
                <c:pt idx="13">
                  <c:v>130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87-4189-8D78-67EA6AAE2BBD}"/>
            </c:ext>
          </c:extLst>
        </c:ser>
        <c:ser>
          <c:idx val="2"/>
          <c:order val="2"/>
          <c:spPr>
            <a:ln w="12700">
              <a:pattFill prst="pct7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9.9999997764825821E-3</c:v>
                </c:pt>
                <c:pt idx="2">
                  <c:v>5.000000074505806E-2</c:v>
                </c:pt>
                <c:pt idx="3" formatCode="0.00">
                  <c:v>0.10000000149011612</c:v>
                </c:pt>
                <c:pt idx="4" formatCode="0.00">
                  <c:v>0.15000000596046448</c:v>
                </c:pt>
                <c:pt idx="5" formatCode="0.00">
                  <c:v>0.20000000298023224</c:v>
                </c:pt>
                <c:pt idx="6" formatCode="0.00">
                  <c:v>0.30000001192092896</c:v>
                </c:pt>
                <c:pt idx="7" formatCode="0.00">
                  <c:v>0.40000000596046448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DesignSheet!$A$100:$A$113</c:f>
              <c:numCache>
                <c:formatCode>0.0</c:formatCode>
                <c:ptCount val="14"/>
                <c:pt idx="0">
                  <c:v>100</c:v>
                </c:pt>
                <c:pt idx="1">
                  <c:v>98</c:v>
                </c:pt>
                <c:pt idx="2">
                  <c:v>87</c:v>
                </c:pt>
                <c:pt idx="3">
                  <c:v>74</c:v>
                </c:pt>
                <c:pt idx="4">
                  <c:v>61</c:v>
                </c:pt>
                <c:pt idx="5">
                  <c:v>50</c:v>
                </c:pt>
                <c:pt idx="6">
                  <c:v>33</c:v>
                </c:pt>
                <c:pt idx="7">
                  <c:v>22</c:v>
                </c:pt>
                <c:pt idx="8">
                  <c:v>14</c:v>
                </c:pt>
                <c:pt idx="9">
                  <c:v>7.9999995231628418</c:v>
                </c:pt>
                <c:pt idx="10">
                  <c:v>5.9999995231628418</c:v>
                </c:pt>
                <c:pt idx="11">
                  <c:v>8.0000009536743164</c:v>
                </c:pt>
                <c:pt idx="12">
                  <c:v>14.999996185302734</c:v>
                </c:pt>
                <c:pt idx="13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87-4189-8D78-67EA6AAE2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5867264"/>
        <c:axId val="355894016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9.9999997764825821E-3</c:v>
                </c:pt>
                <c:pt idx="2">
                  <c:v>5.000000074505806E-2</c:v>
                </c:pt>
                <c:pt idx="3" formatCode="0.00">
                  <c:v>0.10000000149011612</c:v>
                </c:pt>
                <c:pt idx="4" formatCode="0.00">
                  <c:v>0.15000000596046448</c:v>
                </c:pt>
                <c:pt idx="5" formatCode="0.00">
                  <c:v>0.20000000298023224</c:v>
                </c:pt>
                <c:pt idx="6" formatCode="0.00">
                  <c:v>0.30000001192092896</c:v>
                </c:pt>
                <c:pt idx="7" formatCode="0.00">
                  <c:v>0.40000000596046448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0.32744124531745911</c:v>
                </c:pt>
                <c:pt idx="1">
                  <c:v>128.57435607910156</c:v>
                </c:pt>
                <c:pt idx="2">
                  <c:v>368.00668334960938</c:v>
                </c:pt>
                <c:pt idx="3">
                  <c:v>430.56842041015625</c:v>
                </c:pt>
                <c:pt idx="4">
                  <c:v>450.33721923828125</c:v>
                </c:pt>
                <c:pt idx="5">
                  <c:v>461.86068725585938</c:v>
                </c:pt>
                <c:pt idx="6">
                  <c:v>478.75155639648438</c:v>
                </c:pt>
                <c:pt idx="7">
                  <c:v>493.22357177734375</c:v>
                </c:pt>
                <c:pt idx="8">
                  <c:v>507.1236572265625</c:v>
                </c:pt>
                <c:pt idx="9">
                  <c:v>519.90557861328125</c:v>
                </c:pt>
                <c:pt idx="10">
                  <c:v>531.86322021484375</c:v>
                </c:pt>
                <c:pt idx="11">
                  <c:v>543.22674560546875</c:v>
                </c:pt>
                <c:pt idx="12">
                  <c:v>553.47607421875</c:v>
                </c:pt>
                <c:pt idx="13">
                  <c:v>562.85711669921875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87-4189-8D78-67EA6AAE2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5895936"/>
        <c:axId val="355959168"/>
      </c:scatterChart>
      <c:valAx>
        <c:axId val="355867264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751065798856065"/>
              <c:y val="0.890956571605019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55894016"/>
        <c:crossesAt val="0"/>
        <c:crossBetween val="midCat"/>
        <c:majorUnit val="0.2"/>
        <c:minorUnit val="0.2"/>
      </c:valAx>
      <c:valAx>
        <c:axId val="355894016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391698147558146E-2"/>
              <c:y val="0.2899812523434570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55867264"/>
        <c:crosses val="max"/>
        <c:crossBetween val="midCat"/>
        <c:majorUnit val="50"/>
        <c:minorUnit val="50"/>
      </c:valAx>
      <c:valAx>
        <c:axId val="355895936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355959168"/>
        <c:crosses val="autoZero"/>
        <c:crossBetween val="midCat"/>
      </c:valAx>
      <c:valAx>
        <c:axId val="355959168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683203616888932"/>
              <c:y val="0.25636030790268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55895936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74045494183"/>
          <c:y val="2.85171367383710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 (FV)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99.000000022351742</c:v>
                </c:pt>
                <c:pt idx="2">
                  <c:v>94.999999925494194</c:v>
                </c:pt>
                <c:pt idx="3">
                  <c:v>89.999999850988388</c:v>
                </c:pt>
                <c:pt idx="4">
                  <c:v>84.999999403953552</c:v>
                </c:pt>
                <c:pt idx="5">
                  <c:v>79.999999701976776</c:v>
                </c:pt>
                <c:pt idx="6">
                  <c:v>69.999998807907104</c:v>
                </c:pt>
                <c:pt idx="7">
                  <c:v>59.999999403953552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116.68075123961226</c:v>
                </c:pt>
                <c:pt idx="2">
                  <c:v>215</c:v>
                </c:pt>
                <c:pt idx="3">
                  <c:v>148.66614220716752</c:v>
                </c:pt>
                <c:pt idx="4">
                  <c:v>122.13802044054131</c:v>
                </c:pt>
                <c:pt idx="5">
                  <c:v>113.312102298822</c:v>
                </c:pt>
                <c:pt idx="6">
                  <c:v>110.03264268136778</c:v>
                </c:pt>
                <c:pt idx="7">
                  <c:v>110</c:v>
                </c:pt>
                <c:pt idx="8">
                  <c:v>110.49624971532761</c:v>
                </c:pt>
                <c:pt idx="9">
                  <c:v>111.60128428329072</c:v>
                </c:pt>
                <c:pt idx="10">
                  <c:v>113.55298957614457</c:v>
                </c:pt>
                <c:pt idx="11">
                  <c:v>116.82707387017962</c:v>
                </c:pt>
                <c:pt idx="12">
                  <c:v>121.96402113592156</c:v>
                </c:pt>
                <c:pt idx="13">
                  <c:v>130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602-433B-BF30-8A6A9C601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237632"/>
        <c:axId val="393239552"/>
      </c:scatterChart>
      <c:scatterChart>
        <c:scatterStyle val="lineMarker"/>
        <c:varyColors val="0"/>
        <c:ser>
          <c:idx val="2"/>
          <c:order val="2"/>
          <c:tx>
            <c:v>Load (Fan / Pump)</c:v>
          </c:tx>
          <c:spPr>
            <a:ln w="25400">
              <a:solidFill>
                <a:srgbClr val="000000"/>
              </a:solidFill>
              <a:prstDash val="sysDash"/>
            </a:ln>
            <a:effectLst/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99.000000022351742</c:v>
                </c:pt>
                <c:pt idx="2">
                  <c:v>94.999999925494194</c:v>
                </c:pt>
                <c:pt idx="3">
                  <c:v>89.999999850988388</c:v>
                </c:pt>
                <c:pt idx="4">
                  <c:v>84.999999403953552</c:v>
                </c:pt>
                <c:pt idx="5">
                  <c:v>79.999999701976776</c:v>
                </c:pt>
                <c:pt idx="6">
                  <c:v>69.999998807907104</c:v>
                </c:pt>
                <c:pt idx="7">
                  <c:v>59.999999403953552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STCurve!$D$54:$D$67</c:f>
              <c:numCache>
                <c:formatCode>0.0</c:formatCode>
                <c:ptCount val="14"/>
                <c:pt idx="0">
                  <c:v>100</c:v>
                </c:pt>
                <c:pt idx="1">
                  <c:v>98</c:v>
                </c:pt>
                <c:pt idx="2">
                  <c:v>87</c:v>
                </c:pt>
                <c:pt idx="3">
                  <c:v>74</c:v>
                </c:pt>
                <c:pt idx="4">
                  <c:v>61</c:v>
                </c:pt>
                <c:pt idx="5">
                  <c:v>50</c:v>
                </c:pt>
                <c:pt idx="6">
                  <c:v>33</c:v>
                </c:pt>
                <c:pt idx="7">
                  <c:v>22</c:v>
                </c:pt>
                <c:pt idx="8">
                  <c:v>14</c:v>
                </c:pt>
                <c:pt idx="9">
                  <c:v>7.9999995231628418</c:v>
                </c:pt>
                <c:pt idx="10">
                  <c:v>5.9999995231628418</c:v>
                </c:pt>
                <c:pt idx="11">
                  <c:v>8.0000009536743164</c:v>
                </c:pt>
                <c:pt idx="12">
                  <c:v>14.999996185302734</c:v>
                </c:pt>
                <c:pt idx="13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02-433B-BF30-8A6A9C601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237632"/>
        <c:axId val="393239552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99.000000022351742</c:v>
                </c:pt>
                <c:pt idx="2">
                  <c:v>94.999999925494194</c:v>
                </c:pt>
                <c:pt idx="3">
                  <c:v>89.999999850988388</c:v>
                </c:pt>
                <c:pt idx="4">
                  <c:v>84.999999403953552</c:v>
                </c:pt>
                <c:pt idx="5">
                  <c:v>79.999999701976776</c:v>
                </c:pt>
                <c:pt idx="6">
                  <c:v>69.999998807907104</c:v>
                </c:pt>
                <c:pt idx="7">
                  <c:v>59.999999403953552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0.32744124531745911</c:v>
                </c:pt>
                <c:pt idx="1">
                  <c:v>128.57435607910156</c:v>
                </c:pt>
                <c:pt idx="2">
                  <c:v>368.00668334960938</c:v>
                </c:pt>
                <c:pt idx="3">
                  <c:v>430.56842041015625</c:v>
                </c:pt>
                <c:pt idx="4">
                  <c:v>450.33721923828125</c:v>
                </c:pt>
                <c:pt idx="5">
                  <c:v>461.86068725585938</c:v>
                </c:pt>
                <c:pt idx="6">
                  <c:v>478.75155639648438</c:v>
                </c:pt>
                <c:pt idx="7">
                  <c:v>493.22357177734375</c:v>
                </c:pt>
                <c:pt idx="8">
                  <c:v>507.1236572265625</c:v>
                </c:pt>
                <c:pt idx="9">
                  <c:v>519.90557861328125</c:v>
                </c:pt>
                <c:pt idx="10">
                  <c:v>531.86322021484375</c:v>
                </c:pt>
                <c:pt idx="11">
                  <c:v>543.22674560546875</c:v>
                </c:pt>
                <c:pt idx="12">
                  <c:v>553.47607421875</c:v>
                </c:pt>
                <c:pt idx="13">
                  <c:v>562.85711669921875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602-433B-BF30-8A6A9C601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258112"/>
        <c:axId val="393366144"/>
      </c:scatterChart>
      <c:valAx>
        <c:axId val="393237632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9339414303"/>
              <c:y val="0.8460083899050078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93239552"/>
        <c:crosses val="autoZero"/>
        <c:crossBetween val="midCat"/>
        <c:majorUnit val="20"/>
        <c:minorUnit val="20"/>
      </c:valAx>
      <c:valAx>
        <c:axId val="3932395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223530399414E-2"/>
              <c:y val="0.2965782220790589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93237632"/>
        <c:crosses val="autoZero"/>
        <c:crossBetween val="midCat"/>
      </c:valAx>
      <c:valAx>
        <c:axId val="393258112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393366144"/>
        <c:crosses val="autoZero"/>
        <c:crossBetween val="midCat"/>
      </c:valAx>
      <c:valAx>
        <c:axId val="393366144"/>
        <c:scaling>
          <c:orientation val="minMax"/>
          <c:max val="75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298753253074"/>
              <c:y val="0.29277593718060946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93258112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4927674287"/>
          <c:y val="0.89543806073670451"/>
          <c:w val="0.25090132154533312"/>
          <c:h val="0.1045619392632955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562.85714285714289</c:v>
                </c:pt>
                <c:pt idx="1">
                  <c:v>488.57885714285715</c:v>
                </c:pt>
                <c:pt idx="2">
                  <c:v>414.27828571428574</c:v>
                </c:pt>
                <c:pt idx="3">
                  <c:v>340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27.554234095982146</c:v>
                </c:pt>
                <c:pt idx="1">
                  <c:v>36.569192348344011</c:v>
                </c:pt>
                <c:pt idx="2">
                  <c:v>50.862811949933352</c:v>
                </c:pt>
                <c:pt idx="3">
                  <c:v>75.513895277944442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28-43D4-9A91-AE8A8CC0C411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562.85714285714289</c:v>
                </c:pt>
                <c:pt idx="1">
                  <c:v>488.57885714285715</c:v>
                </c:pt>
                <c:pt idx="2">
                  <c:v>414.27828571428574</c:v>
                </c:pt>
                <c:pt idx="3">
                  <c:v>340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11.065511703491211</c:v>
                </c:pt>
                <c:pt idx="1">
                  <c:v>14.68583102358223</c:v>
                </c:pt>
                <c:pt idx="2">
                  <c:v>20.426009263909421</c:v>
                </c:pt>
                <c:pt idx="3">
                  <c:v>30.3256439305692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28-43D4-9A91-AE8A8CC0C411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240</c:v>
                </c:pt>
                <c:pt idx="1">
                  <c:v>140</c:v>
                </c:pt>
                <c:pt idx="2">
                  <c:v>215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75.838711484560292</c:v>
                </c:pt>
                <c:pt idx="3">
                  <c:v>108.19890241894443</c:v>
                </c:pt>
                <c:pt idx="4">
                  <c:v>166.73695307366467</c:v>
                </c:pt>
                <c:pt idx="5" formatCode="0">
                  <c:v>400</c:v>
                </c:pt>
                <c:pt idx="6" formatCode="0">
                  <c:v>800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E28-43D4-9A91-AE8A8CC0C411}"/>
            </c:ext>
          </c:extLst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562.85714285714289</c:v>
                </c:pt>
                <c:pt idx="1">
                  <c:v>558.14285714285711</c:v>
                </c:pt>
                <c:pt idx="2">
                  <c:v>548.28571428571433</c:v>
                </c:pt>
                <c:pt idx="3">
                  <c:v>537.57142857142856</c:v>
                </c:pt>
                <c:pt idx="4">
                  <c:v>525.85714285714289</c:v>
                </c:pt>
                <c:pt idx="5">
                  <c:v>513.57142857142856</c:v>
                </c:pt>
                <c:pt idx="6">
                  <c:v>500.14285714285717</c:v>
                </c:pt>
                <c:pt idx="7">
                  <c:v>486</c:v>
                </c:pt>
                <c:pt idx="8">
                  <c:v>470.28571428571428</c:v>
                </c:pt>
                <c:pt idx="9">
                  <c:v>456.14285714285717</c:v>
                </c:pt>
                <c:pt idx="10">
                  <c:v>440.42857142857144</c:v>
                </c:pt>
                <c:pt idx="11">
                  <c:v>399.28571428571428</c:v>
                </c:pt>
                <c:pt idx="12">
                  <c:v>215</c:v>
                </c:pt>
                <c:pt idx="13">
                  <c:v>125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0.93999999761581421</c:v>
                </c:pt>
                <c:pt idx="2">
                  <c:v>1.840999960899353</c:v>
                </c:pt>
                <c:pt idx="3">
                  <c:v>2.7400000095367432</c:v>
                </c:pt>
                <c:pt idx="4">
                  <c:v>3.6610000133514404</c:v>
                </c:pt>
                <c:pt idx="5">
                  <c:v>4.6339998245239258</c:v>
                </c:pt>
                <c:pt idx="6">
                  <c:v>5.6889996528625488</c:v>
                </c:pt>
                <c:pt idx="7">
                  <c:v>6.8679995536804199</c:v>
                </c:pt>
                <c:pt idx="8">
                  <c:v>8.2539997100830078</c:v>
                </c:pt>
                <c:pt idx="9">
                  <c:v>9.0359992980957031</c:v>
                </c:pt>
                <c:pt idx="10">
                  <c:v>9.7519989013671875</c:v>
                </c:pt>
                <c:pt idx="11">
                  <c:v>10.231998443603516</c:v>
                </c:pt>
                <c:pt idx="12">
                  <c:v>10.762998580932617</c:v>
                </c:pt>
                <c:pt idx="13">
                  <c:v>11.043998718261719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E28-43D4-9A91-AE8A8CC0C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088320"/>
        <c:axId val="435380224"/>
      </c:scatterChart>
      <c:valAx>
        <c:axId val="426088320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8279926930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35380224"/>
        <c:crossesAt val="0.1"/>
        <c:crossBetween val="midCat"/>
        <c:majorUnit val="100"/>
      </c:valAx>
      <c:valAx>
        <c:axId val="435380224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1637094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6088320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4000V'!$B$54:$B$59</c:f>
              <c:numCache>
                <c:formatCode>0.0</c:formatCode>
                <c:ptCount val="6"/>
                <c:pt idx="1">
                  <c:v>88.687767028808594</c:v>
                </c:pt>
                <c:pt idx="2">
                  <c:v>93.42449951171875</c:v>
                </c:pt>
                <c:pt idx="3">
                  <c:v>94.831855773925781</c:v>
                </c:pt>
                <c:pt idx="4">
                  <c:v>95.33758544921875</c:v>
                </c:pt>
                <c:pt idx="5">
                  <c:v>95.443145751953125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B8-4D31-A146-69C428A58F04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'Performance 4000V'!$A$55:$A$59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'Performance 4000V'!$C$55:$C$59</c:f>
              <c:numCache>
                <c:formatCode>0.0</c:formatCode>
                <c:ptCount val="5"/>
                <c:pt idx="0">
                  <c:v>49.625484466552734</c:v>
                </c:pt>
                <c:pt idx="1">
                  <c:v>69.921836853027344</c:v>
                </c:pt>
                <c:pt idx="2">
                  <c:v>77.677749633789063</c:v>
                </c:pt>
                <c:pt idx="3">
                  <c:v>80.600059509277344</c:v>
                </c:pt>
                <c:pt idx="4">
                  <c:v>81.240478515625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B8-4D31-A146-69C428A58F04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4000V'!$E$54:$E$59</c:f>
              <c:numCache>
                <c:formatCode>0.0</c:formatCode>
                <c:ptCount val="6"/>
                <c:pt idx="0">
                  <c:v>100</c:v>
                </c:pt>
                <c:pt idx="1">
                  <c:v>82.935984356232808</c:v>
                </c:pt>
                <c:pt idx="2">
                  <c:v>72.392025305415771</c:v>
                </c:pt>
                <c:pt idx="3">
                  <c:v>61.556053652469878</c:v>
                </c:pt>
                <c:pt idx="4">
                  <c:v>50.13778871860427</c:v>
                </c:pt>
                <c:pt idx="5">
                  <c:v>38.349363898778762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CB8-4D31-A146-69C428A58F04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4000V'!$F$54:$F$59</c:f>
              <c:numCache>
                <c:formatCode>0.0</c:formatCode>
                <c:ptCount val="6"/>
                <c:pt idx="0">
                  <c:v>0.75149999999999995</c:v>
                </c:pt>
                <c:pt idx="1">
                  <c:v>10.523094478847607</c:v>
                </c:pt>
                <c:pt idx="2">
                  <c:v>19.979120386038709</c:v>
                </c:pt>
                <c:pt idx="3">
                  <c:v>29.523928328688175</c:v>
                </c:pt>
                <c:pt idx="4">
                  <c:v>39.156419190370549</c:v>
                </c:pt>
                <c:pt idx="5">
                  <c:v>48.89139226546196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CB8-4D31-A146-69C428A58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735232"/>
        <c:axId val="438737152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4000V'!$D$54:$D$59</c:f>
              <c:numCache>
                <c:formatCode>0.0</c:formatCode>
                <c:ptCount val="6"/>
                <c:pt idx="0">
                  <c:v>23.642894243274355</c:v>
                </c:pt>
                <c:pt idx="1">
                  <c:v>30.607709884643555</c:v>
                </c:pt>
                <c:pt idx="2">
                  <c:v>41.243511199951172</c:v>
                </c:pt>
                <c:pt idx="3">
                  <c:v>54.861747741699219</c:v>
                </c:pt>
                <c:pt idx="4">
                  <c:v>70.122879028320313</c:v>
                </c:pt>
                <c:pt idx="5">
                  <c:v>86.866447448730469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CB8-4D31-A146-69C428A58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739328"/>
        <c:axId val="438740864"/>
      </c:scatterChart>
      <c:valAx>
        <c:axId val="438735232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7433922958"/>
              <c:y val="0.9204562478845730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38737152"/>
        <c:crossesAt val="0"/>
        <c:crossBetween val="midCat"/>
        <c:majorUnit val="25"/>
        <c:minorUnit val="12.5"/>
      </c:valAx>
      <c:valAx>
        <c:axId val="438737152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257086145"/>
              <c:y val="0.2556822910790480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38735232"/>
        <c:crosses val="autoZero"/>
        <c:crossBetween val="midCat"/>
        <c:majorUnit val="10"/>
        <c:minorUnit val="5"/>
      </c:valAx>
      <c:valAx>
        <c:axId val="438739328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38740864"/>
        <c:crosses val="autoZero"/>
        <c:crossBetween val="midCat"/>
      </c:valAx>
      <c:valAx>
        <c:axId val="438740864"/>
        <c:scaling>
          <c:orientation val="minMax"/>
          <c:max val="9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9839979769"/>
              <c:y val="0.3200763495730305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38739328"/>
        <c:crosses val="max"/>
        <c:crossBetween val="midCat"/>
        <c:majorUnit val="9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2300V'!$B$54:$B$59</c:f>
              <c:numCache>
                <c:formatCode>0.0</c:formatCode>
                <c:ptCount val="6"/>
                <c:pt idx="1">
                  <c:v>88.687767028808594</c:v>
                </c:pt>
                <c:pt idx="2">
                  <c:v>93.42449951171875</c:v>
                </c:pt>
                <c:pt idx="3">
                  <c:v>94.831855773925781</c:v>
                </c:pt>
                <c:pt idx="4">
                  <c:v>95.33758544921875</c:v>
                </c:pt>
                <c:pt idx="5">
                  <c:v>95.443145751953125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68-4E2B-A9F6-47B7C31979D5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'Performance 2300V'!$A$55:$A$59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'Performance 2300V'!$C$55:$C$59</c:f>
              <c:numCache>
                <c:formatCode>0.0</c:formatCode>
                <c:ptCount val="5"/>
                <c:pt idx="0">
                  <c:v>49.625484466552734</c:v>
                </c:pt>
                <c:pt idx="1">
                  <c:v>69.921836853027344</c:v>
                </c:pt>
                <c:pt idx="2">
                  <c:v>77.677749633789063</c:v>
                </c:pt>
                <c:pt idx="3">
                  <c:v>80.600059509277344</c:v>
                </c:pt>
                <c:pt idx="4">
                  <c:v>81.240478515625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568-4E2B-A9F6-47B7C31979D5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2300V'!$E$54:$E$59</c:f>
              <c:numCache>
                <c:formatCode>0.0</c:formatCode>
                <c:ptCount val="6"/>
                <c:pt idx="0">
                  <c:v>100</c:v>
                </c:pt>
                <c:pt idx="1">
                  <c:v>82.935984356232808</c:v>
                </c:pt>
                <c:pt idx="2">
                  <c:v>72.392025305415771</c:v>
                </c:pt>
                <c:pt idx="3">
                  <c:v>61.556053652469878</c:v>
                </c:pt>
                <c:pt idx="4">
                  <c:v>50.13778871860427</c:v>
                </c:pt>
                <c:pt idx="5">
                  <c:v>38.349363898778762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568-4E2B-A9F6-47B7C31979D5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2300V'!$F$54:$F$59</c:f>
              <c:numCache>
                <c:formatCode>0.0</c:formatCode>
                <c:ptCount val="6"/>
                <c:pt idx="0">
                  <c:v>0.75149999999999995</c:v>
                </c:pt>
                <c:pt idx="1">
                  <c:v>10.523094478847607</c:v>
                </c:pt>
                <c:pt idx="2">
                  <c:v>19.979120386038709</c:v>
                </c:pt>
                <c:pt idx="3">
                  <c:v>29.523928328688175</c:v>
                </c:pt>
                <c:pt idx="4">
                  <c:v>39.156419190370549</c:v>
                </c:pt>
                <c:pt idx="5">
                  <c:v>48.89139226546196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568-4E2B-A9F6-47B7C3197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735232"/>
        <c:axId val="438737152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2300V'!$D$54:$D$59</c:f>
              <c:numCache>
                <c:formatCode>0.0</c:formatCode>
                <c:ptCount val="6"/>
                <c:pt idx="0">
                  <c:v>40.950694067328904</c:v>
                </c:pt>
                <c:pt idx="1">
                  <c:v>53.014108623530774</c:v>
                </c:pt>
                <c:pt idx="2">
                  <c:v>71.43585688085146</c:v>
                </c:pt>
                <c:pt idx="3">
                  <c:v>95.023334480650163</c:v>
                </c:pt>
                <c:pt idx="4">
                  <c:v>121</c:v>
                </c:pt>
                <c:pt idx="5">
                  <c:v>150.45710045421305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568-4E2B-A9F6-47B7C3197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739328"/>
        <c:axId val="438740864"/>
      </c:scatterChart>
      <c:valAx>
        <c:axId val="438735232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7433922958"/>
              <c:y val="0.9204562478845730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38737152"/>
        <c:crossesAt val="0"/>
        <c:crossBetween val="midCat"/>
        <c:majorUnit val="25"/>
        <c:minorUnit val="12.5"/>
      </c:valAx>
      <c:valAx>
        <c:axId val="438737152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257086145"/>
              <c:y val="0.2556822910790480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38735232"/>
        <c:crosses val="autoZero"/>
        <c:crossBetween val="midCat"/>
        <c:majorUnit val="10"/>
        <c:minorUnit val="5"/>
      </c:valAx>
      <c:valAx>
        <c:axId val="438739328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38740864"/>
        <c:crosses val="autoZero"/>
        <c:crossBetween val="midCat"/>
      </c:valAx>
      <c:valAx>
        <c:axId val="438740864"/>
        <c:scaling>
          <c:orientation val="minMax"/>
          <c:max val="2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9839979769"/>
              <c:y val="0.3200763495730305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38739328"/>
        <c:crosses val="max"/>
        <c:crossBetween val="midCat"/>
        <c:maj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64" name="Chart 1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551497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538162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539115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536257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550545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29</xdr:row>
      <xdr:rowOff>85725</xdr:rowOff>
    </xdr:from>
    <xdr:to>
      <xdr:col>3</xdr:col>
      <xdr:colOff>457200</xdr:colOff>
      <xdr:row>29</xdr:row>
      <xdr:rowOff>209550</xdr:rowOff>
    </xdr:to>
    <xdr:sp macro="" textlink="">
      <xdr:nvSpPr>
        <xdr:cNvPr id="7" name="Depth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1895475" y="6781800"/>
          <a:ext cx="25717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51.0</a:t>
          </a:r>
        </a:p>
      </xdr:txBody>
    </xdr:sp>
    <xdr:clientData/>
  </xdr:twoCellAnchor>
  <xdr:twoCellAnchor>
    <xdr:from>
      <xdr:col>1</xdr:col>
      <xdr:colOff>95250</xdr:colOff>
      <xdr:row>31</xdr:row>
      <xdr:rowOff>0</xdr:rowOff>
    </xdr:from>
    <xdr:to>
      <xdr:col>2</xdr:col>
      <xdr:colOff>76200</xdr:colOff>
      <xdr:row>31</xdr:row>
      <xdr:rowOff>104775</xdr:rowOff>
    </xdr:to>
    <xdr:sp macro="" textlink="">
      <xdr:nvSpPr>
        <xdr:cNvPr id="8" name="Tip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904875" y="7153275"/>
          <a:ext cx="39052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2.83</a:t>
          </a:r>
        </a:p>
      </xdr:txBody>
    </xdr:sp>
    <xdr:clientData/>
  </xdr:twoCellAnchor>
  <xdr:twoCellAnchor>
    <xdr:from>
      <xdr:col>2</xdr:col>
      <xdr:colOff>219075</xdr:colOff>
      <xdr:row>26</xdr:row>
      <xdr:rowOff>200025</xdr:rowOff>
    </xdr:from>
    <xdr:to>
      <xdr:col>3</xdr:col>
      <xdr:colOff>47625</xdr:colOff>
      <xdr:row>27</xdr:row>
      <xdr:rowOff>66675</xdr:rowOff>
    </xdr:to>
    <xdr:sp macro="" textlink="">
      <xdr:nvSpPr>
        <xdr:cNvPr id="9" name="Width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1438275" y="6210300"/>
          <a:ext cx="3048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11.5</a:t>
          </a:r>
        </a:p>
      </xdr:txBody>
    </xdr:sp>
    <xdr:clientData/>
  </xdr:twoCellAnchor>
  <xdr:twoCellAnchor>
    <xdr:from>
      <xdr:col>1</xdr:col>
      <xdr:colOff>390525</xdr:colOff>
      <xdr:row>27</xdr:row>
      <xdr:rowOff>57150</xdr:rowOff>
    </xdr:from>
    <xdr:to>
      <xdr:col>3</xdr:col>
      <xdr:colOff>447675</xdr:colOff>
      <xdr:row>31</xdr:row>
      <xdr:rowOff>219075</xdr:rowOff>
    </xdr:to>
    <xdr:grpSp>
      <xdr:nvGrpSpPr>
        <xdr:cNvPr id="10" name="Group 534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pSpPr>
          <a:grpSpLocks/>
        </xdr:cNvGrpSpPr>
      </xdr:nvGrpSpPr>
      <xdr:grpSpPr bwMode="auto">
        <a:xfrm>
          <a:off x="1221105" y="6282690"/>
          <a:ext cx="963930" cy="1076325"/>
          <a:chOff x="126" y="661"/>
          <a:chExt cx="99" cy="113"/>
        </a:xfrm>
      </xdr:grpSpPr>
      <xdr:sp macro="" textlink="">
        <xdr:nvSpPr>
          <xdr:cNvPr id="11" name="Line 298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90" y="675"/>
            <a:ext cx="1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299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2" y="676"/>
            <a:ext cx="4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300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>
            <a:spLocks noChangeShapeType="1"/>
          </xdr:cNvSpPr>
        </xdr:nvSpPr>
        <xdr:spPr bwMode="auto">
          <a:xfrm>
            <a:off x="191" y="675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01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>
            <a:spLocks noChangeShapeType="1"/>
          </xdr:cNvSpPr>
        </xdr:nvSpPr>
        <xdr:spPr bwMode="auto">
          <a:xfrm>
            <a:off x="144" y="676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02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>
            <a:spLocks noChangeShapeType="1"/>
          </xdr:cNvSpPr>
        </xdr:nvSpPr>
        <xdr:spPr bwMode="auto">
          <a:xfrm>
            <a:off x="138" y="748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03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98" y="753"/>
            <a:ext cx="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04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>
            <a:spLocks noChangeShapeType="1"/>
          </xdr:cNvSpPr>
        </xdr:nvSpPr>
        <xdr:spPr bwMode="auto">
          <a:xfrm>
            <a:off x="138" y="754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05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>
            <a:spLocks noChangeShapeType="1"/>
          </xdr:cNvSpPr>
        </xdr:nvSpPr>
        <xdr:spPr bwMode="auto">
          <a:xfrm>
            <a:off x="190" y="753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306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>
            <a:spLocks noChangeShapeType="1"/>
          </xdr:cNvSpPr>
        </xdr:nvSpPr>
        <xdr:spPr bwMode="auto">
          <a:xfrm>
            <a:off x="145" y="75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307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 noChangeShapeType="1"/>
          </xdr:cNvSpPr>
        </xdr:nvSpPr>
        <xdr:spPr bwMode="auto">
          <a:xfrm>
            <a:off x="190" y="763"/>
            <a:ext cx="1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308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9" y="763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309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ChangeShapeType="1"/>
          </xdr:cNvSpPr>
        </xdr:nvSpPr>
        <xdr:spPr bwMode="auto">
          <a:xfrm>
            <a:off x="198" y="677"/>
            <a:ext cx="2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310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8" y="678"/>
            <a:ext cx="0" cy="3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311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>
            <a:spLocks noChangeShapeType="1"/>
          </xdr:cNvSpPr>
        </xdr:nvSpPr>
        <xdr:spPr bwMode="auto">
          <a:xfrm>
            <a:off x="208" y="732"/>
            <a:ext cx="0" cy="2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312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64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313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>
            <a:spLocks noChangeShapeType="1"/>
          </xdr:cNvSpPr>
        </xdr:nvSpPr>
        <xdr:spPr bwMode="auto">
          <a:xfrm>
            <a:off x="130" y="738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314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>
            <a:spLocks noChangeShapeType="1"/>
          </xdr:cNvSpPr>
        </xdr:nvSpPr>
        <xdr:spPr bwMode="auto">
          <a:xfrm>
            <a:off x="126" y="748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315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1" y="661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316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3" y="662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317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SpPr>
            <a:spLocks noChangeShapeType="1"/>
          </xdr:cNvSpPr>
        </xdr:nvSpPr>
        <xdr:spPr bwMode="auto">
          <a:xfrm>
            <a:off x="152" y="667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318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7" y="667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319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>
            <a:spLocks noChangeShapeType="1"/>
          </xdr:cNvSpPr>
        </xdr:nvSpPr>
        <xdr:spPr bwMode="auto">
          <a:xfrm>
            <a:off x="138" y="748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320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SpPr>
            <a:spLocks noChangeShapeType="1"/>
          </xdr:cNvSpPr>
        </xdr:nvSpPr>
        <xdr:spPr bwMode="auto">
          <a:xfrm>
            <a:off x="190" y="754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321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8" y="746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322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ShapeType="1"/>
          </xdr:cNvSpPr>
        </xdr:nvSpPr>
        <xdr:spPr bwMode="auto">
          <a:xfrm>
            <a:off x="191" y="747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438150</xdr:colOff>
      <xdr:row>42</xdr:row>
      <xdr:rowOff>180975</xdr:rowOff>
    </xdr:from>
    <xdr:to>
      <xdr:col>3</xdr:col>
      <xdr:colOff>304800</xdr:colOff>
      <xdr:row>43</xdr:row>
      <xdr:rowOff>66675</xdr:rowOff>
    </xdr:to>
    <xdr:sp macro="" textlink="">
      <xdr:nvSpPr>
        <xdr:cNvPr id="36" name="Area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>
          <a:spLocks noChangeArrowheads="1"/>
        </xdr:cNvSpPr>
      </xdr:nvSpPr>
      <xdr:spPr bwMode="auto">
        <a:xfrm>
          <a:off x="1657350" y="9848850"/>
          <a:ext cx="34290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2040.0</a:t>
          </a:r>
        </a:p>
      </xdr:txBody>
    </xdr:sp>
    <xdr:clientData/>
  </xdr:twoCellAnchor>
  <xdr:twoCellAnchor>
    <xdr:from>
      <xdr:col>1</xdr:col>
      <xdr:colOff>257175</xdr:colOff>
      <xdr:row>40</xdr:row>
      <xdr:rowOff>200025</xdr:rowOff>
    </xdr:from>
    <xdr:to>
      <xdr:col>2</xdr:col>
      <xdr:colOff>247650</xdr:colOff>
      <xdr:row>41</xdr:row>
      <xdr:rowOff>104775</xdr:rowOff>
    </xdr:to>
    <xdr:sp macro="" textlink="">
      <xdr:nvSpPr>
        <xdr:cNvPr id="37" name="OD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 txBox="1">
          <a:spLocks noChangeArrowheads="1"/>
        </xdr:cNvSpPr>
      </xdr:nvSpPr>
      <xdr:spPr bwMode="auto">
        <a:xfrm>
          <a:off x="1066800" y="9410700"/>
          <a:ext cx="400050" cy="1333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420.0</a:t>
          </a:r>
        </a:p>
      </xdr:txBody>
    </xdr:sp>
    <xdr:clientData/>
  </xdr:twoCellAnchor>
  <xdr:twoCellAnchor>
    <xdr:from>
      <xdr:col>2</xdr:col>
      <xdr:colOff>66675</xdr:colOff>
      <xdr:row>40</xdr:row>
      <xdr:rowOff>57150</xdr:rowOff>
    </xdr:from>
    <xdr:to>
      <xdr:col>2</xdr:col>
      <xdr:colOff>342900</xdr:colOff>
      <xdr:row>40</xdr:row>
      <xdr:rowOff>152400</xdr:rowOff>
    </xdr:to>
    <xdr:sp macro="" textlink="">
      <xdr:nvSpPr>
        <xdr:cNvPr id="38" name="Height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>
          <a:spLocks noChangeArrowheads="1"/>
        </xdr:cNvSpPr>
      </xdr:nvSpPr>
      <xdr:spPr bwMode="auto">
        <a:xfrm>
          <a:off x="1285875" y="9267825"/>
          <a:ext cx="27622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57.0</a:t>
          </a:r>
        </a:p>
      </xdr:txBody>
    </xdr:sp>
    <xdr:clientData/>
  </xdr:twoCellAnchor>
  <xdr:twoCellAnchor>
    <xdr:from>
      <xdr:col>2</xdr:col>
      <xdr:colOff>352425</xdr:colOff>
      <xdr:row>40</xdr:row>
      <xdr:rowOff>57150</xdr:rowOff>
    </xdr:from>
    <xdr:to>
      <xdr:col>3</xdr:col>
      <xdr:colOff>180975</xdr:colOff>
      <xdr:row>40</xdr:row>
      <xdr:rowOff>180975</xdr:rowOff>
    </xdr:to>
    <xdr:sp macro="" textlink="">
      <xdr:nvSpPr>
        <xdr:cNvPr id="39" name="Thickness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>
          <a:spLocks noChangeArrowheads="1"/>
        </xdr:cNvSpPr>
      </xdr:nvSpPr>
      <xdr:spPr bwMode="auto">
        <a:xfrm>
          <a:off x="1571625" y="9267825"/>
          <a:ext cx="3048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40.0</a:t>
          </a:r>
        </a:p>
      </xdr:txBody>
    </xdr:sp>
    <xdr:clientData/>
  </xdr:twoCellAnchor>
  <xdr:twoCellAnchor>
    <xdr:from>
      <xdr:col>1</xdr:col>
      <xdr:colOff>295275</xdr:colOff>
      <xdr:row>42</xdr:row>
      <xdr:rowOff>0</xdr:rowOff>
    </xdr:from>
    <xdr:to>
      <xdr:col>2</xdr:col>
      <xdr:colOff>190500</xdr:colOff>
      <xdr:row>42</xdr:row>
      <xdr:rowOff>123825</xdr:rowOff>
    </xdr:to>
    <xdr:sp macro="" textlink="">
      <xdr:nvSpPr>
        <xdr:cNvPr id="40" name="ID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>
          <a:spLocks noChangeArrowheads="1"/>
        </xdr:cNvSpPr>
      </xdr:nvSpPr>
      <xdr:spPr bwMode="auto">
        <a:xfrm>
          <a:off x="1104900" y="9667875"/>
          <a:ext cx="3048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306.0</a:t>
          </a:r>
        </a:p>
      </xdr:txBody>
    </xdr:sp>
    <xdr:clientData/>
  </xdr:twoCellAnchor>
  <xdr:twoCellAnchor>
    <xdr:from>
      <xdr:col>3</xdr:col>
      <xdr:colOff>133350</xdr:colOff>
      <xdr:row>32</xdr:row>
      <xdr:rowOff>85725</xdr:rowOff>
    </xdr:from>
    <xdr:to>
      <xdr:col>3</xdr:col>
      <xdr:colOff>381000</xdr:colOff>
      <xdr:row>32</xdr:row>
      <xdr:rowOff>200025</xdr:rowOff>
    </xdr:to>
    <xdr:sp macro="" textlink="">
      <xdr:nvSpPr>
        <xdr:cNvPr id="41" name="Tip2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>
          <a:spLocks noChangeArrowheads="1"/>
        </xdr:cNvSpPr>
      </xdr:nvSpPr>
      <xdr:spPr bwMode="auto">
        <a:xfrm>
          <a:off x="1828800" y="7467600"/>
          <a:ext cx="24765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0.70</a:t>
          </a:r>
        </a:p>
      </xdr:txBody>
    </xdr:sp>
    <xdr:clientData/>
  </xdr:twoCellAnchor>
  <xdr:twoCellAnchor>
    <xdr:from>
      <xdr:col>3</xdr:col>
      <xdr:colOff>209550</xdr:colOff>
      <xdr:row>35</xdr:row>
      <xdr:rowOff>47625</xdr:rowOff>
    </xdr:from>
    <xdr:to>
      <xdr:col>3</xdr:col>
      <xdr:colOff>485775</xdr:colOff>
      <xdr:row>35</xdr:row>
      <xdr:rowOff>161925</xdr:rowOff>
    </xdr:to>
    <xdr:sp macro="" textlink="">
      <xdr:nvSpPr>
        <xdr:cNvPr id="42" name="Depth2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>
          <a:spLocks noChangeArrowheads="1"/>
        </xdr:cNvSpPr>
      </xdr:nvSpPr>
      <xdr:spPr bwMode="auto">
        <a:xfrm>
          <a:off x="1905000" y="8115300"/>
          <a:ext cx="27622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45.00</a:t>
          </a:r>
        </a:p>
      </xdr:txBody>
    </xdr:sp>
    <xdr:clientData/>
  </xdr:twoCellAnchor>
  <xdr:twoCellAnchor>
    <xdr:from>
      <xdr:col>2</xdr:col>
      <xdr:colOff>409575</xdr:colOff>
      <xdr:row>33</xdr:row>
      <xdr:rowOff>142875</xdr:rowOff>
    </xdr:from>
    <xdr:to>
      <xdr:col>3</xdr:col>
      <xdr:colOff>171450</xdr:colOff>
      <xdr:row>34</xdr:row>
      <xdr:rowOff>9525</xdr:rowOff>
    </xdr:to>
    <xdr:sp macro="" textlink="">
      <xdr:nvSpPr>
        <xdr:cNvPr id="43" name="Hat Depth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>
          <a:spLocks noChangeArrowheads="1"/>
        </xdr:cNvSpPr>
      </xdr:nvSpPr>
      <xdr:spPr bwMode="auto">
        <a:xfrm>
          <a:off x="1628775" y="7753350"/>
          <a:ext cx="23812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1.5</a:t>
          </a:r>
        </a:p>
      </xdr:txBody>
    </xdr:sp>
    <xdr:clientData/>
  </xdr:twoCellAnchor>
  <xdr:twoCellAnchor>
    <xdr:from>
      <xdr:col>2</xdr:col>
      <xdr:colOff>390525</xdr:colOff>
      <xdr:row>34</xdr:row>
      <xdr:rowOff>38100</xdr:rowOff>
    </xdr:from>
    <xdr:to>
      <xdr:col>3</xdr:col>
      <xdr:colOff>180975</xdr:colOff>
      <xdr:row>34</xdr:row>
      <xdr:rowOff>161925</xdr:rowOff>
    </xdr:to>
    <xdr:sp macro="" textlink="">
      <xdr:nvSpPr>
        <xdr:cNvPr id="44" name="Up Bar Depth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 txBox="1">
          <a:spLocks noChangeArrowheads="1"/>
        </xdr:cNvSpPr>
      </xdr:nvSpPr>
      <xdr:spPr bwMode="auto">
        <a:xfrm>
          <a:off x="1609725" y="7877175"/>
          <a:ext cx="2667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7.8</a:t>
          </a:r>
        </a:p>
      </xdr:txBody>
    </xdr:sp>
    <xdr:clientData/>
  </xdr:twoCellAnchor>
  <xdr:twoCellAnchor>
    <xdr:from>
      <xdr:col>1</xdr:col>
      <xdr:colOff>352425</xdr:colOff>
      <xdr:row>34</xdr:row>
      <xdr:rowOff>19050</xdr:rowOff>
    </xdr:from>
    <xdr:to>
      <xdr:col>2</xdr:col>
      <xdr:colOff>142875</xdr:colOff>
      <xdr:row>34</xdr:row>
      <xdr:rowOff>171450</xdr:rowOff>
    </xdr:to>
    <xdr:sp macro="" textlink="">
      <xdr:nvSpPr>
        <xdr:cNvPr id="45" name="Up Bar Width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 txBox="1">
          <a:spLocks noChangeArrowheads="1"/>
        </xdr:cNvSpPr>
      </xdr:nvSpPr>
      <xdr:spPr bwMode="auto">
        <a:xfrm>
          <a:off x="1162050" y="7858125"/>
          <a:ext cx="200025" cy="1524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4.0</a:t>
          </a:r>
        </a:p>
      </xdr:txBody>
    </xdr:sp>
    <xdr:clientData/>
  </xdr:twoCellAnchor>
  <xdr:twoCellAnchor>
    <xdr:from>
      <xdr:col>2</xdr:col>
      <xdr:colOff>171450</xdr:colOff>
      <xdr:row>35</xdr:row>
      <xdr:rowOff>85725</xdr:rowOff>
    </xdr:from>
    <xdr:to>
      <xdr:col>2</xdr:col>
      <xdr:colOff>466725</xdr:colOff>
      <xdr:row>35</xdr:row>
      <xdr:rowOff>190500</xdr:rowOff>
    </xdr:to>
    <xdr:sp macro="" textlink="">
      <xdr:nvSpPr>
        <xdr:cNvPr id="46" name="Width2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 txBox="1">
          <a:spLocks noChangeArrowheads="1"/>
        </xdr:cNvSpPr>
      </xdr:nvSpPr>
      <xdr:spPr bwMode="auto">
        <a:xfrm>
          <a:off x="1390650" y="8153400"/>
          <a:ext cx="29527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13.29</a:t>
          </a:r>
        </a:p>
      </xdr:txBody>
    </xdr:sp>
    <xdr:clientData/>
  </xdr:twoCellAnchor>
  <xdr:twoCellAnchor>
    <xdr:from>
      <xdr:col>3</xdr:col>
      <xdr:colOff>57150</xdr:colOff>
      <xdr:row>36</xdr:row>
      <xdr:rowOff>19050</xdr:rowOff>
    </xdr:from>
    <xdr:to>
      <xdr:col>3</xdr:col>
      <xdr:colOff>352425</xdr:colOff>
      <xdr:row>36</xdr:row>
      <xdr:rowOff>142875</xdr:rowOff>
    </xdr:to>
    <xdr:sp macro="" textlink="">
      <xdr:nvSpPr>
        <xdr:cNvPr id="47" name="Low Bar Depth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 txBox="1">
          <a:spLocks noChangeArrowheads="1"/>
        </xdr:cNvSpPr>
      </xdr:nvSpPr>
      <xdr:spPr bwMode="auto">
        <a:xfrm>
          <a:off x="1752600" y="8315325"/>
          <a:ext cx="29527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35.00</a:t>
          </a:r>
        </a:p>
      </xdr:txBody>
    </xdr:sp>
    <xdr:clientData/>
  </xdr:twoCellAnchor>
  <xdr:twoCellAnchor>
    <xdr:from>
      <xdr:col>2</xdr:col>
      <xdr:colOff>190500</xdr:colOff>
      <xdr:row>36</xdr:row>
      <xdr:rowOff>152400</xdr:rowOff>
    </xdr:from>
    <xdr:to>
      <xdr:col>2</xdr:col>
      <xdr:colOff>419100</xdr:colOff>
      <xdr:row>37</xdr:row>
      <xdr:rowOff>28575</xdr:rowOff>
    </xdr:to>
    <xdr:sp macro="" textlink="">
      <xdr:nvSpPr>
        <xdr:cNvPr id="48" name="Width3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 txBox="1">
          <a:spLocks noChangeArrowheads="1"/>
        </xdr:cNvSpPr>
      </xdr:nvSpPr>
      <xdr:spPr bwMode="auto">
        <a:xfrm>
          <a:off x="1409700" y="8448675"/>
          <a:ext cx="22860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9.50</a:t>
          </a:r>
        </a:p>
      </xdr:txBody>
    </xdr:sp>
    <xdr:clientData/>
  </xdr:twoCellAnchor>
  <xdr:twoCellAnchor>
    <xdr:from>
      <xdr:col>1</xdr:col>
      <xdr:colOff>161925</xdr:colOff>
      <xdr:row>39</xdr:row>
      <xdr:rowOff>95250</xdr:rowOff>
    </xdr:from>
    <xdr:to>
      <xdr:col>3</xdr:col>
      <xdr:colOff>542925</xdr:colOff>
      <xdr:row>43</xdr:row>
      <xdr:rowOff>66675</xdr:rowOff>
    </xdr:to>
    <xdr:grpSp>
      <xdr:nvGrpSpPr>
        <xdr:cNvPr id="49" name="Group 512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GrpSpPr>
          <a:grpSpLocks/>
        </xdr:cNvGrpSpPr>
      </xdr:nvGrpSpPr>
      <xdr:grpSpPr bwMode="auto">
        <a:xfrm>
          <a:off x="992505" y="9063990"/>
          <a:ext cx="1287780" cy="885825"/>
          <a:chOff x="102" y="929"/>
          <a:chExt cx="133" cy="93"/>
        </a:xfrm>
      </xdr:grpSpPr>
      <xdr:sp macro="" textlink="">
        <xdr:nvSpPr>
          <xdr:cNvPr id="50" name="Line 479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51" y="989"/>
            <a:ext cx="0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480">
            <a:extLst>
              <a:ext uri="{FF2B5EF4-FFF2-40B4-BE49-F238E27FC236}">
                <a16:creationId xmlns:a16="http://schemas.microsoft.com/office/drawing/2014/main" id="{00000000-0008-0000-0100-000033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5" y="929"/>
            <a:ext cx="2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481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SpPr>
            <a:spLocks noChangeShapeType="1"/>
          </xdr:cNvSpPr>
        </xdr:nvSpPr>
        <xdr:spPr bwMode="auto">
          <a:xfrm>
            <a:off x="163" y="929"/>
            <a:ext cx="0" cy="7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482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3" y="934"/>
            <a:ext cx="7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483">
            <a:extLst>
              <a:ext uri="{FF2B5EF4-FFF2-40B4-BE49-F238E27FC236}">
                <a16:creationId xmlns:a16="http://schemas.microsoft.com/office/drawing/2014/main" id="{00000000-0008-0000-0100-000036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235" y="934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484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3" y="975"/>
            <a:ext cx="72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485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SpPr>
            <a:spLocks noChangeShapeType="1"/>
          </xdr:cNvSpPr>
        </xdr:nvSpPr>
        <xdr:spPr bwMode="auto">
          <a:xfrm>
            <a:off x="191" y="934"/>
            <a:ext cx="0" cy="4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486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0" y="934"/>
            <a:ext cx="3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487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2" y="988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488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5" y="934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489">
            <a:extLst>
              <a:ext uri="{FF2B5EF4-FFF2-40B4-BE49-F238E27FC236}">
                <a16:creationId xmlns:a16="http://schemas.microsoft.com/office/drawing/2014/main" id="{00000000-0008-0000-0100-00003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5" y="962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490">
            <a:extLst>
              <a:ext uri="{FF2B5EF4-FFF2-40B4-BE49-F238E27FC236}">
                <a16:creationId xmlns:a16="http://schemas.microsoft.com/office/drawing/2014/main" id="{00000000-0008-0000-0100-00003D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2" y="935"/>
            <a:ext cx="0" cy="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491">
            <a:extLst>
              <a:ext uri="{FF2B5EF4-FFF2-40B4-BE49-F238E27FC236}">
                <a16:creationId xmlns:a16="http://schemas.microsoft.com/office/drawing/2014/main" id="{00000000-0008-0000-0100-00003E000000}"/>
              </a:ext>
            </a:extLst>
          </xdr:cNvPr>
          <xdr:cNvSpPr>
            <a:spLocks noChangeShapeType="1"/>
          </xdr:cNvSpPr>
        </xdr:nvSpPr>
        <xdr:spPr bwMode="auto">
          <a:xfrm>
            <a:off x="163" y="966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Text 1067">
            <a:extLst>
              <a:ext uri="{FF2B5EF4-FFF2-40B4-BE49-F238E27FC236}">
                <a16:creationId xmlns:a16="http://schemas.microsoft.com/office/drawing/2014/main" id="{00000000-0008-0000-0100-00003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0" y="996"/>
            <a:ext cx="22" cy="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4" name="Text 1068">
            <a:extLst>
              <a:ext uri="{FF2B5EF4-FFF2-40B4-BE49-F238E27FC236}">
                <a16:creationId xmlns:a16="http://schemas.microsoft.com/office/drawing/2014/main" id="{00000000-0008-0000-0100-00004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" y="1009"/>
            <a:ext cx="52" cy="12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Section</a:t>
            </a:r>
          </a:p>
        </xdr:txBody>
      </xdr:sp>
      <xdr:sp macro="" textlink="">
        <xdr:nvSpPr>
          <xdr:cNvPr id="65" name="Text 1069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" y="1008"/>
            <a:ext cx="31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mm</a:t>
            </a:r>
            <a:r>
              <a:rPr lang="en-US" sz="600" b="1" i="0" u="none" strike="noStrike" baseline="30000">
                <a:solidFill>
                  <a:srgbClr val="000000"/>
                </a:solidFill>
                <a:latin typeface="Univers (W1)"/>
              </a:rPr>
              <a:t>2</a:t>
            </a:r>
          </a:p>
        </xdr:txBody>
      </xdr:sp>
      <xdr:sp macro="" textlink="">
        <xdr:nvSpPr>
          <xdr:cNvPr id="66" name="Line 495">
            <a:extLst>
              <a:ext uri="{FF2B5EF4-FFF2-40B4-BE49-F238E27FC236}">
                <a16:creationId xmlns:a16="http://schemas.microsoft.com/office/drawing/2014/main" id="{00000000-0008-0000-0100-000042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5" y="929"/>
            <a:ext cx="2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496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>
            <a:spLocks noChangeShapeType="1"/>
          </xdr:cNvSpPr>
        </xdr:nvSpPr>
        <xdr:spPr bwMode="auto">
          <a:xfrm>
            <a:off x="163" y="929"/>
            <a:ext cx="0" cy="7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497">
            <a:extLst>
              <a:ext uri="{FF2B5EF4-FFF2-40B4-BE49-F238E27FC236}">
                <a16:creationId xmlns:a16="http://schemas.microsoft.com/office/drawing/2014/main" id="{00000000-0008-0000-0100-00004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3" y="934"/>
            <a:ext cx="7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Line 498">
            <a:extLst>
              <a:ext uri="{FF2B5EF4-FFF2-40B4-BE49-F238E27FC236}">
                <a16:creationId xmlns:a16="http://schemas.microsoft.com/office/drawing/2014/main" id="{00000000-0008-0000-0100-00004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235" y="934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499">
            <a:extLst>
              <a:ext uri="{FF2B5EF4-FFF2-40B4-BE49-F238E27FC236}">
                <a16:creationId xmlns:a16="http://schemas.microsoft.com/office/drawing/2014/main" id="{00000000-0008-0000-0100-00004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3" y="975"/>
            <a:ext cx="72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500">
            <a:extLst>
              <a:ext uri="{FF2B5EF4-FFF2-40B4-BE49-F238E27FC236}">
                <a16:creationId xmlns:a16="http://schemas.microsoft.com/office/drawing/2014/main" id="{00000000-0008-0000-0100-000047000000}"/>
              </a:ext>
            </a:extLst>
          </xdr:cNvPr>
          <xdr:cNvSpPr>
            <a:spLocks noChangeShapeType="1"/>
          </xdr:cNvSpPr>
        </xdr:nvSpPr>
        <xdr:spPr bwMode="auto">
          <a:xfrm>
            <a:off x="191" y="934"/>
            <a:ext cx="0" cy="4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501">
            <a:extLst>
              <a:ext uri="{FF2B5EF4-FFF2-40B4-BE49-F238E27FC236}">
                <a16:creationId xmlns:a16="http://schemas.microsoft.com/office/drawing/2014/main" id="{00000000-0008-0000-0100-000048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0" y="934"/>
            <a:ext cx="3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Line 502">
            <a:extLst>
              <a:ext uri="{FF2B5EF4-FFF2-40B4-BE49-F238E27FC236}">
                <a16:creationId xmlns:a16="http://schemas.microsoft.com/office/drawing/2014/main" id="{00000000-0008-0000-0100-000049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2" y="988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" name="Line 503">
            <a:extLst>
              <a:ext uri="{FF2B5EF4-FFF2-40B4-BE49-F238E27FC236}">
                <a16:creationId xmlns:a16="http://schemas.microsoft.com/office/drawing/2014/main" id="{00000000-0008-0000-0100-00004A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5" y="934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Line 504">
            <a:extLst>
              <a:ext uri="{FF2B5EF4-FFF2-40B4-BE49-F238E27FC236}">
                <a16:creationId xmlns:a16="http://schemas.microsoft.com/office/drawing/2014/main" id="{00000000-0008-0000-0100-00004B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5" y="962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505">
            <a:extLst>
              <a:ext uri="{FF2B5EF4-FFF2-40B4-BE49-F238E27FC236}">
                <a16:creationId xmlns:a16="http://schemas.microsoft.com/office/drawing/2014/main" id="{00000000-0008-0000-0100-00004C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2" y="935"/>
            <a:ext cx="0" cy="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506">
            <a:extLst>
              <a:ext uri="{FF2B5EF4-FFF2-40B4-BE49-F238E27FC236}">
                <a16:creationId xmlns:a16="http://schemas.microsoft.com/office/drawing/2014/main" id="{00000000-0008-0000-0100-00004D000000}"/>
              </a:ext>
            </a:extLst>
          </xdr:cNvPr>
          <xdr:cNvSpPr>
            <a:spLocks noChangeShapeType="1"/>
          </xdr:cNvSpPr>
        </xdr:nvSpPr>
        <xdr:spPr bwMode="auto">
          <a:xfrm>
            <a:off x="163" y="966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Text 1067">
            <a:extLst>
              <a:ext uri="{FF2B5EF4-FFF2-40B4-BE49-F238E27FC236}">
                <a16:creationId xmlns:a16="http://schemas.microsoft.com/office/drawing/2014/main" id="{00000000-0008-0000-0100-00004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0" y="996"/>
            <a:ext cx="22" cy="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9" name="Text 1068">
            <a:extLst>
              <a:ext uri="{FF2B5EF4-FFF2-40B4-BE49-F238E27FC236}">
                <a16:creationId xmlns:a16="http://schemas.microsoft.com/office/drawing/2014/main" id="{00000000-0008-0000-0100-00004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" y="1009"/>
            <a:ext cx="52" cy="12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Section</a:t>
            </a:r>
          </a:p>
        </xdr:txBody>
      </xdr:sp>
      <xdr:sp macro="" textlink="">
        <xdr:nvSpPr>
          <xdr:cNvPr id="80" name="Text 1069">
            <a:extLst>
              <a:ext uri="{FF2B5EF4-FFF2-40B4-BE49-F238E27FC236}">
                <a16:creationId xmlns:a16="http://schemas.microsoft.com/office/drawing/2014/main" id="{00000000-0008-0000-0100-00005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" y="1008"/>
            <a:ext cx="31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mm</a:t>
            </a:r>
            <a:r>
              <a:rPr lang="en-US" sz="600" b="1" i="0" u="none" strike="noStrike" baseline="30000">
                <a:solidFill>
                  <a:srgbClr val="000000"/>
                </a:solidFill>
                <a:latin typeface="Univers (W1)"/>
              </a:rPr>
              <a:t>2</a:t>
            </a:r>
          </a:p>
        </xdr:txBody>
      </xdr:sp>
      <xdr:sp macro="" textlink="">
        <xdr:nvSpPr>
          <xdr:cNvPr id="81" name="Text 1071">
            <a:extLst>
              <a:ext uri="{FF2B5EF4-FFF2-40B4-BE49-F238E27FC236}">
                <a16:creationId xmlns:a16="http://schemas.microsoft.com/office/drawing/2014/main" id="{00000000-0008-0000-0100-00005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" y="963"/>
            <a:ext cx="16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WP Greek Century"/>
              </a:rPr>
              <a:t>M</a:t>
            </a:r>
          </a:p>
        </xdr:txBody>
      </xdr:sp>
      <xdr:sp macro="" textlink="">
        <xdr:nvSpPr>
          <xdr:cNvPr id="82" name="Text 1071">
            <a:extLst>
              <a:ext uri="{FF2B5EF4-FFF2-40B4-BE49-F238E27FC236}">
                <a16:creationId xmlns:a16="http://schemas.microsoft.com/office/drawing/2014/main" id="{00000000-0008-0000-0100-00005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" y="991"/>
            <a:ext cx="16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WP Greek Century"/>
              </a:rPr>
              <a:t>M</a:t>
            </a:r>
          </a:p>
        </xdr:txBody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83" name="Rectangle 513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>
          <a:spLocks noChangeArrowheads="1"/>
        </xdr:cNvSpPr>
      </xdr:nvSpPr>
      <xdr:spPr bwMode="auto">
        <a:xfrm>
          <a:off x="551497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84" name="Rectangle 514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>
          <a:spLocks noChangeArrowheads="1"/>
        </xdr:cNvSpPr>
      </xdr:nvSpPr>
      <xdr:spPr bwMode="auto">
        <a:xfrm>
          <a:off x="538162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85" name="Rectangle 515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>
          <a:spLocks noChangeArrowheads="1"/>
        </xdr:cNvSpPr>
      </xdr:nvSpPr>
      <xdr:spPr bwMode="auto">
        <a:xfrm>
          <a:off x="539115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86" name="Rectangle 516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>
          <a:spLocks noChangeArrowheads="1"/>
        </xdr:cNvSpPr>
      </xdr:nvSpPr>
      <xdr:spPr bwMode="auto">
        <a:xfrm>
          <a:off x="536257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87" name="Rectangle 517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>
          <a:spLocks noChangeArrowheads="1"/>
        </xdr:cNvSpPr>
      </xdr:nvSpPr>
      <xdr:spPr bwMode="auto">
        <a:xfrm>
          <a:off x="550545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381000</xdr:colOff>
      <xdr:row>32</xdr:row>
      <xdr:rowOff>180975</xdr:rowOff>
    </xdr:from>
    <xdr:to>
      <xdr:col>3</xdr:col>
      <xdr:colOff>323850</xdr:colOff>
      <xdr:row>37</xdr:row>
      <xdr:rowOff>152400</xdr:rowOff>
    </xdr:to>
    <xdr:grpSp>
      <xdr:nvGrpSpPr>
        <xdr:cNvPr id="88" name="Group 523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GrpSpPr>
          <a:grpSpLocks/>
        </xdr:cNvGrpSpPr>
      </xdr:nvGrpSpPr>
      <xdr:grpSpPr bwMode="auto">
        <a:xfrm>
          <a:off x="1211580" y="7549515"/>
          <a:ext cx="849630" cy="1114425"/>
          <a:chOff x="774" y="670"/>
          <a:chExt cx="87" cy="117"/>
        </a:xfrm>
      </xdr:grpSpPr>
      <xdr:grpSp>
        <xdr:nvGrpSpPr>
          <xdr:cNvPr id="89" name="Group 522">
            <a:extLst>
              <a:ext uri="{FF2B5EF4-FFF2-40B4-BE49-F238E27FC236}">
                <a16:creationId xmlns:a16="http://schemas.microsoft.com/office/drawing/2014/main" id="{00000000-0008-0000-0100-000059000000}"/>
              </a:ext>
            </a:extLst>
          </xdr:cNvPr>
          <xdr:cNvGrpSpPr>
            <a:grpSpLocks/>
          </xdr:cNvGrpSpPr>
        </xdr:nvGrpSpPr>
        <xdr:grpSpPr bwMode="auto">
          <a:xfrm>
            <a:off x="774" y="670"/>
            <a:ext cx="87" cy="117"/>
            <a:chOff x="774" y="670"/>
            <a:chExt cx="87" cy="117"/>
          </a:xfrm>
        </xdr:grpSpPr>
        <xdr:sp macro="" textlink="">
          <xdr:nvSpPr>
            <xdr:cNvPr id="91" name="Line 404">
              <a:extLst>
                <a:ext uri="{FF2B5EF4-FFF2-40B4-BE49-F238E27FC236}">
                  <a16:creationId xmlns:a16="http://schemas.microsoft.com/office/drawing/2014/main" id="{00000000-0008-0000-0100-00005B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98" y="688"/>
              <a:ext cx="10" cy="11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2" name="Line 405">
              <a:extLst>
                <a:ext uri="{FF2B5EF4-FFF2-40B4-BE49-F238E27FC236}">
                  <a16:creationId xmlns:a16="http://schemas.microsoft.com/office/drawing/2014/main" id="{00000000-0008-0000-0100-00005C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08" y="688"/>
              <a:ext cx="12" cy="1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3" name="Line 406">
              <a:extLst>
                <a:ext uri="{FF2B5EF4-FFF2-40B4-BE49-F238E27FC236}">
                  <a16:creationId xmlns:a16="http://schemas.microsoft.com/office/drawing/2014/main" id="{00000000-0008-0000-0100-00005D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98" y="699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4" name="Line 407">
              <a:extLst>
                <a:ext uri="{FF2B5EF4-FFF2-40B4-BE49-F238E27FC236}">
                  <a16:creationId xmlns:a16="http://schemas.microsoft.com/office/drawing/2014/main" id="{00000000-0008-0000-0100-00005E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0" y="701"/>
              <a:ext cx="0" cy="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5" name="Line 408">
              <a:extLst>
                <a:ext uri="{FF2B5EF4-FFF2-40B4-BE49-F238E27FC236}">
                  <a16:creationId xmlns:a16="http://schemas.microsoft.com/office/drawing/2014/main" id="{00000000-0008-0000-0100-00005F00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785" y="721"/>
              <a:ext cx="1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6" name="Line 409">
              <a:extLst>
                <a:ext uri="{FF2B5EF4-FFF2-40B4-BE49-F238E27FC236}">
                  <a16:creationId xmlns:a16="http://schemas.microsoft.com/office/drawing/2014/main" id="{00000000-0008-0000-0100-000060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0" y="721"/>
              <a:ext cx="1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7" name="Line 410">
              <a:extLst>
                <a:ext uri="{FF2B5EF4-FFF2-40B4-BE49-F238E27FC236}">
                  <a16:creationId xmlns:a16="http://schemas.microsoft.com/office/drawing/2014/main" id="{00000000-0008-0000-0100-000061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92" y="787"/>
              <a:ext cx="3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8" name="Line 411">
              <a:extLst>
                <a:ext uri="{FF2B5EF4-FFF2-40B4-BE49-F238E27FC236}">
                  <a16:creationId xmlns:a16="http://schemas.microsoft.com/office/drawing/2014/main" id="{00000000-0008-0000-0100-000062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85" y="721"/>
              <a:ext cx="7" cy="6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9" name="Line 412">
              <a:extLst>
                <a:ext uri="{FF2B5EF4-FFF2-40B4-BE49-F238E27FC236}">
                  <a16:creationId xmlns:a16="http://schemas.microsoft.com/office/drawing/2014/main" id="{00000000-0008-0000-0100-000063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824" y="721"/>
              <a:ext cx="8" cy="6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0" name="Line 413">
              <a:extLst>
                <a:ext uri="{FF2B5EF4-FFF2-40B4-BE49-F238E27FC236}">
                  <a16:creationId xmlns:a16="http://schemas.microsoft.com/office/drawing/2014/main" id="{00000000-0008-0000-0100-000064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74" y="684"/>
              <a:ext cx="8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1" name="Line 414">
              <a:extLst>
                <a:ext uri="{FF2B5EF4-FFF2-40B4-BE49-F238E27FC236}">
                  <a16:creationId xmlns:a16="http://schemas.microsoft.com/office/drawing/2014/main" id="{00000000-0008-0000-0100-000065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98" y="711"/>
              <a:ext cx="2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arrow" w="sm" len="sm"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2" name="Line 415">
              <a:extLst>
                <a:ext uri="{FF2B5EF4-FFF2-40B4-BE49-F238E27FC236}">
                  <a16:creationId xmlns:a16="http://schemas.microsoft.com/office/drawing/2014/main" id="{00000000-0008-0000-0100-000066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85" y="721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3" name="Line 416">
              <a:extLst>
                <a:ext uri="{FF2B5EF4-FFF2-40B4-BE49-F238E27FC236}">
                  <a16:creationId xmlns:a16="http://schemas.microsoft.com/office/drawing/2014/main" id="{00000000-0008-0000-0100-000067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32" y="722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4" name="Line 417">
              <a:extLst>
                <a:ext uri="{FF2B5EF4-FFF2-40B4-BE49-F238E27FC236}">
                  <a16:creationId xmlns:a16="http://schemas.microsoft.com/office/drawing/2014/main" id="{00000000-0008-0000-0100-000068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85" y="739"/>
              <a:ext cx="1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5" name="Line 418">
              <a:extLst>
                <a:ext uri="{FF2B5EF4-FFF2-40B4-BE49-F238E27FC236}">
                  <a16:creationId xmlns:a16="http://schemas.microsoft.com/office/drawing/2014/main" id="{00000000-0008-0000-0100-000069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3" y="739"/>
              <a:ext cx="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6" name="Line 419">
              <a:extLst>
                <a:ext uri="{FF2B5EF4-FFF2-40B4-BE49-F238E27FC236}">
                  <a16:creationId xmlns:a16="http://schemas.microsoft.com/office/drawing/2014/main" id="{00000000-0008-0000-0100-00006A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92" y="711"/>
              <a:ext cx="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7" name="Line 420">
              <a:extLst>
                <a:ext uri="{FF2B5EF4-FFF2-40B4-BE49-F238E27FC236}">
                  <a16:creationId xmlns:a16="http://schemas.microsoft.com/office/drawing/2014/main" id="{00000000-0008-0000-0100-00006B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32" y="72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8" name="Line 421">
              <a:extLst>
                <a:ext uri="{FF2B5EF4-FFF2-40B4-BE49-F238E27FC236}">
                  <a16:creationId xmlns:a16="http://schemas.microsoft.com/office/drawing/2014/main" id="{00000000-0008-0000-0100-00006C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0" y="701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9" name="Line 422">
              <a:extLst>
                <a:ext uri="{FF2B5EF4-FFF2-40B4-BE49-F238E27FC236}">
                  <a16:creationId xmlns:a16="http://schemas.microsoft.com/office/drawing/2014/main" id="{00000000-0008-0000-0100-00006D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24" y="787"/>
              <a:ext cx="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0" name="Line 423">
              <a:extLst>
                <a:ext uri="{FF2B5EF4-FFF2-40B4-BE49-F238E27FC236}">
                  <a16:creationId xmlns:a16="http://schemas.microsoft.com/office/drawing/2014/main" id="{00000000-0008-0000-0100-00006E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08" y="688"/>
              <a:ext cx="3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1" name="Line 424">
              <a:extLst>
                <a:ext uri="{FF2B5EF4-FFF2-40B4-BE49-F238E27FC236}">
                  <a16:creationId xmlns:a16="http://schemas.microsoft.com/office/drawing/2014/main" id="{00000000-0008-0000-0100-00006F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43" y="721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2" name="Line 425">
              <a:extLst>
                <a:ext uri="{FF2B5EF4-FFF2-40B4-BE49-F238E27FC236}">
                  <a16:creationId xmlns:a16="http://schemas.microsoft.com/office/drawing/2014/main" id="{00000000-0008-0000-0100-000070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43" y="763"/>
              <a:ext cx="0" cy="2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" name="Line 426">
              <a:extLst>
                <a:ext uri="{FF2B5EF4-FFF2-40B4-BE49-F238E27FC236}">
                  <a16:creationId xmlns:a16="http://schemas.microsoft.com/office/drawing/2014/main" id="{00000000-0008-0000-0100-000071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843" y="67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4" name="Line 427">
              <a:extLst>
                <a:ext uri="{FF2B5EF4-FFF2-40B4-BE49-F238E27FC236}">
                  <a16:creationId xmlns:a16="http://schemas.microsoft.com/office/drawing/2014/main" id="{00000000-0008-0000-0100-000072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43" y="683"/>
              <a:ext cx="0" cy="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5" name="Line 429">
              <a:extLst>
                <a:ext uri="{FF2B5EF4-FFF2-40B4-BE49-F238E27FC236}">
                  <a16:creationId xmlns:a16="http://schemas.microsoft.com/office/drawing/2014/main" id="{00000000-0008-0000-0100-000073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43" y="701"/>
              <a:ext cx="0" cy="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arrow" w="sm" len="sm"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6" name="Line 430">
              <a:extLst>
                <a:ext uri="{FF2B5EF4-FFF2-40B4-BE49-F238E27FC236}">
                  <a16:creationId xmlns:a16="http://schemas.microsoft.com/office/drawing/2014/main" id="{00000000-0008-0000-0100-000074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792" y="763"/>
              <a:ext cx="0" cy="2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7" name="Line 431">
              <a:extLst>
                <a:ext uri="{FF2B5EF4-FFF2-40B4-BE49-F238E27FC236}">
                  <a16:creationId xmlns:a16="http://schemas.microsoft.com/office/drawing/2014/main" id="{00000000-0008-0000-0100-000075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24" y="763"/>
              <a:ext cx="0" cy="2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8" name="Line 432">
              <a:extLst>
                <a:ext uri="{FF2B5EF4-FFF2-40B4-BE49-F238E27FC236}">
                  <a16:creationId xmlns:a16="http://schemas.microsoft.com/office/drawing/2014/main" id="{00000000-0008-0000-0100-000076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92" y="774"/>
              <a:ext cx="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" name="Line 433">
              <a:extLst>
                <a:ext uri="{FF2B5EF4-FFF2-40B4-BE49-F238E27FC236}">
                  <a16:creationId xmlns:a16="http://schemas.microsoft.com/office/drawing/2014/main" id="{00000000-0008-0000-0100-000077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17" y="774"/>
              <a:ext cx="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0" name="Line 434">
              <a:extLst>
                <a:ext uri="{FF2B5EF4-FFF2-40B4-BE49-F238E27FC236}">
                  <a16:creationId xmlns:a16="http://schemas.microsoft.com/office/drawing/2014/main" id="{00000000-0008-0000-0100-000078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57" y="684"/>
              <a:ext cx="0" cy="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1" name="Line 435">
              <a:extLst>
                <a:ext uri="{FF2B5EF4-FFF2-40B4-BE49-F238E27FC236}">
                  <a16:creationId xmlns:a16="http://schemas.microsoft.com/office/drawing/2014/main" id="{00000000-0008-0000-0100-000079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57" y="743"/>
              <a:ext cx="0" cy="4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90" name="Line 521">
            <a:extLst>
              <a:ext uri="{FF2B5EF4-FFF2-40B4-BE49-F238E27FC236}">
                <a16:creationId xmlns:a16="http://schemas.microsoft.com/office/drawing/2014/main" id="{00000000-0008-0000-0100-00005A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843" y="687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0.64043</cdr:x>
      <cdr:y>0.64951</cdr:y>
    </cdr:from>
    <cdr:to>
      <cdr:x>0.87628</cdr:x>
      <cdr:y>0.6702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4191482"/>
          <a:ext cx="1381590" cy="13341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0.64043</cdr:x>
      <cdr:y>0.54384</cdr:y>
    </cdr:from>
    <cdr:to>
      <cdr:x>0.92325</cdr:x>
      <cdr:y>0.56897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3510104"/>
          <a:ext cx="165675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0.66822</cdr:x>
      <cdr:y>0.76059</cdr:y>
    </cdr:from>
    <cdr:to>
      <cdr:x>0.91366</cdr:x>
      <cdr:y>0.78572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7521" y="4907802"/>
          <a:ext cx="143777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628650</xdr:colOff>
      <xdr:row>16</xdr:row>
      <xdr:rowOff>66675</xdr:rowOff>
    </xdr:from>
    <xdr:to>
      <xdr:col>0</xdr:col>
      <xdr:colOff>1104900</xdr:colOff>
      <xdr:row>17</xdr:row>
      <xdr:rowOff>0</xdr:rowOff>
    </xdr:to>
    <xdr:sp macro="" textlink="">
      <xdr:nvSpPr>
        <xdr:cNvPr id="3" name="RPM1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628650" y="39624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0</xdr:col>
      <xdr:colOff>619125</xdr:colOff>
      <xdr:row>18</xdr:row>
      <xdr:rowOff>9525</xdr:rowOff>
    </xdr:from>
    <xdr:to>
      <xdr:col>0</xdr:col>
      <xdr:colOff>1095375</xdr:colOff>
      <xdr:row>18</xdr:row>
      <xdr:rowOff>180975</xdr:rowOff>
    </xdr:to>
    <xdr:sp macro="" textlink="">
      <xdr:nvSpPr>
        <xdr:cNvPr id="4" name="RPM10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619125" y="43815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1198</a:t>
          </a:r>
        </a:p>
      </xdr:txBody>
    </xdr:sp>
    <xdr:clientData/>
  </xdr:twoCellAnchor>
  <xdr:twoCellAnchor>
    <xdr:from>
      <xdr:col>0</xdr:col>
      <xdr:colOff>609600</xdr:colOff>
      <xdr:row>19</xdr:row>
      <xdr:rowOff>180975</xdr:rowOff>
    </xdr:from>
    <xdr:to>
      <xdr:col>0</xdr:col>
      <xdr:colOff>1085850</xdr:colOff>
      <xdr:row>20</xdr:row>
      <xdr:rowOff>114300</xdr:rowOff>
    </xdr:to>
    <xdr:sp macro="" textlink="">
      <xdr:nvSpPr>
        <xdr:cNvPr id="5" name="RPM9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>
          <a:spLocks noChangeArrowheads="1"/>
        </xdr:cNvSpPr>
      </xdr:nvSpPr>
      <xdr:spPr bwMode="auto">
        <a:xfrm>
          <a:off x="609600" y="479107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1196</a:t>
          </a:r>
        </a:p>
      </xdr:txBody>
    </xdr:sp>
    <xdr:clientData/>
  </xdr:twoCellAnchor>
  <xdr:twoCellAnchor>
    <xdr:from>
      <xdr:col>0</xdr:col>
      <xdr:colOff>609600</xdr:colOff>
      <xdr:row>21</xdr:row>
      <xdr:rowOff>114300</xdr:rowOff>
    </xdr:from>
    <xdr:to>
      <xdr:col>0</xdr:col>
      <xdr:colOff>1085850</xdr:colOff>
      <xdr:row>22</xdr:row>
      <xdr:rowOff>47625</xdr:rowOff>
    </xdr:to>
    <xdr:sp macro="" textlink="">
      <xdr:nvSpPr>
        <xdr:cNvPr id="6" name="RPM8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>
          <a:spLocks noChangeArrowheads="1"/>
        </xdr:cNvSpPr>
      </xdr:nvSpPr>
      <xdr:spPr bwMode="auto">
        <a:xfrm>
          <a:off x="609600" y="520065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1194</a:t>
          </a:r>
        </a:p>
      </xdr:txBody>
    </xdr:sp>
    <xdr:clientData/>
  </xdr:twoCellAnchor>
  <xdr:twoCellAnchor>
    <xdr:from>
      <xdr:col>0</xdr:col>
      <xdr:colOff>619125</xdr:colOff>
      <xdr:row>23</xdr:row>
      <xdr:rowOff>47625</xdr:rowOff>
    </xdr:from>
    <xdr:to>
      <xdr:col>0</xdr:col>
      <xdr:colOff>1095375</xdr:colOff>
      <xdr:row>23</xdr:row>
      <xdr:rowOff>219075</xdr:rowOff>
    </xdr:to>
    <xdr:sp macro="" textlink="">
      <xdr:nvSpPr>
        <xdr:cNvPr id="7" name="RPM7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>
          <a:spLocks noChangeArrowheads="1"/>
        </xdr:cNvSpPr>
      </xdr:nvSpPr>
      <xdr:spPr bwMode="auto">
        <a:xfrm>
          <a:off x="619125" y="561022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1192</a:t>
          </a:r>
        </a:p>
      </xdr:txBody>
    </xdr:sp>
    <xdr:clientData/>
  </xdr:twoCellAnchor>
  <xdr:twoCellAnchor>
    <xdr:from>
      <xdr:col>0</xdr:col>
      <xdr:colOff>619125</xdr:colOff>
      <xdr:row>24</xdr:row>
      <xdr:rowOff>219075</xdr:rowOff>
    </xdr:from>
    <xdr:to>
      <xdr:col>0</xdr:col>
      <xdr:colOff>1095375</xdr:colOff>
      <xdr:row>25</xdr:row>
      <xdr:rowOff>152400</xdr:rowOff>
    </xdr:to>
    <xdr:sp macro="" textlink="">
      <xdr:nvSpPr>
        <xdr:cNvPr id="8" name="RPM6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>
          <a:spLocks noChangeArrowheads="1"/>
        </xdr:cNvSpPr>
      </xdr:nvSpPr>
      <xdr:spPr bwMode="auto">
        <a:xfrm>
          <a:off x="619125" y="60198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1190</a:t>
          </a:r>
        </a:p>
      </xdr:txBody>
    </xdr:sp>
    <xdr:clientData/>
  </xdr:twoCellAnchor>
  <xdr:twoCellAnchor>
    <xdr:from>
      <xdr:col>0</xdr:col>
      <xdr:colOff>609600</xdr:colOff>
      <xdr:row>26</xdr:row>
      <xdr:rowOff>152400</xdr:rowOff>
    </xdr:from>
    <xdr:to>
      <xdr:col>0</xdr:col>
      <xdr:colOff>1085850</xdr:colOff>
      <xdr:row>27</xdr:row>
      <xdr:rowOff>85725</xdr:rowOff>
    </xdr:to>
    <xdr:sp macro="" textlink="">
      <xdr:nvSpPr>
        <xdr:cNvPr id="9" name="RPM5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>
          <a:spLocks noChangeArrowheads="1"/>
        </xdr:cNvSpPr>
      </xdr:nvSpPr>
      <xdr:spPr bwMode="auto">
        <a:xfrm>
          <a:off x="609600" y="642937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1188</a:t>
          </a:r>
        </a:p>
      </xdr:txBody>
    </xdr:sp>
    <xdr:clientData/>
  </xdr:twoCellAnchor>
  <xdr:twoCellAnchor>
    <xdr:from>
      <xdr:col>0</xdr:col>
      <xdr:colOff>600075</xdr:colOff>
      <xdr:row>28</xdr:row>
      <xdr:rowOff>85725</xdr:rowOff>
    </xdr:from>
    <xdr:to>
      <xdr:col>0</xdr:col>
      <xdr:colOff>1076325</xdr:colOff>
      <xdr:row>29</xdr:row>
      <xdr:rowOff>19050</xdr:rowOff>
    </xdr:to>
    <xdr:sp macro="" textlink="">
      <xdr:nvSpPr>
        <xdr:cNvPr id="10" name="RPM4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 txBox="1">
          <a:spLocks noChangeArrowheads="1"/>
        </xdr:cNvSpPr>
      </xdr:nvSpPr>
      <xdr:spPr bwMode="auto">
        <a:xfrm>
          <a:off x="600075" y="683895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1186</a:t>
          </a:r>
        </a:p>
      </xdr:txBody>
    </xdr:sp>
    <xdr:clientData/>
  </xdr:twoCellAnchor>
  <xdr:twoCellAnchor>
    <xdr:from>
      <xdr:col>0</xdr:col>
      <xdr:colOff>600075</xdr:colOff>
      <xdr:row>30</xdr:row>
      <xdr:rowOff>28575</xdr:rowOff>
    </xdr:from>
    <xdr:to>
      <xdr:col>0</xdr:col>
      <xdr:colOff>1076325</xdr:colOff>
      <xdr:row>30</xdr:row>
      <xdr:rowOff>200025</xdr:rowOff>
    </xdr:to>
    <xdr:sp macro="" textlink="">
      <xdr:nvSpPr>
        <xdr:cNvPr id="11" name="RPM3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 txBox="1">
          <a:spLocks noChangeArrowheads="1"/>
        </xdr:cNvSpPr>
      </xdr:nvSpPr>
      <xdr:spPr bwMode="auto">
        <a:xfrm>
          <a:off x="600075" y="725805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1184</a:t>
          </a:r>
        </a:p>
      </xdr:txBody>
    </xdr:sp>
    <xdr:clientData/>
  </xdr:twoCellAnchor>
  <xdr:twoCellAnchor>
    <xdr:from>
      <xdr:col>0</xdr:col>
      <xdr:colOff>600075</xdr:colOff>
      <xdr:row>31</xdr:row>
      <xdr:rowOff>200025</xdr:rowOff>
    </xdr:from>
    <xdr:to>
      <xdr:col>0</xdr:col>
      <xdr:colOff>1076325</xdr:colOff>
      <xdr:row>32</xdr:row>
      <xdr:rowOff>133350</xdr:rowOff>
    </xdr:to>
    <xdr:sp macro="" textlink="">
      <xdr:nvSpPr>
        <xdr:cNvPr id="12" name="RPM2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>
          <a:spLocks noChangeArrowheads="1"/>
        </xdr:cNvSpPr>
      </xdr:nvSpPr>
      <xdr:spPr bwMode="auto">
        <a:xfrm>
          <a:off x="600075" y="766762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1182</a:t>
          </a:r>
        </a:p>
      </xdr:txBody>
    </xdr:sp>
    <xdr:clientData/>
  </xdr:twoCellAnchor>
  <xdr:twoCellAnchor>
    <xdr:from>
      <xdr:col>0</xdr:col>
      <xdr:colOff>609600</xdr:colOff>
      <xdr:row>33</xdr:row>
      <xdr:rowOff>133350</xdr:rowOff>
    </xdr:from>
    <xdr:to>
      <xdr:col>0</xdr:col>
      <xdr:colOff>1085850</xdr:colOff>
      <xdr:row>34</xdr:row>
      <xdr:rowOff>66675</xdr:rowOff>
    </xdr:to>
    <xdr:sp macro="" textlink="">
      <xdr:nvSpPr>
        <xdr:cNvPr id="13" name="RPM1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 txBox="1">
          <a:spLocks noChangeArrowheads="1"/>
        </xdr:cNvSpPr>
      </xdr:nvSpPr>
      <xdr:spPr bwMode="auto">
        <a:xfrm>
          <a:off x="609600" y="80772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1180</a:t>
          </a:r>
        </a:p>
      </xdr:txBody>
    </xdr:sp>
    <xdr:clientData/>
  </xdr:twoCellAnchor>
  <xdr:twoCellAnchor>
    <xdr:from>
      <xdr:col>0</xdr:col>
      <xdr:colOff>390525</xdr:colOff>
      <xdr:row>24</xdr:row>
      <xdr:rowOff>104775</xdr:rowOff>
    </xdr:from>
    <xdr:to>
      <xdr:col>0</xdr:col>
      <xdr:colOff>600075</xdr:colOff>
      <xdr:row>26</xdr:row>
      <xdr:rowOff>209550</xdr:rowOff>
    </xdr:to>
    <xdr:sp macro="" textlink="">
      <xdr:nvSpPr>
        <xdr:cNvPr id="14" name="RPM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 txBox="1">
          <a:spLocks noChangeArrowheads="1"/>
        </xdr:cNvSpPr>
      </xdr:nvSpPr>
      <xdr:spPr bwMode="auto">
        <a:xfrm>
          <a:off x="390525" y="5905500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352423</xdr:colOff>
      <xdr:row>16</xdr:row>
      <xdr:rowOff>114299</xdr:rowOff>
    </xdr:from>
    <xdr:to>
      <xdr:col>5</xdr:col>
      <xdr:colOff>885824</xdr:colOff>
      <xdr:row>17</xdr:row>
      <xdr:rowOff>38099</xdr:rowOff>
    </xdr:to>
    <xdr:sp macro="" textlink="">
      <xdr:nvSpPr>
        <xdr:cNvPr id="15" name="Watts11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 txBox="1">
          <a:spLocks noChangeArrowheads="1"/>
        </xdr:cNvSpPr>
      </xdr:nvSpPr>
      <xdr:spPr bwMode="auto">
        <a:xfrm>
          <a:off x="5924548" y="4010024"/>
          <a:ext cx="533401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1000</a:t>
          </a:r>
        </a:p>
      </xdr:txBody>
    </xdr:sp>
    <xdr:clientData/>
  </xdr:twoCellAnchor>
  <xdr:twoCellAnchor>
    <xdr:from>
      <xdr:col>5</xdr:col>
      <xdr:colOff>381000</xdr:colOff>
      <xdr:row>25</xdr:row>
      <xdr:rowOff>0</xdr:rowOff>
    </xdr:from>
    <xdr:to>
      <xdr:col>5</xdr:col>
      <xdr:colOff>851209</xdr:colOff>
      <xdr:row>25</xdr:row>
      <xdr:rowOff>200025</xdr:rowOff>
    </xdr:to>
    <xdr:sp macro="" textlink="">
      <xdr:nvSpPr>
        <xdr:cNvPr id="16" name="Watts6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>
          <a:spLocks noChangeArrowheads="1"/>
        </xdr:cNvSpPr>
      </xdr:nvSpPr>
      <xdr:spPr bwMode="auto">
        <a:xfrm>
          <a:off x="5953125" y="6038850"/>
          <a:ext cx="470209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500</a:t>
          </a:r>
        </a:p>
      </xdr:txBody>
    </xdr:sp>
    <xdr:clientData/>
  </xdr:twoCellAnchor>
  <xdr:twoCellAnchor>
    <xdr:from>
      <xdr:col>5</xdr:col>
      <xdr:colOff>371474</xdr:colOff>
      <xdr:row>26</xdr:row>
      <xdr:rowOff>180975</xdr:rowOff>
    </xdr:from>
    <xdr:to>
      <xdr:col>5</xdr:col>
      <xdr:colOff>788250</xdr:colOff>
      <xdr:row>27</xdr:row>
      <xdr:rowOff>133350</xdr:rowOff>
    </xdr:to>
    <xdr:sp macro="" textlink="">
      <xdr:nvSpPr>
        <xdr:cNvPr id="17" name="Watts5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>
          <a:spLocks noChangeArrowheads="1"/>
        </xdr:cNvSpPr>
      </xdr:nvSpPr>
      <xdr:spPr bwMode="auto">
        <a:xfrm>
          <a:off x="5943599" y="6457950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</a:t>
          </a:r>
        </a:p>
      </xdr:txBody>
    </xdr:sp>
    <xdr:clientData/>
  </xdr:twoCellAnchor>
  <xdr:twoCellAnchor>
    <xdr:from>
      <xdr:col>5</xdr:col>
      <xdr:colOff>380999</xdr:colOff>
      <xdr:row>28</xdr:row>
      <xdr:rowOff>114300</xdr:rowOff>
    </xdr:from>
    <xdr:to>
      <xdr:col>5</xdr:col>
      <xdr:colOff>797775</xdr:colOff>
      <xdr:row>29</xdr:row>
      <xdr:rowOff>66675</xdr:rowOff>
    </xdr:to>
    <xdr:sp macro="" textlink="">
      <xdr:nvSpPr>
        <xdr:cNvPr id="18" name="Watts4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>
          <a:spLocks noChangeArrowheads="1"/>
        </xdr:cNvSpPr>
      </xdr:nvSpPr>
      <xdr:spPr bwMode="auto">
        <a:xfrm>
          <a:off x="5953124" y="6867525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300</a:t>
          </a:r>
        </a:p>
      </xdr:txBody>
    </xdr:sp>
    <xdr:clientData/>
  </xdr:twoCellAnchor>
  <xdr:twoCellAnchor>
    <xdr:from>
      <xdr:col>5</xdr:col>
      <xdr:colOff>371474</xdr:colOff>
      <xdr:row>30</xdr:row>
      <xdr:rowOff>38100</xdr:rowOff>
    </xdr:from>
    <xdr:to>
      <xdr:col>5</xdr:col>
      <xdr:colOff>788250</xdr:colOff>
      <xdr:row>30</xdr:row>
      <xdr:rowOff>228600</xdr:rowOff>
    </xdr:to>
    <xdr:sp macro="" textlink="">
      <xdr:nvSpPr>
        <xdr:cNvPr id="19" name="Watts3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>
          <a:spLocks noChangeArrowheads="1"/>
        </xdr:cNvSpPr>
      </xdr:nvSpPr>
      <xdr:spPr bwMode="auto">
        <a:xfrm>
          <a:off x="5943599" y="7267575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200</a:t>
          </a:r>
        </a:p>
      </xdr:txBody>
    </xdr:sp>
    <xdr:clientData/>
  </xdr:twoCellAnchor>
  <xdr:twoCellAnchor>
    <xdr:from>
      <xdr:col>5</xdr:col>
      <xdr:colOff>371474</xdr:colOff>
      <xdr:row>31</xdr:row>
      <xdr:rowOff>219075</xdr:rowOff>
    </xdr:from>
    <xdr:to>
      <xdr:col>5</xdr:col>
      <xdr:colOff>788250</xdr:colOff>
      <xdr:row>32</xdr:row>
      <xdr:rowOff>171450</xdr:rowOff>
    </xdr:to>
    <xdr:sp macro="" textlink="">
      <xdr:nvSpPr>
        <xdr:cNvPr id="20" name="Watts2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 txBox="1">
          <a:spLocks noChangeArrowheads="1"/>
        </xdr:cNvSpPr>
      </xdr:nvSpPr>
      <xdr:spPr bwMode="auto">
        <a:xfrm>
          <a:off x="5943599" y="7686675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100</a:t>
          </a:r>
        </a:p>
      </xdr:txBody>
    </xdr:sp>
    <xdr:clientData/>
  </xdr:twoCellAnchor>
  <xdr:twoCellAnchor>
    <xdr:from>
      <xdr:col>5</xdr:col>
      <xdr:colOff>733425</xdr:colOff>
      <xdr:row>23</xdr:row>
      <xdr:rowOff>9525</xdr:rowOff>
    </xdr:from>
    <xdr:to>
      <xdr:col>5</xdr:col>
      <xdr:colOff>952500</xdr:colOff>
      <xdr:row>28</xdr:row>
      <xdr:rowOff>142875</xdr:rowOff>
    </xdr:to>
    <xdr:sp macro="" textlink="">
      <xdr:nvSpPr>
        <xdr:cNvPr id="21" name="Input Watts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 txBox="1">
          <a:spLocks noChangeArrowheads="1"/>
        </xdr:cNvSpPr>
      </xdr:nvSpPr>
      <xdr:spPr bwMode="auto">
        <a:xfrm>
          <a:off x="6305550" y="557212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371474</xdr:colOff>
      <xdr:row>23</xdr:row>
      <xdr:rowOff>66675</xdr:rowOff>
    </xdr:from>
    <xdr:to>
      <xdr:col>5</xdr:col>
      <xdr:colOff>788250</xdr:colOff>
      <xdr:row>24</xdr:row>
      <xdr:rowOff>19050</xdr:rowOff>
    </xdr:to>
    <xdr:sp macro="" textlink="">
      <xdr:nvSpPr>
        <xdr:cNvPr id="22" name="Watts7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 txBox="1">
          <a:spLocks noChangeArrowheads="1"/>
        </xdr:cNvSpPr>
      </xdr:nvSpPr>
      <xdr:spPr bwMode="auto">
        <a:xfrm>
          <a:off x="5943599" y="5629275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600</a:t>
          </a:r>
        </a:p>
      </xdr:txBody>
    </xdr:sp>
    <xdr:clientData/>
  </xdr:twoCellAnchor>
  <xdr:twoCellAnchor>
    <xdr:from>
      <xdr:col>5</xdr:col>
      <xdr:colOff>371474</xdr:colOff>
      <xdr:row>21</xdr:row>
      <xdr:rowOff>133350</xdr:rowOff>
    </xdr:from>
    <xdr:to>
      <xdr:col>5</xdr:col>
      <xdr:colOff>788250</xdr:colOff>
      <xdr:row>22</xdr:row>
      <xdr:rowOff>85725</xdr:rowOff>
    </xdr:to>
    <xdr:sp macro="" textlink="">
      <xdr:nvSpPr>
        <xdr:cNvPr id="23" name="Watts8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 txBox="1">
          <a:spLocks noChangeArrowheads="1"/>
        </xdr:cNvSpPr>
      </xdr:nvSpPr>
      <xdr:spPr bwMode="auto">
        <a:xfrm>
          <a:off x="5943599" y="5219700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700</a:t>
          </a:r>
        </a:p>
      </xdr:txBody>
    </xdr:sp>
    <xdr:clientData/>
  </xdr:twoCellAnchor>
  <xdr:twoCellAnchor>
    <xdr:from>
      <xdr:col>5</xdr:col>
      <xdr:colOff>361949</xdr:colOff>
      <xdr:row>19</xdr:row>
      <xdr:rowOff>200025</xdr:rowOff>
    </xdr:from>
    <xdr:to>
      <xdr:col>5</xdr:col>
      <xdr:colOff>778725</xdr:colOff>
      <xdr:row>20</xdr:row>
      <xdr:rowOff>152400</xdr:rowOff>
    </xdr:to>
    <xdr:sp macro="" textlink="">
      <xdr:nvSpPr>
        <xdr:cNvPr id="24" name="Watts9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 txBox="1">
          <a:spLocks noChangeArrowheads="1"/>
        </xdr:cNvSpPr>
      </xdr:nvSpPr>
      <xdr:spPr bwMode="auto">
        <a:xfrm>
          <a:off x="5934074" y="4810125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800</a:t>
          </a:r>
        </a:p>
      </xdr:txBody>
    </xdr:sp>
    <xdr:clientData/>
  </xdr:twoCellAnchor>
  <xdr:twoCellAnchor>
    <xdr:from>
      <xdr:col>5</xdr:col>
      <xdr:colOff>361949</xdr:colOff>
      <xdr:row>18</xdr:row>
      <xdr:rowOff>28575</xdr:rowOff>
    </xdr:from>
    <xdr:to>
      <xdr:col>5</xdr:col>
      <xdr:colOff>778725</xdr:colOff>
      <xdr:row>18</xdr:row>
      <xdr:rowOff>219075</xdr:rowOff>
    </xdr:to>
    <xdr:sp macro="" textlink="">
      <xdr:nvSpPr>
        <xdr:cNvPr id="25" name="Watts10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 txBox="1">
          <a:spLocks noChangeArrowheads="1"/>
        </xdr:cNvSpPr>
      </xdr:nvSpPr>
      <xdr:spPr bwMode="auto">
        <a:xfrm>
          <a:off x="5934074" y="4400550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900</a:t>
          </a:r>
        </a:p>
      </xdr:txBody>
    </xdr:sp>
    <xdr:clientData/>
  </xdr:twoCellAnchor>
  <xdr:twoCellAnchor>
    <xdr:from>
      <xdr:col>2</xdr:col>
      <xdr:colOff>857250</xdr:colOff>
      <xdr:row>17</xdr:row>
      <xdr:rowOff>19050</xdr:rowOff>
    </xdr:from>
    <xdr:to>
      <xdr:col>3</xdr:col>
      <xdr:colOff>85725</xdr:colOff>
      <xdr:row>17</xdr:row>
      <xdr:rowOff>161925</xdr:rowOff>
    </xdr:to>
    <xdr:sp macro="" textlink="" fLocksText="0">
      <xdr:nvSpPr>
        <xdr:cNvPr id="26" name="Text Box 26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 txBox="1">
          <a:spLocks noChangeArrowheads="1"/>
        </xdr:cNvSpPr>
      </xdr:nvSpPr>
      <xdr:spPr bwMode="auto">
        <a:xfrm>
          <a:off x="3086100" y="415290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904875</xdr:colOff>
      <xdr:row>19</xdr:row>
      <xdr:rowOff>133350</xdr:rowOff>
    </xdr:from>
    <xdr:to>
      <xdr:col>4</xdr:col>
      <xdr:colOff>123825</xdr:colOff>
      <xdr:row>20</xdr:row>
      <xdr:rowOff>66675</xdr:rowOff>
    </xdr:to>
    <xdr:sp macro="" textlink="" fLocksText="0">
      <xdr:nvSpPr>
        <xdr:cNvPr id="27" name="Text Box 27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 txBox="1">
          <a:spLocks noChangeArrowheads="1"/>
        </xdr:cNvSpPr>
      </xdr:nvSpPr>
      <xdr:spPr bwMode="auto">
        <a:xfrm>
          <a:off x="4248150" y="4743450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3</xdr:col>
      <xdr:colOff>180975</xdr:colOff>
      <xdr:row>22</xdr:row>
      <xdr:rowOff>66675</xdr:rowOff>
    </xdr:from>
    <xdr:to>
      <xdr:col>3</xdr:col>
      <xdr:colOff>523875</xdr:colOff>
      <xdr:row>22</xdr:row>
      <xdr:rowOff>209550</xdr:rowOff>
    </xdr:to>
    <xdr:sp macro="" textlink="" fLocksText="0">
      <xdr:nvSpPr>
        <xdr:cNvPr id="28" name="Speed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 txBox="1">
          <a:spLocks noChangeArrowheads="1"/>
        </xdr:cNvSpPr>
      </xdr:nvSpPr>
      <xdr:spPr bwMode="auto">
        <a:xfrm>
          <a:off x="3524250" y="539115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1000125</xdr:colOff>
      <xdr:row>29</xdr:row>
      <xdr:rowOff>28575</xdr:rowOff>
    </xdr:from>
    <xdr:to>
      <xdr:col>2</xdr:col>
      <xdr:colOff>323850</xdr:colOff>
      <xdr:row>29</xdr:row>
      <xdr:rowOff>180975</xdr:rowOff>
    </xdr:to>
    <xdr:sp macro="" textlink="" fLocksText="0">
      <xdr:nvSpPr>
        <xdr:cNvPr id="29" name="Amps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 txBox="1">
          <a:spLocks noChangeArrowheads="1"/>
        </xdr:cNvSpPr>
      </xdr:nvSpPr>
      <xdr:spPr bwMode="auto">
        <a:xfrm>
          <a:off x="2114550" y="701992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523875</xdr:colOff>
      <xdr:row>31</xdr:row>
      <xdr:rowOff>171450</xdr:rowOff>
    </xdr:from>
    <xdr:to>
      <xdr:col>2</xdr:col>
      <xdr:colOff>1028700</xdr:colOff>
      <xdr:row>32</xdr:row>
      <xdr:rowOff>85725</xdr:rowOff>
    </xdr:to>
    <xdr:sp macro="" textlink="" fLocksText="0">
      <xdr:nvSpPr>
        <xdr:cNvPr id="30" name="Watts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 txBox="1">
          <a:spLocks noChangeArrowheads="1"/>
        </xdr:cNvSpPr>
      </xdr:nvSpPr>
      <xdr:spPr bwMode="auto">
        <a:xfrm>
          <a:off x="2752725" y="7639050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361949</xdr:colOff>
      <xdr:row>33</xdr:row>
      <xdr:rowOff>142875</xdr:rowOff>
    </xdr:from>
    <xdr:to>
      <xdr:col>5</xdr:col>
      <xdr:colOff>800098</xdr:colOff>
      <xdr:row>34</xdr:row>
      <xdr:rowOff>104775</xdr:rowOff>
    </xdr:to>
    <xdr:sp macro="" textlink="">
      <xdr:nvSpPr>
        <xdr:cNvPr id="31" name="Watts1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 txBox="1">
          <a:spLocks noChangeArrowheads="1"/>
        </xdr:cNvSpPr>
      </xdr:nvSpPr>
      <xdr:spPr bwMode="auto">
        <a:xfrm>
          <a:off x="5934074" y="8086725"/>
          <a:ext cx="438149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74790D-AC76-45AE-A987-D7AD23D05D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628650</xdr:colOff>
      <xdr:row>16</xdr:row>
      <xdr:rowOff>66675</xdr:rowOff>
    </xdr:from>
    <xdr:to>
      <xdr:col>0</xdr:col>
      <xdr:colOff>1104900</xdr:colOff>
      <xdr:row>17</xdr:row>
      <xdr:rowOff>0</xdr:rowOff>
    </xdr:to>
    <xdr:sp macro="" textlink="">
      <xdr:nvSpPr>
        <xdr:cNvPr id="3" name="RPM11">
          <a:extLst>
            <a:ext uri="{FF2B5EF4-FFF2-40B4-BE49-F238E27FC236}">
              <a16:creationId xmlns:a16="http://schemas.microsoft.com/office/drawing/2014/main" id="{B202F4C5-0F8A-431C-AFCD-5E660098A13C}"/>
            </a:ext>
          </a:extLst>
        </xdr:cNvPr>
        <xdr:cNvSpPr txBox="1">
          <a:spLocks noChangeArrowheads="1"/>
        </xdr:cNvSpPr>
      </xdr:nvSpPr>
      <xdr:spPr bwMode="auto">
        <a:xfrm>
          <a:off x="628650" y="3937635"/>
          <a:ext cx="476250" cy="1695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0</xdr:col>
      <xdr:colOff>619125</xdr:colOff>
      <xdr:row>18</xdr:row>
      <xdr:rowOff>9525</xdr:rowOff>
    </xdr:from>
    <xdr:to>
      <xdr:col>0</xdr:col>
      <xdr:colOff>1095375</xdr:colOff>
      <xdr:row>18</xdr:row>
      <xdr:rowOff>180975</xdr:rowOff>
    </xdr:to>
    <xdr:sp macro="" textlink="">
      <xdr:nvSpPr>
        <xdr:cNvPr id="4" name="RPM10">
          <a:extLst>
            <a:ext uri="{FF2B5EF4-FFF2-40B4-BE49-F238E27FC236}">
              <a16:creationId xmlns:a16="http://schemas.microsoft.com/office/drawing/2014/main" id="{5F5399B5-3D86-41DB-9AAE-E1C16A32CCD8}"/>
            </a:ext>
          </a:extLst>
        </xdr:cNvPr>
        <xdr:cNvSpPr txBox="1">
          <a:spLocks noChangeArrowheads="1"/>
        </xdr:cNvSpPr>
      </xdr:nvSpPr>
      <xdr:spPr bwMode="auto">
        <a:xfrm>
          <a:off x="619125" y="435292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1198</a:t>
          </a:r>
        </a:p>
      </xdr:txBody>
    </xdr:sp>
    <xdr:clientData/>
  </xdr:twoCellAnchor>
  <xdr:twoCellAnchor>
    <xdr:from>
      <xdr:col>0</xdr:col>
      <xdr:colOff>609600</xdr:colOff>
      <xdr:row>19</xdr:row>
      <xdr:rowOff>180975</xdr:rowOff>
    </xdr:from>
    <xdr:to>
      <xdr:col>0</xdr:col>
      <xdr:colOff>1085850</xdr:colOff>
      <xdr:row>20</xdr:row>
      <xdr:rowOff>114300</xdr:rowOff>
    </xdr:to>
    <xdr:sp macro="" textlink="">
      <xdr:nvSpPr>
        <xdr:cNvPr id="5" name="RPM9">
          <a:extLst>
            <a:ext uri="{FF2B5EF4-FFF2-40B4-BE49-F238E27FC236}">
              <a16:creationId xmlns:a16="http://schemas.microsoft.com/office/drawing/2014/main" id="{A4F2A9F5-A46C-4F4A-9EEF-08A96A903564}"/>
            </a:ext>
          </a:extLst>
        </xdr:cNvPr>
        <xdr:cNvSpPr txBox="1">
          <a:spLocks noChangeArrowheads="1"/>
        </xdr:cNvSpPr>
      </xdr:nvSpPr>
      <xdr:spPr bwMode="auto">
        <a:xfrm>
          <a:off x="609600" y="4760595"/>
          <a:ext cx="476250" cy="1695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1196</a:t>
          </a:r>
        </a:p>
      </xdr:txBody>
    </xdr:sp>
    <xdr:clientData/>
  </xdr:twoCellAnchor>
  <xdr:twoCellAnchor>
    <xdr:from>
      <xdr:col>0</xdr:col>
      <xdr:colOff>609600</xdr:colOff>
      <xdr:row>21</xdr:row>
      <xdr:rowOff>114300</xdr:rowOff>
    </xdr:from>
    <xdr:to>
      <xdr:col>0</xdr:col>
      <xdr:colOff>1085850</xdr:colOff>
      <xdr:row>22</xdr:row>
      <xdr:rowOff>47625</xdr:rowOff>
    </xdr:to>
    <xdr:sp macro="" textlink="">
      <xdr:nvSpPr>
        <xdr:cNvPr id="6" name="RPM8">
          <a:extLst>
            <a:ext uri="{FF2B5EF4-FFF2-40B4-BE49-F238E27FC236}">
              <a16:creationId xmlns:a16="http://schemas.microsoft.com/office/drawing/2014/main" id="{8026B070-06CA-4261-830A-D0B8BD752B67}"/>
            </a:ext>
          </a:extLst>
        </xdr:cNvPr>
        <xdr:cNvSpPr txBox="1">
          <a:spLocks noChangeArrowheads="1"/>
        </xdr:cNvSpPr>
      </xdr:nvSpPr>
      <xdr:spPr bwMode="auto">
        <a:xfrm>
          <a:off x="609600" y="5166360"/>
          <a:ext cx="476250" cy="1695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1194</a:t>
          </a:r>
        </a:p>
      </xdr:txBody>
    </xdr:sp>
    <xdr:clientData/>
  </xdr:twoCellAnchor>
  <xdr:twoCellAnchor>
    <xdr:from>
      <xdr:col>0</xdr:col>
      <xdr:colOff>619125</xdr:colOff>
      <xdr:row>23</xdr:row>
      <xdr:rowOff>47625</xdr:rowOff>
    </xdr:from>
    <xdr:to>
      <xdr:col>0</xdr:col>
      <xdr:colOff>1095375</xdr:colOff>
      <xdr:row>23</xdr:row>
      <xdr:rowOff>219075</xdr:rowOff>
    </xdr:to>
    <xdr:sp macro="" textlink="">
      <xdr:nvSpPr>
        <xdr:cNvPr id="7" name="RPM7">
          <a:extLst>
            <a:ext uri="{FF2B5EF4-FFF2-40B4-BE49-F238E27FC236}">
              <a16:creationId xmlns:a16="http://schemas.microsoft.com/office/drawing/2014/main" id="{12FAE8A8-B63E-4549-B4BE-83A617D40F41}"/>
            </a:ext>
          </a:extLst>
        </xdr:cNvPr>
        <xdr:cNvSpPr txBox="1">
          <a:spLocks noChangeArrowheads="1"/>
        </xdr:cNvSpPr>
      </xdr:nvSpPr>
      <xdr:spPr bwMode="auto">
        <a:xfrm>
          <a:off x="619125" y="557212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1192</a:t>
          </a:r>
        </a:p>
      </xdr:txBody>
    </xdr:sp>
    <xdr:clientData/>
  </xdr:twoCellAnchor>
  <xdr:twoCellAnchor>
    <xdr:from>
      <xdr:col>0</xdr:col>
      <xdr:colOff>619125</xdr:colOff>
      <xdr:row>24</xdr:row>
      <xdr:rowOff>219075</xdr:rowOff>
    </xdr:from>
    <xdr:to>
      <xdr:col>0</xdr:col>
      <xdr:colOff>1095375</xdr:colOff>
      <xdr:row>25</xdr:row>
      <xdr:rowOff>152400</xdr:rowOff>
    </xdr:to>
    <xdr:sp macro="" textlink="">
      <xdr:nvSpPr>
        <xdr:cNvPr id="8" name="RPM6">
          <a:extLst>
            <a:ext uri="{FF2B5EF4-FFF2-40B4-BE49-F238E27FC236}">
              <a16:creationId xmlns:a16="http://schemas.microsoft.com/office/drawing/2014/main" id="{21BC3299-4E96-489E-814D-27C71E4FD267}"/>
            </a:ext>
          </a:extLst>
        </xdr:cNvPr>
        <xdr:cNvSpPr txBox="1">
          <a:spLocks noChangeArrowheads="1"/>
        </xdr:cNvSpPr>
      </xdr:nvSpPr>
      <xdr:spPr bwMode="auto">
        <a:xfrm>
          <a:off x="619125" y="5979795"/>
          <a:ext cx="476250" cy="1695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1190</a:t>
          </a:r>
        </a:p>
      </xdr:txBody>
    </xdr:sp>
    <xdr:clientData/>
  </xdr:twoCellAnchor>
  <xdr:twoCellAnchor>
    <xdr:from>
      <xdr:col>0</xdr:col>
      <xdr:colOff>609600</xdr:colOff>
      <xdr:row>26</xdr:row>
      <xdr:rowOff>152400</xdr:rowOff>
    </xdr:from>
    <xdr:to>
      <xdr:col>0</xdr:col>
      <xdr:colOff>1085850</xdr:colOff>
      <xdr:row>27</xdr:row>
      <xdr:rowOff>85725</xdr:rowOff>
    </xdr:to>
    <xdr:sp macro="" textlink="">
      <xdr:nvSpPr>
        <xdr:cNvPr id="9" name="RPM5">
          <a:extLst>
            <a:ext uri="{FF2B5EF4-FFF2-40B4-BE49-F238E27FC236}">
              <a16:creationId xmlns:a16="http://schemas.microsoft.com/office/drawing/2014/main" id="{66C549AE-2838-4E69-8E4A-9ABF4E101262}"/>
            </a:ext>
          </a:extLst>
        </xdr:cNvPr>
        <xdr:cNvSpPr txBox="1">
          <a:spLocks noChangeArrowheads="1"/>
        </xdr:cNvSpPr>
      </xdr:nvSpPr>
      <xdr:spPr bwMode="auto">
        <a:xfrm>
          <a:off x="609600" y="6385560"/>
          <a:ext cx="476250" cy="1695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1188</a:t>
          </a:r>
        </a:p>
      </xdr:txBody>
    </xdr:sp>
    <xdr:clientData/>
  </xdr:twoCellAnchor>
  <xdr:twoCellAnchor>
    <xdr:from>
      <xdr:col>0</xdr:col>
      <xdr:colOff>600075</xdr:colOff>
      <xdr:row>28</xdr:row>
      <xdr:rowOff>85725</xdr:rowOff>
    </xdr:from>
    <xdr:to>
      <xdr:col>0</xdr:col>
      <xdr:colOff>1076325</xdr:colOff>
      <xdr:row>29</xdr:row>
      <xdr:rowOff>19050</xdr:rowOff>
    </xdr:to>
    <xdr:sp macro="" textlink="">
      <xdr:nvSpPr>
        <xdr:cNvPr id="10" name="RPM4">
          <a:extLst>
            <a:ext uri="{FF2B5EF4-FFF2-40B4-BE49-F238E27FC236}">
              <a16:creationId xmlns:a16="http://schemas.microsoft.com/office/drawing/2014/main" id="{E7DA66EC-E23B-44CB-AAF4-D98E7EF82515}"/>
            </a:ext>
          </a:extLst>
        </xdr:cNvPr>
        <xdr:cNvSpPr txBox="1">
          <a:spLocks noChangeArrowheads="1"/>
        </xdr:cNvSpPr>
      </xdr:nvSpPr>
      <xdr:spPr bwMode="auto">
        <a:xfrm>
          <a:off x="600075" y="6791325"/>
          <a:ext cx="476250" cy="1695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1186</a:t>
          </a:r>
        </a:p>
      </xdr:txBody>
    </xdr:sp>
    <xdr:clientData/>
  </xdr:twoCellAnchor>
  <xdr:twoCellAnchor>
    <xdr:from>
      <xdr:col>0</xdr:col>
      <xdr:colOff>600075</xdr:colOff>
      <xdr:row>30</xdr:row>
      <xdr:rowOff>28575</xdr:rowOff>
    </xdr:from>
    <xdr:to>
      <xdr:col>0</xdr:col>
      <xdr:colOff>1076325</xdr:colOff>
      <xdr:row>30</xdr:row>
      <xdr:rowOff>200025</xdr:rowOff>
    </xdr:to>
    <xdr:sp macro="" textlink="">
      <xdr:nvSpPr>
        <xdr:cNvPr id="11" name="RPM3">
          <a:extLst>
            <a:ext uri="{FF2B5EF4-FFF2-40B4-BE49-F238E27FC236}">
              <a16:creationId xmlns:a16="http://schemas.microsoft.com/office/drawing/2014/main" id="{CD8B919A-8088-4AFC-BEB8-657FCBDF7C82}"/>
            </a:ext>
          </a:extLst>
        </xdr:cNvPr>
        <xdr:cNvSpPr txBox="1">
          <a:spLocks noChangeArrowheads="1"/>
        </xdr:cNvSpPr>
      </xdr:nvSpPr>
      <xdr:spPr bwMode="auto">
        <a:xfrm>
          <a:off x="600075" y="720661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1184</a:t>
          </a:r>
        </a:p>
      </xdr:txBody>
    </xdr:sp>
    <xdr:clientData/>
  </xdr:twoCellAnchor>
  <xdr:twoCellAnchor>
    <xdr:from>
      <xdr:col>0</xdr:col>
      <xdr:colOff>600075</xdr:colOff>
      <xdr:row>31</xdr:row>
      <xdr:rowOff>200025</xdr:rowOff>
    </xdr:from>
    <xdr:to>
      <xdr:col>0</xdr:col>
      <xdr:colOff>1076325</xdr:colOff>
      <xdr:row>32</xdr:row>
      <xdr:rowOff>133350</xdr:rowOff>
    </xdr:to>
    <xdr:sp macro="" textlink="">
      <xdr:nvSpPr>
        <xdr:cNvPr id="12" name="RPM2">
          <a:extLst>
            <a:ext uri="{FF2B5EF4-FFF2-40B4-BE49-F238E27FC236}">
              <a16:creationId xmlns:a16="http://schemas.microsoft.com/office/drawing/2014/main" id="{E8CD3784-EC58-4D89-8966-20A73DCAE24D}"/>
            </a:ext>
          </a:extLst>
        </xdr:cNvPr>
        <xdr:cNvSpPr txBox="1">
          <a:spLocks noChangeArrowheads="1"/>
        </xdr:cNvSpPr>
      </xdr:nvSpPr>
      <xdr:spPr bwMode="auto">
        <a:xfrm>
          <a:off x="600075" y="7614285"/>
          <a:ext cx="476250" cy="1695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1182</a:t>
          </a:r>
        </a:p>
      </xdr:txBody>
    </xdr:sp>
    <xdr:clientData/>
  </xdr:twoCellAnchor>
  <xdr:twoCellAnchor>
    <xdr:from>
      <xdr:col>0</xdr:col>
      <xdr:colOff>609600</xdr:colOff>
      <xdr:row>33</xdr:row>
      <xdr:rowOff>133350</xdr:rowOff>
    </xdr:from>
    <xdr:to>
      <xdr:col>0</xdr:col>
      <xdr:colOff>1085850</xdr:colOff>
      <xdr:row>34</xdr:row>
      <xdr:rowOff>66675</xdr:rowOff>
    </xdr:to>
    <xdr:sp macro="" textlink="">
      <xdr:nvSpPr>
        <xdr:cNvPr id="13" name="RPM1">
          <a:extLst>
            <a:ext uri="{FF2B5EF4-FFF2-40B4-BE49-F238E27FC236}">
              <a16:creationId xmlns:a16="http://schemas.microsoft.com/office/drawing/2014/main" id="{A1E62B2F-7A53-44F1-BEE8-D4BBA91C9114}"/>
            </a:ext>
          </a:extLst>
        </xdr:cNvPr>
        <xdr:cNvSpPr txBox="1">
          <a:spLocks noChangeArrowheads="1"/>
        </xdr:cNvSpPr>
      </xdr:nvSpPr>
      <xdr:spPr bwMode="auto">
        <a:xfrm>
          <a:off x="609600" y="8020050"/>
          <a:ext cx="476250" cy="1695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1180</a:t>
          </a:r>
        </a:p>
      </xdr:txBody>
    </xdr:sp>
    <xdr:clientData/>
  </xdr:twoCellAnchor>
  <xdr:twoCellAnchor>
    <xdr:from>
      <xdr:col>0</xdr:col>
      <xdr:colOff>390525</xdr:colOff>
      <xdr:row>24</xdr:row>
      <xdr:rowOff>104775</xdr:rowOff>
    </xdr:from>
    <xdr:to>
      <xdr:col>0</xdr:col>
      <xdr:colOff>600075</xdr:colOff>
      <xdr:row>26</xdr:row>
      <xdr:rowOff>209550</xdr:rowOff>
    </xdr:to>
    <xdr:sp macro="" textlink="">
      <xdr:nvSpPr>
        <xdr:cNvPr id="14" name="RPM">
          <a:extLst>
            <a:ext uri="{FF2B5EF4-FFF2-40B4-BE49-F238E27FC236}">
              <a16:creationId xmlns:a16="http://schemas.microsoft.com/office/drawing/2014/main" id="{4A9057F0-887C-486C-BCFE-5BCF7D4088E4}"/>
            </a:ext>
          </a:extLst>
        </xdr:cNvPr>
        <xdr:cNvSpPr txBox="1">
          <a:spLocks noChangeArrowheads="1"/>
        </xdr:cNvSpPr>
      </xdr:nvSpPr>
      <xdr:spPr bwMode="auto">
        <a:xfrm>
          <a:off x="390525" y="5865495"/>
          <a:ext cx="209550" cy="57721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352423</xdr:colOff>
      <xdr:row>16</xdr:row>
      <xdr:rowOff>114299</xdr:rowOff>
    </xdr:from>
    <xdr:to>
      <xdr:col>5</xdr:col>
      <xdr:colOff>885824</xdr:colOff>
      <xdr:row>17</xdr:row>
      <xdr:rowOff>38099</xdr:rowOff>
    </xdr:to>
    <xdr:sp macro="" textlink="">
      <xdr:nvSpPr>
        <xdr:cNvPr id="15" name="Watts11">
          <a:extLst>
            <a:ext uri="{FF2B5EF4-FFF2-40B4-BE49-F238E27FC236}">
              <a16:creationId xmlns:a16="http://schemas.microsoft.com/office/drawing/2014/main" id="{325DEA5A-B457-4FFB-8392-657F03989236}"/>
            </a:ext>
          </a:extLst>
        </xdr:cNvPr>
        <xdr:cNvSpPr txBox="1">
          <a:spLocks noChangeArrowheads="1"/>
        </xdr:cNvSpPr>
      </xdr:nvSpPr>
      <xdr:spPr bwMode="auto">
        <a:xfrm>
          <a:off x="6067423" y="3985259"/>
          <a:ext cx="533401" cy="1600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1000</a:t>
          </a:r>
        </a:p>
      </xdr:txBody>
    </xdr:sp>
    <xdr:clientData/>
  </xdr:twoCellAnchor>
  <xdr:twoCellAnchor>
    <xdr:from>
      <xdr:col>5</xdr:col>
      <xdr:colOff>381000</xdr:colOff>
      <xdr:row>25</xdr:row>
      <xdr:rowOff>0</xdr:rowOff>
    </xdr:from>
    <xdr:to>
      <xdr:col>5</xdr:col>
      <xdr:colOff>851209</xdr:colOff>
      <xdr:row>25</xdr:row>
      <xdr:rowOff>200025</xdr:rowOff>
    </xdr:to>
    <xdr:sp macro="" textlink="">
      <xdr:nvSpPr>
        <xdr:cNvPr id="16" name="Watts6">
          <a:extLst>
            <a:ext uri="{FF2B5EF4-FFF2-40B4-BE49-F238E27FC236}">
              <a16:creationId xmlns:a16="http://schemas.microsoft.com/office/drawing/2014/main" id="{C08B5746-0F7B-47B9-92C4-05B9C433AC4D}"/>
            </a:ext>
          </a:extLst>
        </xdr:cNvPr>
        <xdr:cNvSpPr txBox="1">
          <a:spLocks noChangeArrowheads="1"/>
        </xdr:cNvSpPr>
      </xdr:nvSpPr>
      <xdr:spPr bwMode="auto">
        <a:xfrm>
          <a:off x="6096000" y="5996940"/>
          <a:ext cx="470209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500</a:t>
          </a:r>
        </a:p>
      </xdr:txBody>
    </xdr:sp>
    <xdr:clientData/>
  </xdr:twoCellAnchor>
  <xdr:twoCellAnchor>
    <xdr:from>
      <xdr:col>5</xdr:col>
      <xdr:colOff>371474</xdr:colOff>
      <xdr:row>26</xdr:row>
      <xdr:rowOff>180975</xdr:rowOff>
    </xdr:from>
    <xdr:to>
      <xdr:col>5</xdr:col>
      <xdr:colOff>788250</xdr:colOff>
      <xdr:row>27</xdr:row>
      <xdr:rowOff>133350</xdr:rowOff>
    </xdr:to>
    <xdr:sp macro="" textlink="">
      <xdr:nvSpPr>
        <xdr:cNvPr id="17" name="Watts5">
          <a:extLst>
            <a:ext uri="{FF2B5EF4-FFF2-40B4-BE49-F238E27FC236}">
              <a16:creationId xmlns:a16="http://schemas.microsoft.com/office/drawing/2014/main" id="{AAF49A16-1866-4F11-B5A2-F0A8DA518EB5}"/>
            </a:ext>
          </a:extLst>
        </xdr:cNvPr>
        <xdr:cNvSpPr txBox="1">
          <a:spLocks noChangeArrowheads="1"/>
        </xdr:cNvSpPr>
      </xdr:nvSpPr>
      <xdr:spPr bwMode="auto">
        <a:xfrm>
          <a:off x="6086474" y="6414135"/>
          <a:ext cx="416776" cy="188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</a:t>
          </a:r>
        </a:p>
      </xdr:txBody>
    </xdr:sp>
    <xdr:clientData/>
  </xdr:twoCellAnchor>
  <xdr:twoCellAnchor>
    <xdr:from>
      <xdr:col>5</xdr:col>
      <xdr:colOff>380999</xdr:colOff>
      <xdr:row>28</xdr:row>
      <xdr:rowOff>114300</xdr:rowOff>
    </xdr:from>
    <xdr:to>
      <xdr:col>5</xdr:col>
      <xdr:colOff>797775</xdr:colOff>
      <xdr:row>29</xdr:row>
      <xdr:rowOff>66675</xdr:rowOff>
    </xdr:to>
    <xdr:sp macro="" textlink="">
      <xdr:nvSpPr>
        <xdr:cNvPr id="18" name="Watts4">
          <a:extLst>
            <a:ext uri="{FF2B5EF4-FFF2-40B4-BE49-F238E27FC236}">
              <a16:creationId xmlns:a16="http://schemas.microsoft.com/office/drawing/2014/main" id="{7B859312-2D9D-468B-9FBB-716CA390D28F}"/>
            </a:ext>
          </a:extLst>
        </xdr:cNvPr>
        <xdr:cNvSpPr txBox="1">
          <a:spLocks noChangeArrowheads="1"/>
        </xdr:cNvSpPr>
      </xdr:nvSpPr>
      <xdr:spPr bwMode="auto">
        <a:xfrm>
          <a:off x="6095999" y="6819900"/>
          <a:ext cx="416776" cy="188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300</a:t>
          </a:r>
        </a:p>
      </xdr:txBody>
    </xdr:sp>
    <xdr:clientData/>
  </xdr:twoCellAnchor>
  <xdr:twoCellAnchor>
    <xdr:from>
      <xdr:col>5</xdr:col>
      <xdr:colOff>371474</xdr:colOff>
      <xdr:row>30</xdr:row>
      <xdr:rowOff>38100</xdr:rowOff>
    </xdr:from>
    <xdr:to>
      <xdr:col>5</xdr:col>
      <xdr:colOff>788250</xdr:colOff>
      <xdr:row>30</xdr:row>
      <xdr:rowOff>228600</xdr:rowOff>
    </xdr:to>
    <xdr:sp macro="" textlink="">
      <xdr:nvSpPr>
        <xdr:cNvPr id="19" name="Watts3">
          <a:extLst>
            <a:ext uri="{FF2B5EF4-FFF2-40B4-BE49-F238E27FC236}">
              <a16:creationId xmlns:a16="http://schemas.microsoft.com/office/drawing/2014/main" id="{7E4C89B8-8514-4EC8-9685-F381BFD988DD}"/>
            </a:ext>
          </a:extLst>
        </xdr:cNvPr>
        <xdr:cNvSpPr txBox="1">
          <a:spLocks noChangeArrowheads="1"/>
        </xdr:cNvSpPr>
      </xdr:nvSpPr>
      <xdr:spPr bwMode="auto">
        <a:xfrm>
          <a:off x="6086474" y="7216140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200</a:t>
          </a:r>
        </a:p>
      </xdr:txBody>
    </xdr:sp>
    <xdr:clientData/>
  </xdr:twoCellAnchor>
  <xdr:twoCellAnchor>
    <xdr:from>
      <xdr:col>5</xdr:col>
      <xdr:colOff>371474</xdr:colOff>
      <xdr:row>31</xdr:row>
      <xdr:rowOff>219075</xdr:rowOff>
    </xdr:from>
    <xdr:to>
      <xdr:col>5</xdr:col>
      <xdr:colOff>788250</xdr:colOff>
      <xdr:row>32</xdr:row>
      <xdr:rowOff>171450</xdr:rowOff>
    </xdr:to>
    <xdr:sp macro="" textlink="">
      <xdr:nvSpPr>
        <xdr:cNvPr id="20" name="Watts2">
          <a:extLst>
            <a:ext uri="{FF2B5EF4-FFF2-40B4-BE49-F238E27FC236}">
              <a16:creationId xmlns:a16="http://schemas.microsoft.com/office/drawing/2014/main" id="{1B157491-195C-401D-8464-37C32365349C}"/>
            </a:ext>
          </a:extLst>
        </xdr:cNvPr>
        <xdr:cNvSpPr txBox="1">
          <a:spLocks noChangeArrowheads="1"/>
        </xdr:cNvSpPr>
      </xdr:nvSpPr>
      <xdr:spPr bwMode="auto">
        <a:xfrm>
          <a:off x="6086474" y="7633335"/>
          <a:ext cx="416776" cy="188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100</a:t>
          </a:r>
        </a:p>
      </xdr:txBody>
    </xdr:sp>
    <xdr:clientData/>
  </xdr:twoCellAnchor>
  <xdr:twoCellAnchor>
    <xdr:from>
      <xdr:col>5</xdr:col>
      <xdr:colOff>733425</xdr:colOff>
      <xdr:row>23</xdr:row>
      <xdr:rowOff>9525</xdr:rowOff>
    </xdr:from>
    <xdr:to>
      <xdr:col>5</xdr:col>
      <xdr:colOff>952500</xdr:colOff>
      <xdr:row>28</xdr:row>
      <xdr:rowOff>142875</xdr:rowOff>
    </xdr:to>
    <xdr:sp macro="" textlink="">
      <xdr:nvSpPr>
        <xdr:cNvPr id="21" name="Input Watts">
          <a:extLst>
            <a:ext uri="{FF2B5EF4-FFF2-40B4-BE49-F238E27FC236}">
              <a16:creationId xmlns:a16="http://schemas.microsoft.com/office/drawing/2014/main" id="{4E6AFE3D-F337-436B-9CC3-3522154FBAF6}"/>
            </a:ext>
          </a:extLst>
        </xdr:cNvPr>
        <xdr:cNvSpPr txBox="1">
          <a:spLocks noChangeArrowheads="1"/>
        </xdr:cNvSpPr>
      </xdr:nvSpPr>
      <xdr:spPr bwMode="auto">
        <a:xfrm>
          <a:off x="6448425" y="5534025"/>
          <a:ext cx="219075" cy="1314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371474</xdr:colOff>
      <xdr:row>23</xdr:row>
      <xdr:rowOff>66675</xdr:rowOff>
    </xdr:from>
    <xdr:to>
      <xdr:col>5</xdr:col>
      <xdr:colOff>788250</xdr:colOff>
      <xdr:row>24</xdr:row>
      <xdr:rowOff>19050</xdr:rowOff>
    </xdr:to>
    <xdr:sp macro="" textlink="">
      <xdr:nvSpPr>
        <xdr:cNvPr id="22" name="Watts7">
          <a:extLst>
            <a:ext uri="{FF2B5EF4-FFF2-40B4-BE49-F238E27FC236}">
              <a16:creationId xmlns:a16="http://schemas.microsoft.com/office/drawing/2014/main" id="{290780A2-C4BB-4DC2-8F26-803E586535C5}"/>
            </a:ext>
          </a:extLst>
        </xdr:cNvPr>
        <xdr:cNvSpPr txBox="1">
          <a:spLocks noChangeArrowheads="1"/>
        </xdr:cNvSpPr>
      </xdr:nvSpPr>
      <xdr:spPr bwMode="auto">
        <a:xfrm>
          <a:off x="6086474" y="5591175"/>
          <a:ext cx="416776" cy="188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600</a:t>
          </a:r>
        </a:p>
      </xdr:txBody>
    </xdr:sp>
    <xdr:clientData/>
  </xdr:twoCellAnchor>
  <xdr:twoCellAnchor>
    <xdr:from>
      <xdr:col>5</xdr:col>
      <xdr:colOff>371474</xdr:colOff>
      <xdr:row>21</xdr:row>
      <xdr:rowOff>133350</xdr:rowOff>
    </xdr:from>
    <xdr:to>
      <xdr:col>5</xdr:col>
      <xdr:colOff>788250</xdr:colOff>
      <xdr:row>22</xdr:row>
      <xdr:rowOff>85725</xdr:rowOff>
    </xdr:to>
    <xdr:sp macro="" textlink="">
      <xdr:nvSpPr>
        <xdr:cNvPr id="23" name="Watts8">
          <a:extLst>
            <a:ext uri="{FF2B5EF4-FFF2-40B4-BE49-F238E27FC236}">
              <a16:creationId xmlns:a16="http://schemas.microsoft.com/office/drawing/2014/main" id="{BD42AB0B-22DA-40D3-BB34-15272B7CA319}"/>
            </a:ext>
          </a:extLst>
        </xdr:cNvPr>
        <xdr:cNvSpPr txBox="1">
          <a:spLocks noChangeArrowheads="1"/>
        </xdr:cNvSpPr>
      </xdr:nvSpPr>
      <xdr:spPr bwMode="auto">
        <a:xfrm>
          <a:off x="6086474" y="5185410"/>
          <a:ext cx="416776" cy="188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700</a:t>
          </a:r>
        </a:p>
      </xdr:txBody>
    </xdr:sp>
    <xdr:clientData/>
  </xdr:twoCellAnchor>
  <xdr:twoCellAnchor>
    <xdr:from>
      <xdr:col>5</xdr:col>
      <xdr:colOff>361949</xdr:colOff>
      <xdr:row>19</xdr:row>
      <xdr:rowOff>200025</xdr:rowOff>
    </xdr:from>
    <xdr:to>
      <xdr:col>5</xdr:col>
      <xdr:colOff>778725</xdr:colOff>
      <xdr:row>20</xdr:row>
      <xdr:rowOff>152400</xdr:rowOff>
    </xdr:to>
    <xdr:sp macro="" textlink="">
      <xdr:nvSpPr>
        <xdr:cNvPr id="24" name="Watts9">
          <a:extLst>
            <a:ext uri="{FF2B5EF4-FFF2-40B4-BE49-F238E27FC236}">
              <a16:creationId xmlns:a16="http://schemas.microsoft.com/office/drawing/2014/main" id="{14F1DF37-BEE7-406A-8206-14107FE23BBE}"/>
            </a:ext>
          </a:extLst>
        </xdr:cNvPr>
        <xdr:cNvSpPr txBox="1">
          <a:spLocks noChangeArrowheads="1"/>
        </xdr:cNvSpPr>
      </xdr:nvSpPr>
      <xdr:spPr bwMode="auto">
        <a:xfrm>
          <a:off x="6076949" y="4779645"/>
          <a:ext cx="416776" cy="1885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800</a:t>
          </a:r>
        </a:p>
      </xdr:txBody>
    </xdr:sp>
    <xdr:clientData/>
  </xdr:twoCellAnchor>
  <xdr:twoCellAnchor>
    <xdr:from>
      <xdr:col>5</xdr:col>
      <xdr:colOff>361949</xdr:colOff>
      <xdr:row>18</xdr:row>
      <xdr:rowOff>28575</xdr:rowOff>
    </xdr:from>
    <xdr:to>
      <xdr:col>5</xdr:col>
      <xdr:colOff>778725</xdr:colOff>
      <xdr:row>18</xdr:row>
      <xdr:rowOff>219075</xdr:rowOff>
    </xdr:to>
    <xdr:sp macro="" textlink="">
      <xdr:nvSpPr>
        <xdr:cNvPr id="25" name="Watts10">
          <a:extLst>
            <a:ext uri="{FF2B5EF4-FFF2-40B4-BE49-F238E27FC236}">
              <a16:creationId xmlns:a16="http://schemas.microsoft.com/office/drawing/2014/main" id="{24D6F0CD-C22E-4052-B452-418CB36CAD1C}"/>
            </a:ext>
          </a:extLst>
        </xdr:cNvPr>
        <xdr:cNvSpPr txBox="1">
          <a:spLocks noChangeArrowheads="1"/>
        </xdr:cNvSpPr>
      </xdr:nvSpPr>
      <xdr:spPr bwMode="auto">
        <a:xfrm>
          <a:off x="6076949" y="4371975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900</a:t>
          </a:r>
        </a:p>
      </xdr:txBody>
    </xdr:sp>
    <xdr:clientData/>
  </xdr:twoCellAnchor>
  <xdr:twoCellAnchor>
    <xdr:from>
      <xdr:col>2</xdr:col>
      <xdr:colOff>857250</xdr:colOff>
      <xdr:row>17</xdr:row>
      <xdr:rowOff>19050</xdr:rowOff>
    </xdr:from>
    <xdr:to>
      <xdr:col>3</xdr:col>
      <xdr:colOff>85725</xdr:colOff>
      <xdr:row>17</xdr:row>
      <xdr:rowOff>161925</xdr:rowOff>
    </xdr:to>
    <xdr:sp macro="" textlink="" fLocksText="0">
      <xdr:nvSpPr>
        <xdr:cNvPr id="26" name="Text Box 26">
          <a:extLst>
            <a:ext uri="{FF2B5EF4-FFF2-40B4-BE49-F238E27FC236}">
              <a16:creationId xmlns:a16="http://schemas.microsoft.com/office/drawing/2014/main" id="{C99D30FF-E3AD-44E3-BAFE-04BEA359F433}"/>
            </a:ext>
          </a:extLst>
        </xdr:cNvPr>
        <xdr:cNvSpPr txBox="1">
          <a:spLocks noChangeArrowheads="1"/>
        </xdr:cNvSpPr>
      </xdr:nvSpPr>
      <xdr:spPr bwMode="auto">
        <a:xfrm>
          <a:off x="3143250" y="4126230"/>
          <a:ext cx="371475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904875</xdr:colOff>
      <xdr:row>19</xdr:row>
      <xdr:rowOff>133350</xdr:rowOff>
    </xdr:from>
    <xdr:to>
      <xdr:col>4</xdr:col>
      <xdr:colOff>123825</xdr:colOff>
      <xdr:row>20</xdr:row>
      <xdr:rowOff>66675</xdr:rowOff>
    </xdr:to>
    <xdr:sp macro="" textlink="" fLocksText="0">
      <xdr:nvSpPr>
        <xdr:cNvPr id="27" name="Text Box 27">
          <a:extLst>
            <a:ext uri="{FF2B5EF4-FFF2-40B4-BE49-F238E27FC236}">
              <a16:creationId xmlns:a16="http://schemas.microsoft.com/office/drawing/2014/main" id="{13D5B578-2565-419A-8356-7B10DA7DC8AA}"/>
            </a:ext>
          </a:extLst>
        </xdr:cNvPr>
        <xdr:cNvSpPr txBox="1">
          <a:spLocks noChangeArrowheads="1"/>
        </xdr:cNvSpPr>
      </xdr:nvSpPr>
      <xdr:spPr bwMode="auto">
        <a:xfrm>
          <a:off x="4333875" y="4712970"/>
          <a:ext cx="361950" cy="1695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3</xdr:col>
      <xdr:colOff>180975</xdr:colOff>
      <xdr:row>22</xdr:row>
      <xdr:rowOff>66675</xdr:rowOff>
    </xdr:from>
    <xdr:to>
      <xdr:col>3</xdr:col>
      <xdr:colOff>523875</xdr:colOff>
      <xdr:row>22</xdr:row>
      <xdr:rowOff>209550</xdr:rowOff>
    </xdr:to>
    <xdr:sp macro="" textlink="" fLocksText="0">
      <xdr:nvSpPr>
        <xdr:cNvPr id="28" name="Speed">
          <a:extLst>
            <a:ext uri="{FF2B5EF4-FFF2-40B4-BE49-F238E27FC236}">
              <a16:creationId xmlns:a16="http://schemas.microsoft.com/office/drawing/2014/main" id="{F34EDF35-2724-48A9-ABE1-75FA50C0E04A}"/>
            </a:ext>
          </a:extLst>
        </xdr:cNvPr>
        <xdr:cNvSpPr txBox="1">
          <a:spLocks noChangeArrowheads="1"/>
        </xdr:cNvSpPr>
      </xdr:nvSpPr>
      <xdr:spPr bwMode="auto">
        <a:xfrm>
          <a:off x="3609975" y="5354955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847725</xdr:colOff>
      <xdr:row>28</xdr:row>
      <xdr:rowOff>180975</xdr:rowOff>
    </xdr:from>
    <xdr:to>
      <xdr:col>2</xdr:col>
      <xdr:colOff>171450</xdr:colOff>
      <xdr:row>29</xdr:row>
      <xdr:rowOff>97155</xdr:rowOff>
    </xdr:to>
    <xdr:sp macro="" textlink="" fLocksText="0">
      <xdr:nvSpPr>
        <xdr:cNvPr id="29" name="Amps">
          <a:extLst>
            <a:ext uri="{FF2B5EF4-FFF2-40B4-BE49-F238E27FC236}">
              <a16:creationId xmlns:a16="http://schemas.microsoft.com/office/drawing/2014/main" id="{A1E90763-AFD3-40B5-B63E-6A1105A5E2E1}"/>
            </a:ext>
          </a:extLst>
        </xdr:cNvPr>
        <xdr:cNvSpPr txBox="1">
          <a:spLocks noChangeArrowheads="1"/>
        </xdr:cNvSpPr>
      </xdr:nvSpPr>
      <xdr:spPr bwMode="auto">
        <a:xfrm>
          <a:off x="1990725" y="6886575"/>
          <a:ext cx="4667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523875</xdr:colOff>
      <xdr:row>31</xdr:row>
      <xdr:rowOff>171450</xdr:rowOff>
    </xdr:from>
    <xdr:to>
      <xdr:col>2</xdr:col>
      <xdr:colOff>1028700</xdr:colOff>
      <xdr:row>32</xdr:row>
      <xdr:rowOff>85725</xdr:rowOff>
    </xdr:to>
    <xdr:sp macro="" textlink="" fLocksText="0">
      <xdr:nvSpPr>
        <xdr:cNvPr id="30" name="Watts">
          <a:extLst>
            <a:ext uri="{FF2B5EF4-FFF2-40B4-BE49-F238E27FC236}">
              <a16:creationId xmlns:a16="http://schemas.microsoft.com/office/drawing/2014/main" id="{0E36FABA-5003-4915-881A-348CDFB61CE0}"/>
            </a:ext>
          </a:extLst>
        </xdr:cNvPr>
        <xdr:cNvSpPr txBox="1">
          <a:spLocks noChangeArrowheads="1"/>
        </xdr:cNvSpPr>
      </xdr:nvSpPr>
      <xdr:spPr bwMode="auto">
        <a:xfrm>
          <a:off x="2809875" y="7585710"/>
          <a:ext cx="504825" cy="1504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361949</xdr:colOff>
      <xdr:row>33</xdr:row>
      <xdr:rowOff>142875</xdr:rowOff>
    </xdr:from>
    <xdr:to>
      <xdr:col>5</xdr:col>
      <xdr:colOff>800098</xdr:colOff>
      <xdr:row>34</xdr:row>
      <xdr:rowOff>104775</xdr:rowOff>
    </xdr:to>
    <xdr:sp macro="" textlink="">
      <xdr:nvSpPr>
        <xdr:cNvPr id="31" name="Watts1">
          <a:extLst>
            <a:ext uri="{FF2B5EF4-FFF2-40B4-BE49-F238E27FC236}">
              <a16:creationId xmlns:a16="http://schemas.microsoft.com/office/drawing/2014/main" id="{CC093B61-3269-45CF-B88B-D486DB0C8334}"/>
            </a:ext>
          </a:extLst>
        </xdr:cNvPr>
        <xdr:cNvSpPr txBox="1">
          <a:spLocks noChangeArrowheads="1"/>
        </xdr:cNvSpPr>
      </xdr:nvSpPr>
      <xdr:spPr bwMode="auto">
        <a:xfrm>
          <a:off x="6076949" y="8029575"/>
          <a:ext cx="438149" cy="1981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>
    <pageSetUpPr fitToPage="1"/>
  </sheetPr>
  <dimension ref="A1:O113"/>
  <sheetViews>
    <sheetView topLeftCell="A10" zoomScale="95" zoomScaleNormal="95" workbookViewId="0">
      <selection activeCell="N24" sqref="N24"/>
    </sheetView>
  </sheetViews>
  <sheetFormatPr defaultRowHeight="13.2"/>
  <cols>
    <col min="1" max="6" width="12.33203125" customWidth="1"/>
    <col min="7" max="7" width="12.44140625" customWidth="1"/>
    <col min="8" max="8" width="12.6640625" customWidth="1"/>
    <col min="9" max="10" width="12.33203125" customWidth="1"/>
    <col min="12" max="12" width="13.44140625" bestFit="1" customWidth="1"/>
    <col min="13" max="13" width="9" bestFit="1" customWidth="1"/>
  </cols>
  <sheetData>
    <row r="1" spans="1:10" ht="17.399999999999999">
      <c r="A1" s="32" t="s">
        <v>168</v>
      </c>
      <c r="B1" s="2"/>
      <c r="C1" s="2"/>
      <c r="D1" s="2"/>
      <c r="E1" s="2"/>
      <c r="F1" s="2"/>
      <c r="G1" s="2"/>
      <c r="H1" s="2"/>
      <c r="I1" s="122" t="s">
        <v>0</v>
      </c>
      <c r="J1" s="122" t="s">
        <v>217</v>
      </c>
    </row>
    <row r="2" spans="1:10" ht="17.399999999999999">
      <c r="A2" s="32" t="s">
        <v>174</v>
      </c>
      <c r="B2" s="2"/>
      <c r="C2" s="2"/>
      <c r="D2" s="2"/>
      <c r="E2" s="2"/>
      <c r="F2" s="2"/>
      <c r="G2" s="2"/>
      <c r="H2" s="2"/>
      <c r="I2" s="2"/>
      <c r="J2" s="128" t="s">
        <v>218</v>
      </c>
    </row>
    <row r="3" spans="1:10" ht="15" customHeight="1" thickBot="1">
      <c r="A3" s="47" t="s">
        <v>1</v>
      </c>
      <c r="B3" s="94" t="s">
        <v>216</v>
      </c>
      <c r="C3" s="1"/>
      <c r="D3" s="47"/>
      <c r="E3" s="1"/>
      <c r="F3" s="1"/>
      <c r="G3" s="47" t="s">
        <v>2</v>
      </c>
      <c r="H3" s="169">
        <v>43608</v>
      </c>
      <c r="I3" s="47" t="s">
        <v>3</v>
      </c>
      <c r="J3" s="170">
        <v>0.55914351851851851</v>
      </c>
    </row>
    <row r="4" spans="1:10" ht="15" customHeight="1" thickBot="1">
      <c r="A4" s="11" t="s">
        <v>4</v>
      </c>
      <c r="B4" s="11" t="s">
        <v>172</v>
      </c>
      <c r="C4" s="11" t="s">
        <v>5</v>
      </c>
      <c r="D4" s="11" t="s">
        <v>173</v>
      </c>
      <c r="E4" s="155" t="s">
        <v>6</v>
      </c>
      <c r="F4" s="11" t="s">
        <v>7</v>
      </c>
      <c r="G4" s="11" t="s">
        <v>176</v>
      </c>
      <c r="H4" s="11" t="s">
        <v>8</v>
      </c>
      <c r="I4" s="11" t="s">
        <v>9</v>
      </c>
      <c r="J4" s="11" t="s">
        <v>10</v>
      </c>
    </row>
    <row r="5" spans="1:10" ht="15" customHeight="1" thickBot="1">
      <c r="A5" s="48">
        <v>6</v>
      </c>
      <c r="B5" s="110">
        <v>500</v>
      </c>
      <c r="C5" s="138">
        <v>1200</v>
      </c>
      <c r="D5" s="48" t="s">
        <v>193</v>
      </c>
      <c r="E5" s="156">
        <v>4000</v>
      </c>
      <c r="F5" s="138">
        <v>60</v>
      </c>
      <c r="G5" s="48">
        <v>105</v>
      </c>
      <c r="H5" s="76" t="s">
        <v>251</v>
      </c>
      <c r="I5" s="75" t="s">
        <v>256</v>
      </c>
      <c r="J5" s="48" t="s">
        <v>194</v>
      </c>
    </row>
    <row r="6" spans="1:10" ht="15" customHeight="1" thickBot="1">
      <c r="A6" s="22" t="s">
        <v>11</v>
      </c>
      <c r="B6" s="23"/>
      <c r="C6" s="24"/>
      <c r="D6" s="106" t="s">
        <v>12</v>
      </c>
      <c r="E6" s="152" t="s">
        <v>267</v>
      </c>
      <c r="F6" s="13"/>
      <c r="G6" s="14"/>
      <c r="H6" s="41" t="s">
        <v>13</v>
      </c>
      <c r="I6" s="17"/>
      <c r="J6" s="28"/>
    </row>
    <row r="7" spans="1:10" ht="15" customHeight="1" thickBot="1">
      <c r="A7" s="140"/>
      <c r="B7" s="3" t="s">
        <v>14</v>
      </c>
      <c r="C7" s="15" t="s">
        <v>15</v>
      </c>
      <c r="D7" s="140"/>
      <c r="E7" s="157"/>
      <c r="F7" s="3" t="s">
        <v>16</v>
      </c>
      <c r="G7" s="15" t="s">
        <v>17</v>
      </c>
      <c r="H7" s="9" t="s">
        <v>18</v>
      </c>
      <c r="I7" s="66">
        <v>18.544107638888889</v>
      </c>
      <c r="J7" s="104" t="s">
        <v>19</v>
      </c>
    </row>
    <row r="8" spans="1:10" ht="15" customHeight="1">
      <c r="A8" s="9" t="s">
        <v>20</v>
      </c>
      <c r="B8" s="67">
        <v>1.3999999761581421</v>
      </c>
      <c r="C8" s="50"/>
      <c r="D8" s="5"/>
      <c r="E8" s="49"/>
      <c r="F8" s="3"/>
      <c r="G8" s="15"/>
      <c r="H8" s="9" t="s">
        <v>21</v>
      </c>
      <c r="I8" s="66">
        <v>22.868608588789701</v>
      </c>
      <c r="J8" s="101" t="s">
        <v>22</v>
      </c>
    </row>
    <row r="9" spans="1:10" ht="15" customHeight="1" thickBot="1">
      <c r="A9" s="9" t="s">
        <v>23</v>
      </c>
      <c r="B9" s="67">
        <v>0.93000000715255737</v>
      </c>
      <c r="C9" s="50"/>
      <c r="D9" s="9" t="s">
        <v>24</v>
      </c>
      <c r="E9" s="51" t="s">
        <v>200</v>
      </c>
      <c r="F9" s="105" t="s">
        <v>25</v>
      </c>
      <c r="G9" s="29"/>
      <c r="H9" s="9" t="s">
        <v>26</v>
      </c>
      <c r="I9" s="67">
        <v>20.706358113839293</v>
      </c>
      <c r="J9" s="102">
        <v>858.97827038465391</v>
      </c>
    </row>
    <row r="10" spans="1:10" ht="15" customHeight="1">
      <c r="A10" s="9" t="s">
        <v>27</v>
      </c>
      <c r="B10" s="67">
        <v>550</v>
      </c>
      <c r="C10" s="71">
        <v>550</v>
      </c>
      <c r="D10" s="5"/>
      <c r="E10" s="49"/>
      <c r="F10" s="114" t="s">
        <v>211</v>
      </c>
      <c r="G10" s="112" t="s">
        <v>212</v>
      </c>
      <c r="H10" s="9" t="s">
        <v>28</v>
      </c>
      <c r="I10" s="66">
        <v>10.741521107068802</v>
      </c>
      <c r="J10" s="101" t="s">
        <v>29</v>
      </c>
    </row>
    <row r="11" spans="1:10" ht="15" customHeight="1" thickBot="1">
      <c r="A11" s="9" t="s">
        <v>30</v>
      </c>
      <c r="B11" s="67">
        <v>610</v>
      </c>
      <c r="C11" s="71">
        <v>422.20000004768372</v>
      </c>
      <c r="D11" s="9" t="s">
        <v>31</v>
      </c>
      <c r="E11" s="66">
        <v>0.83324999999999994</v>
      </c>
      <c r="F11" s="115"/>
      <c r="G11" s="111" t="s">
        <v>213</v>
      </c>
      <c r="H11" s="9" t="s">
        <v>32</v>
      </c>
      <c r="I11" s="66">
        <v>22.868608588789701</v>
      </c>
      <c r="J11" s="102">
        <v>22580.863255891418</v>
      </c>
    </row>
    <row r="12" spans="1:10" ht="15" customHeight="1">
      <c r="A12" s="9" t="s">
        <v>33</v>
      </c>
      <c r="B12" s="67">
        <v>425</v>
      </c>
      <c r="C12" s="71">
        <v>155</v>
      </c>
      <c r="D12" s="9" t="s">
        <v>34</v>
      </c>
      <c r="E12" s="151" t="s">
        <v>175</v>
      </c>
      <c r="F12" s="121"/>
      <c r="G12" s="113" t="s">
        <v>207</v>
      </c>
      <c r="H12" s="9" t="s">
        <v>35</v>
      </c>
      <c r="I12" s="66">
        <v>1.2718253840593732</v>
      </c>
      <c r="J12" s="101" t="s">
        <v>36</v>
      </c>
    </row>
    <row r="13" spans="1:10" ht="15" customHeight="1" thickBot="1">
      <c r="A13" s="9" t="s">
        <v>37</v>
      </c>
      <c r="B13" s="67">
        <v>41.5</v>
      </c>
      <c r="C13" s="71">
        <v>88.600000023841858</v>
      </c>
      <c r="D13" s="9" t="s">
        <v>38</v>
      </c>
      <c r="E13" s="68">
        <v>13</v>
      </c>
      <c r="F13" s="121"/>
      <c r="G13" s="113" t="s">
        <v>208</v>
      </c>
      <c r="H13" s="9" t="s">
        <v>40</v>
      </c>
      <c r="I13" s="66">
        <v>1</v>
      </c>
      <c r="J13" s="102">
        <v>67.981460571289063</v>
      </c>
    </row>
    <row r="14" spans="1:10" ht="15" customHeight="1" thickBot="1">
      <c r="A14" s="160" t="s">
        <v>41</v>
      </c>
      <c r="B14" s="131">
        <v>511.5</v>
      </c>
      <c r="C14" s="132">
        <v>511.5</v>
      </c>
      <c r="D14" s="9" t="s">
        <v>42</v>
      </c>
      <c r="E14" s="49" t="s">
        <v>201</v>
      </c>
      <c r="F14" s="49"/>
      <c r="G14" s="113"/>
      <c r="H14" s="47" t="s">
        <v>43</v>
      </c>
      <c r="I14" s="66">
        <v>1.2718253840593732</v>
      </c>
      <c r="J14" s="101" t="s">
        <v>44</v>
      </c>
    </row>
    <row r="15" spans="1:10" ht="15" customHeight="1" thickBot="1">
      <c r="A15" s="12" t="s">
        <v>45</v>
      </c>
      <c r="B15" s="136"/>
      <c r="C15" s="137"/>
      <c r="D15" s="9" t="s">
        <v>46</v>
      </c>
      <c r="E15" s="49" t="s">
        <v>202</v>
      </c>
      <c r="F15" s="49"/>
      <c r="G15" s="113"/>
      <c r="H15" s="9" t="s">
        <v>47</v>
      </c>
      <c r="I15" s="66">
        <v>0.96589165240170005</v>
      </c>
      <c r="J15" s="102">
        <v>14.804286858974359</v>
      </c>
    </row>
    <row r="16" spans="1:10" ht="15" customHeight="1">
      <c r="A16" s="9" t="s">
        <v>48</v>
      </c>
      <c r="B16" s="49">
        <v>72</v>
      </c>
      <c r="C16" s="50">
        <v>58</v>
      </c>
      <c r="D16" s="9" t="s">
        <v>49</v>
      </c>
      <c r="E16" s="49">
        <v>1</v>
      </c>
      <c r="F16" s="49"/>
      <c r="G16" s="113"/>
      <c r="H16" s="9" t="s">
        <v>50</v>
      </c>
      <c r="I16" s="66">
        <v>0.95749474318512517</v>
      </c>
      <c r="J16" s="103" t="s">
        <v>51</v>
      </c>
    </row>
    <row r="17" spans="1:14" ht="15" customHeight="1" thickBot="1">
      <c r="A17" s="9" t="s">
        <v>52</v>
      </c>
      <c r="B17" s="49" t="s">
        <v>195</v>
      </c>
      <c r="C17" s="50" t="s">
        <v>196</v>
      </c>
      <c r="D17" s="47" t="s">
        <v>53</v>
      </c>
      <c r="E17" s="49" t="s">
        <v>203</v>
      </c>
      <c r="F17" s="49"/>
      <c r="G17" s="113"/>
      <c r="H17" s="9" t="s">
        <v>54</v>
      </c>
      <c r="I17" s="66">
        <v>0.92483617966102194</v>
      </c>
      <c r="J17" s="102">
        <v>476.57132100194724</v>
      </c>
    </row>
    <row r="18" spans="1:14" ht="15" customHeight="1">
      <c r="A18" s="9" t="s">
        <v>55</v>
      </c>
      <c r="B18" s="49" t="s">
        <v>175</v>
      </c>
      <c r="C18" s="71">
        <v>0.80000001192092896</v>
      </c>
      <c r="D18" s="9" t="s">
        <v>56</v>
      </c>
      <c r="E18" s="135">
        <v>915</v>
      </c>
      <c r="F18" s="68">
        <v>590.2595100065015</v>
      </c>
      <c r="G18" s="72"/>
      <c r="H18" s="12" t="s">
        <v>57</v>
      </c>
      <c r="I18" s="129" t="s">
        <v>214</v>
      </c>
      <c r="J18" s="130"/>
    </row>
    <row r="19" spans="1:14" ht="15" customHeight="1">
      <c r="A19" s="9" t="s">
        <v>58</v>
      </c>
      <c r="B19" s="67">
        <v>51</v>
      </c>
      <c r="C19" s="71">
        <v>45</v>
      </c>
      <c r="D19" s="9" t="s">
        <v>59</v>
      </c>
      <c r="E19" s="68">
        <v>312</v>
      </c>
      <c r="F19" s="49"/>
      <c r="G19" s="50"/>
      <c r="H19" s="141"/>
      <c r="I19" s="3" t="s">
        <v>60</v>
      </c>
      <c r="J19" s="30" t="s">
        <v>61</v>
      </c>
    </row>
    <row r="20" spans="1:14" ht="15" customHeight="1">
      <c r="A20" s="9" t="s">
        <v>62</v>
      </c>
      <c r="B20" s="67" t="s">
        <v>197</v>
      </c>
      <c r="C20" s="71"/>
      <c r="D20" s="9" t="s">
        <v>167</v>
      </c>
      <c r="E20" s="159">
        <v>0.25478474281568436</v>
      </c>
      <c r="F20" s="49"/>
      <c r="G20" s="50"/>
      <c r="H20" s="9" t="s">
        <v>63</v>
      </c>
      <c r="I20" s="66">
        <v>20.357692718505859</v>
      </c>
      <c r="J20" s="70">
        <v>20.357692718505859</v>
      </c>
    </row>
    <row r="21" spans="1:14" ht="15" customHeight="1">
      <c r="A21" s="9" t="s">
        <v>64</v>
      </c>
      <c r="B21" s="67">
        <v>11.5</v>
      </c>
      <c r="C21" s="71">
        <v>0</v>
      </c>
      <c r="D21" s="9" t="s">
        <v>204</v>
      </c>
      <c r="E21" s="65">
        <v>0.33987984355962608</v>
      </c>
      <c r="F21" s="65">
        <v>0.25588124990463257</v>
      </c>
      <c r="G21" s="69">
        <v>3.9307969042605397E-2</v>
      </c>
      <c r="H21" s="9" t="s">
        <v>65</v>
      </c>
      <c r="I21" s="66">
        <v>43.756229400634766</v>
      </c>
      <c r="J21" s="70">
        <v>23.79022216796875</v>
      </c>
    </row>
    <row r="22" spans="1:14" ht="15" customHeight="1">
      <c r="A22" s="9" t="s">
        <v>66</v>
      </c>
      <c r="B22" s="67">
        <v>2.8299999237060547</v>
      </c>
      <c r="C22" s="71">
        <v>0.69999998807907104</v>
      </c>
      <c r="D22" s="9" t="s">
        <v>67</v>
      </c>
      <c r="E22" s="49" t="s">
        <v>205</v>
      </c>
      <c r="F22" s="49" t="s">
        <v>206</v>
      </c>
      <c r="G22" s="50" t="s">
        <v>206</v>
      </c>
      <c r="H22" s="9" t="s">
        <v>68</v>
      </c>
      <c r="I22" s="66">
        <v>7.5531363487243652</v>
      </c>
      <c r="J22" s="70">
        <v>6.1741771697998047</v>
      </c>
    </row>
    <row r="23" spans="1:14" ht="15" customHeight="1">
      <c r="A23" s="9" t="s">
        <v>69</v>
      </c>
      <c r="B23" s="67">
        <v>7.0441074371337891</v>
      </c>
      <c r="C23" s="71">
        <v>8.5</v>
      </c>
      <c r="D23" s="9" t="s">
        <v>70</v>
      </c>
      <c r="E23" s="66">
        <v>1.7419999837875366</v>
      </c>
      <c r="F23" s="66">
        <v>3.25</v>
      </c>
      <c r="G23" s="70">
        <v>3.25</v>
      </c>
      <c r="H23" s="9" t="s">
        <v>71</v>
      </c>
      <c r="I23" s="66">
        <v>5.6983994348341209</v>
      </c>
      <c r="J23" s="15" t="s">
        <v>215</v>
      </c>
    </row>
    <row r="24" spans="1:14" ht="15" customHeight="1">
      <c r="A24" s="9" t="s">
        <v>72</v>
      </c>
      <c r="B24" s="67">
        <v>0</v>
      </c>
      <c r="C24" s="71">
        <v>1.5</v>
      </c>
      <c r="D24" s="9" t="s">
        <v>73</v>
      </c>
      <c r="E24" s="66">
        <v>8.8900003433227539</v>
      </c>
      <c r="F24" s="66">
        <v>2.6700000762939453</v>
      </c>
      <c r="G24" s="70">
        <v>2.6700000762939453</v>
      </c>
      <c r="H24" s="9" t="s">
        <v>74</v>
      </c>
      <c r="I24" s="66">
        <v>4.241288586248201</v>
      </c>
      <c r="J24" s="70">
        <v>3.7865417100676941</v>
      </c>
    </row>
    <row r="25" spans="1:14" ht="15" customHeight="1">
      <c r="A25" s="9" t="s">
        <v>75</v>
      </c>
      <c r="B25" s="49" t="s">
        <v>175</v>
      </c>
      <c r="C25" s="71">
        <v>1.5</v>
      </c>
      <c r="D25" s="107" t="s">
        <v>76</v>
      </c>
      <c r="E25" s="51"/>
      <c r="F25" s="51"/>
      <c r="G25" s="58"/>
      <c r="H25" s="9" t="s">
        <v>77</v>
      </c>
      <c r="I25" s="66">
        <v>0.63506907224655151</v>
      </c>
      <c r="J25" s="70">
        <v>1.6286895275115967</v>
      </c>
    </row>
    <row r="26" spans="1:14" ht="15" customHeight="1">
      <c r="A26" s="9" t="s">
        <v>78</v>
      </c>
      <c r="B26" s="51" t="s">
        <v>198</v>
      </c>
      <c r="C26" s="58" t="s">
        <v>199</v>
      </c>
      <c r="D26" s="9" t="s">
        <v>79</v>
      </c>
      <c r="E26" s="67">
        <v>69.795891254738663</v>
      </c>
      <c r="F26" s="67">
        <v>36.886522606260421</v>
      </c>
      <c r="G26" s="71">
        <v>12.885044516459702</v>
      </c>
      <c r="H26" s="9" t="s">
        <v>80</v>
      </c>
      <c r="I26" s="66">
        <v>10.123662948608398</v>
      </c>
      <c r="J26" s="70">
        <v>6.9664950370788574</v>
      </c>
    </row>
    <row r="27" spans="1:14" ht="15" customHeight="1" thickBot="1">
      <c r="A27" s="9" t="s">
        <v>81</v>
      </c>
      <c r="B27" s="49" t="s">
        <v>175</v>
      </c>
      <c r="C27" s="50" t="s">
        <v>175</v>
      </c>
      <c r="D27" s="10" t="s">
        <v>82</v>
      </c>
      <c r="E27" s="78">
        <v>78.814486295049576</v>
      </c>
      <c r="F27" s="78" t="s">
        <v>175</v>
      </c>
      <c r="G27" s="80" t="s">
        <v>175</v>
      </c>
      <c r="H27" s="10" t="s">
        <v>83</v>
      </c>
      <c r="I27" s="77">
        <v>10.143563270568848</v>
      </c>
      <c r="J27" s="79">
        <v>7.1543469429016113</v>
      </c>
    </row>
    <row r="28" spans="1:14" ht="15" customHeight="1">
      <c r="A28" s="5" t="s">
        <v>84</v>
      </c>
      <c r="B28" s="1"/>
      <c r="C28" s="37"/>
      <c r="D28" s="12" t="s">
        <v>85</v>
      </c>
      <c r="E28" s="21"/>
      <c r="F28" s="18"/>
      <c r="G28" s="40"/>
      <c r="H28" s="14"/>
      <c r="I28" s="27" t="s">
        <v>86</v>
      </c>
      <c r="J28" s="14"/>
    </row>
    <row r="29" spans="1:14" ht="15" customHeight="1">
      <c r="A29" s="6"/>
      <c r="B29" s="33" t="s">
        <v>87</v>
      </c>
      <c r="C29" s="73">
        <v>44.254653267788449</v>
      </c>
      <c r="D29" s="6"/>
      <c r="E29" s="3" t="s">
        <v>88</v>
      </c>
      <c r="F29" s="3" t="s">
        <v>89</v>
      </c>
      <c r="G29" s="3" t="s">
        <v>90</v>
      </c>
      <c r="H29" s="15" t="s">
        <v>91</v>
      </c>
      <c r="I29" s="3" t="s">
        <v>92</v>
      </c>
      <c r="J29" s="15" t="s">
        <v>93</v>
      </c>
      <c r="M29" s="150" t="str">
        <f>RIGHT(F$41,SEARCH("/",F$41,1)-1)</f>
        <v xml:space="preserve"> 1186.6</v>
      </c>
      <c r="N29" t="s">
        <v>187</v>
      </c>
    </row>
    <row r="30" spans="1:14" ht="15" customHeight="1" thickBot="1">
      <c r="A30" s="7"/>
      <c r="B30" s="61" t="s">
        <v>94</v>
      </c>
      <c r="C30" s="74">
        <v>44.287030868688213</v>
      </c>
      <c r="D30" s="9" t="s">
        <v>95</v>
      </c>
      <c r="E30" s="163">
        <v>15.969749166666666</v>
      </c>
      <c r="F30" s="163">
        <v>424.54500000000002</v>
      </c>
      <c r="G30" s="163">
        <v>14.153528695725059</v>
      </c>
      <c r="H30" s="164">
        <v>223.45089048251006</v>
      </c>
      <c r="I30" s="68">
        <v>37911.739332183752</v>
      </c>
      <c r="J30" s="72">
        <v>2361.2311814468721</v>
      </c>
      <c r="M30" s="150" t="str">
        <f>RIGHT(E$41,SEARCH("/",E$41,1)-1)</f>
        <v xml:space="preserve"> 1189.0</v>
      </c>
      <c r="N30" t="s">
        <v>188</v>
      </c>
    </row>
    <row r="31" spans="1:14" ht="15" customHeight="1">
      <c r="A31" s="22" t="s">
        <v>96</v>
      </c>
      <c r="B31" s="142"/>
      <c r="C31" s="26"/>
      <c r="D31" s="9" t="s">
        <v>97</v>
      </c>
      <c r="E31" s="163">
        <v>5.1000000000000005</v>
      </c>
      <c r="F31" s="163">
        <v>432.367314491272</v>
      </c>
      <c r="G31" s="163">
        <v>13.897465508456913</v>
      </c>
      <c r="H31" s="164">
        <v>65.841304918235892</v>
      </c>
      <c r="I31" s="68">
        <v>13230.439823432924</v>
      </c>
      <c r="J31" s="72">
        <v>800.00720718045318</v>
      </c>
      <c r="M31" s="150" t="str">
        <f>RIGHT(D$41,SEARCH("/",D$41,1)-1)</f>
        <v xml:space="preserve"> 1191.3</v>
      </c>
      <c r="N31" t="s">
        <v>189</v>
      </c>
    </row>
    <row r="32" spans="1:14" ht="15" customHeight="1">
      <c r="A32" s="5" t="s">
        <v>98</v>
      </c>
      <c r="B32" s="66" t="s">
        <v>258</v>
      </c>
      <c r="C32" s="108"/>
      <c r="D32" s="9" t="s">
        <v>99</v>
      </c>
      <c r="E32" s="163">
        <v>8.6969683179150223</v>
      </c>
      <c r="F32" s="163">
        <v>906.37800024390219</v>
      </c>
      <c r="G32" s="163">
        <v>6.6294745001640063</v>
      </c>
      <c r="H32" s="164">
        <v>14.350292865173678</v>
      </c>
      <c r="I32" s="8" t="s">
        <v>100</v>
      </c>
      <c r="J32" s="72">
        <v>3161.2383886273255</v>
      </c>
      <c r="M32" s="150" t="str">
        <f>RIGHT(C$41,SEARCH("/",C$41,1)-1)</f>
        <v xml:space="preserve"> 1193.4</v>
      </c>
      <c r="N32" t="s">
        <v>190</v>
      </c>
    </row>
    <row r="33" spans="1:15" ht="15" customHeight="1">
      <c r="A33" s="5" t="s">
        <v>101</v>
      </c>
      <c r="B33" s="66" t="s">
        <v>259</v>
      </c>
      <c r="C33" s="109" t="s">
        <v>102</v>
      </c>
      <c r="D33" s="9" t="s">
        <v>97</v>
      </c>
      <c r="E33" s="163">
        <v>4.5</v>
      </c>
      <c r="F33" s="163">
        <v>420.28250000000003</v>
      </c>
      <c r="G33" s="163">
        <v>14.297073611503203</v>
      </c>
      <c r="H33" s="164">
        <v>65.814828033378319</v>
      </c>
      <c r="I33" s="8" t="s">
        <v>103</v>
      </c>
      <c r="J33" s="71" t="s">
        <v>226</v>
      </c>
      <c r="M33" s="150" t="str">
        <f>RIGHT(B$41,SEARCH("/",B$41,1)-1)</f>
        <v xml:space="preserve"> 1195.6</v>
      </c>
      <c r="N33" t="s">
        <v>191</v>
      </c>
    </row>
    <row r="34" spans="1:15" ht="15" customHeight="1" thickBot="1">
      <c r="A34" s="16" t="s">
        <v>104</v>
      </c>
      <c r="B34" s="77" t="s">
        <v>260</v>
      </c>
      <c r="C34" s="158">
        <v>6.0088098401265952</v>
      </c>
      <c r="D34" s="10" t="s">
        <v>20</v>
      </c>
      <c r="E34" s="165">
        <v>0.13999999761581422</v>
      </c>
      <c r="F34" s="166">
        <v>962.32636925379234</v>
      </c>
      <c r="G34" s="166">
        <v>6.2440457126680942</v>
      </c>
      <c r="H34" s="167">
        <v>695.64009377939851</v>
      </c>
      <c r="I34" s="8" t="s">
        <v>105</v>
      </c>
      <c r="J34" s="71">
        <v>6.0500001907348633</v>
      </c>
    </row>
    <row r="35" spans="1:15" ht="15" customHeight="1">
      <c r="A35" s="12" t="s">
        <v>106</v>
      </c>
      <c r="B35" s="13"/>
      <c r="C35" s="13"/>
      <c r="D35" s="133" t="s">
        <v>228</v>
      </c>
      <c r="E35" s="143" t="s">
        <v>227</v>
      </c>
      <c r="F35" s="14"/>
      <c r="G35" s="25" t="s">
        <v>107</v>
      </c>
      <c r="H35" s="83" t="s">
        <v>221</v>
      </c>
      <c r="I35" s="9" t="s">
        <v>108</v>
      </c>
      <c r="J35" s="72" t="s">
        <v>225</v>
      </c>
    </row>
    <row r="36" spans="1:15" ht="15" customHeight="1">
      <c r="A36" s="5" t="s">
        <v>109</v>
      </c>
      <c r="B36" s="3">
        <v>25</v>
      </c>
      <c r="C36" s="3">
        <v>50</v>
      </c>
      <c r="D36" s="3">
        <v>75</v>
      </c>
      <c r="E36" s="3">
        <v>100</v>
      </c>
      <c r="F36" s="15">
        <v>125</v>
      </c>
      <c r="G36" s="9" t="s">
        <v>110</v>
      </c>
      <c r="H36" s="72" t="s">
        <v>219</v>
      </c>
      <c r="I36" s="9" t="s">
        <v>111</v>
      </c>
      <c r="J36" s="72" t="s">
        <v>224</v>
      </c>
    </row>
    <row r="37" spans="1:15" ht="15" customHeight="1" thickBot="1">
      <c r="A37" s="9" t="s">
        <v>112</v>
      </c>
      <c r="B37" s="171" t="s">
        <v>240</v>
      </c>
      <c r="C37" s="171" t="s">
        <v>241</v>
      </c>
      <c r="D37" s="171" t="s">
        <v>242</v>
      </c>
      <c r="E37" s="171" t="s">
        <v>243</v>
      </c>
      <c r="F37" s="172" t="s">
        <v>244</v>
      </c>
      <c r="G37" s="9" t="s">
        <v>113</v>
      </c>
      <c r="H37" s="72" t="s">
        <v>220</v>
      </c>
      <c r="I37" s="10" t="s">
        <v>114</v>
      </c>
      <c r="J37" s="81" t="s">
        <v>223</v>
      </c>
      <c r="O37" s="148"/>
    </row>
    <row r="38" spans="1:15" ht="15" customHeight="1" thickBot="1">
      <c r="A38" s="9" t="s">
        <v>115</v>
      </c>
      <c r="B38" s="173" t="s">
        <v>230</v>
      </c>
      <c r="C38" s="173" t="s">
        <v>231</v>
      </c>
      <c r="D38" s="173" t="s">
        <v>232</v>
      </c>
      <c r="E38" s="173" t="s">
        <v>233</v>
      </c>
      <c r="F38" s="174" t="s">
        <v>234</v>
      </c>
      <c r="G38" s="16" t="s">
        <v>116</v>
      </c>
      <c r="H38" s="81" t="s">
        <v>222</v>
      </c>
      <c r="I38" s="134" t="s">
        <v>229</v>
      </c>
      <c r="J38" s="82">
        <v>2929.300048828125</v>
      </c>
      <c r="L38" t="str">
        <f>LEFT(E38,SEARCH("/",E38,1)-1)</f>
        <v xml:space="preserve">0.954 </v>
      </c>
      <c r="M38" t="str">
        <f>RIGHT(E38,SEARCH("/",E38,1)-1)</f>
        <v xml:space="preserve"> 0.953</v>
      </c>
      <c r="N38" s="149">
        <f>M38/L38</f>
        <v>0.99895178197064993</v>
      </c>
      <c r="O38" s="148" t="s">
        <v>178</v>
      </c>
    </row>
    <row r="39" spans="1:15" ht="15" customHeight="1">
      <c r="A39" s="9" t="s">
        <v>117</v>
      </c>
      <c r="B39" s="173" t="s">
        <v>235</v>
      </c>
      <c r="C39" s="173" t="s">
        <v>236</v>
      </c>
      <c r="D39" s="173" t="s">
        <v>237</v>
      </c>
      <c r="E39" s="173" t="s">
        <v>238</v>
      </c>
      <c r="F39" s="174" t="s">
        <v>239</v>
      </c>
      <c r="G39" s="12" t="s">
        <v>118</v>
      </c>
      <c r="H39" s="13"/>
      <c r="I39" s="38" t="s">
        <v>119</v>
      </c>
      <c r="J39" s="39" t="s">
        <v>120</v>
      </c>
      <c r="L39" t="str">
        <f>LEFT(E39,SEARCH("/",E39,1)-1)</f>
        <v xml:space="preserve">0.8298 </v>
      </c>
      <c r="M39" t="str">
        <f>RIGHT(E39,SEARCH("/",E39,1)-1)</f>
        <v xml:space="preserve"> 0.8060</v>
      </c>
      <c r="N39" s="149">
        <f>M39/L39</f>
        <v>0.97131838997348763</v>
      </c>
      <c r="O39" s="148" t="s">
        <v>179</v>
      </c>
    </row>
    <row r="40" spans="1:15" ht="15" customHeight="1">
      <c r="A40" s="9" t="s">
        <v>119</v>
      </c>
      <c r="B40" s="175" t="s">
        <v>253</v>
      </c>
      <c r="C40" s="175" t="s">
        <v>254</v>
      </c>
      <c r="D40" s="175" t="s">
        <v>255</v>
      </c>
      <c r="E40" s="175" t="s">
        <v>256</v>
      </c>
      <c r="F40" s="176" t="s">
        <v>257</v>
      </c>
      <c r="G40" s="34" t="s">
        <v>121</v>
      </c>
      <c r="H40" s="89" t="s">
        <v>261</v>
      </c>
      <c r="I40" s="53"/>
      <c r="J40" s="54"/>
      <c r="L40" t="str">
        <f>LEFT(E37,SEARCH("/",E37,1)-1)</f>
        <v xml:space="preserve">67.98 </v>
      </c>
      <c r="M40" t="str">
        <f>RIGHT(E37,SEARCH("/",E37,1)-1)</f>
        <v xml:space="preserve"> 70.12</v>
      </c>
      <c r="N40" s="149">
        <f>M40/L40</f>
        <v>1.0314798470138276</v>
      </c>
      <c r="O40" s="148" t="s">
        <v>177</v>
      </c>
    </row>
    <row r="41" spans="1:15" ht="15" customHeight="1">
      <c r="A41" s="9" t="s">
        <v>5</v>
      </c>
      <c r="B41" s="177" t="s">
        <v>248</v>
      </c>
      <c r="C41" s="177" t="s">
        <v>249</v>
      </c>
      <c r="D41" s="177" t="s">
        <v>250</v>
      </c>
      <c r="E41" s="177" t="s">
        <v>251</v>
      </c>
      <c r="F41" s="178" t="s">
        <v>252</v>
      </c>
      <c r="G41" s="35" t="s">
        <v>122</v>
      </c>
      <c r="H41" s="90" t="s">
        <v>262</v>
      </c>
      <c r="I41" s="55"/>
      <c r="J41" s="56"/>
      <c r="L41" t="str">
        <f>LEFT(E41,SEARCH("/",E41,1)-1)</f>
        <v xml:space="preserve">1191.2 </v>
      </c>
      <c r="M41">
        <v>1190</v>
      </c>
      <c r="N41" s="149">
        <f>M41/L41</f>
        <v>0.99899261249160509</v>
      </c>
      <c r="O41" s="148" t="s">
        <v>5</v>
      </c>
    </row>
    <row r="42" spans="1:15" ht="15" customHeight="1">
      <c r="A42" s="9" t="s">
        <v>123</v>
      </c>
      <c r="B42" s="173">
        <v>17.874454222072004</v>
      </c>
      <c r="C42" s="173">
        <v>16.086273179127627</v>
      </c>
      <c r="D42" s="173">
        <v>15.069896206191723</v>
      </c>
      <c r="E42" s="173">
        <v>14.436647124822157</v>
      </c>
      <c r="F42" s="174">
        <v>14.005603986030819</v>
      </c>
      <c r="G42" s="34" t="s">
        <v>124</v>
      </c>
      <c r="H42" s="89" t="s">
        <v>263</v>
      </c>
      <c r="I42" s="53"/>
      <c r="J42" s="95">
        <v>0.22765712606681729</v>
      </c>
    </row>
    <row r="43" spans="1:15" ht="15" customHeight="1" thickBot="1">
      <c r="A43" s="10" t="s">
        <v>125</v>
      </c>
      <c r="B43" s="179">
        <v>23.045394891854887</v>
      </c>
      <c r="C43" s="180"/>
      <c r="D43" s="181" t="s">
        <v>266</v>
      </c>
      <c r="E43" s="181"/>
      <c r="F43" s="182"/>
      <c r="G43" s="35" t="s">
        <v>122</v>
      </c>
      <c r="H43" s="90" t="s">
        <v>264</v>
      </c>
      <c r="I43" s="55"/>
      <c r="J43" s="56"/>
    </row>
    <row r="44" spans="1:15" ht="15" customHeight="1">
      <c r="A44" s="4" t="s">
        <v>126</v>
      </c>
      <c r="B44" s="139"/>
      <c r="C44" s="1"/>
      <c r="D44" s="1"/>
      <c r="E44" s="4" t="s">
        <v>127</v>
      </c>
      <c r="F44" s="19"/>
      <c r="G44" s="34" t="s">
        <v>128</v>
      </c>
      <c r="H44" s="91">
        <v>689.40011578116992</v>
      </c>
      <c r="I44" s="88">
        <v>2.9141920764203633E-2</v>
      </c>
      <c r="J44" s="95">
        <v>0.60917987061579215</v>
      </c>
    </row>
    <row r="45" spans="1:15" ht="15" customHeight="1">
      <c r="A45" s="9" t="s">
        <v>129</v>
      </c>
      <c r="B45" s="66">
        <v>0.39999592304229736</v>
      </c>
      <c r="C45" s="161" t="s">
        <v>130</v>
      </c>
      <c r="D45" s="70">
        <v>9.95619036257267E-3</v>
      </c>
      <c r="E45" s="9" t="s">
        <v>131</v>
      </c>
      <c r="F45" s="72">
        <v>636.24169218294185</v>
      </c>
      <c r="G45" s="36" t="s">
        <v>122</v>
      </c>
      <c r="H45" s="84" t="s">
        <v>265</v>
      </c>
      <c r="I45" s="57"/>
      <c r="J45" s="58"/>
    </row>
    <row r="46" spans="1:15" ht="15" customHeight="1">
      <c r="A46" s="9" t="s">
        <v>132</v>
      </c>
      <c r="B46" s="66">
        <v>0.25096419453620911</v>
      </c>
      <c r="C46" s="161" t="s">
        <v>133</v>
      </c>
      <c r="D46" s="70">
        <v>7.3176990263164043E-3</v>
      </c>
      <c r="E46" s="9" t="s">
        <v>134</v>
      </c>
      <c r="F46" s="72">
        <v>1109.7459708955255</v>
      </c>
      <c r="G46" s="35" t="s">
        <v>135</v>
      </c>
      <c r="H46" s="92">
        <v>158.5799263963427</v>
      </c>
      <c r="I46" s="55"/>
      <c r="J46" s="56"/>
      <c r="L46" s="144" t="s">
        <v>180</v>
      </c>
      <c r="M46" s="146">
        <f>B5^0.95</f>
        <v>366.45571927713434</v>
      </c>
    </row>
    <row r="47" spans="1:15" ht="15" customHeight="1">
      <c r="A47" s="9" t="s">
        <v>136</v>
      </c>
      <c r="B47" s="66">
        <v>0.65096008777618408</v>
      </c>
      <c r="C47" s="161" t="s">
        <v>137</v>
      </c>
      <c r="D47" s="70">
        <v>1.0804289951920509E-2</v>
      </c>
      <c r="E47" s="9" t="s">
        <v>138</v>
      </c>
      <c r="F47" s="72">
        <v>885.01024882977481</v>
      </c>
      <c r="G47" s="62" t="s">
        <v>139</v>
      </c>
      <c r="H47" s="91">
        <v>669.61187225009041</v>
      </c>
      <c r="I47" s="88">
        <v>2.8278208421442717E-2</v>
      </c>
      <c r="J47" s="93">
        <v>0.61882778422316786</v>
      </c>
      <c r="L47" s="144" t="s">
        <v>181</v>
      </c>
      <c r="M47" s="146">
        <f>B5^1.5</f>
        <v>11180.339887498953</v>
      </c>
    </row>
    <row r="48" spans="1:15" ht="15" customHeight="1">
      <c r="A48" s="9" t="s">
        <v>140</v>
      </c>
      <c r="B48" s="66">
        <v>1.434632670134306E-2</v>
      </c>
      <c r="C48" s="161" t="s">
        <v>100</v>
      </c>
      <c r="D48" s="70">
        <v>4.2424507439136505E-2</v>
      </c>
      <c r="E48" s="9" t="s">
        <v>141</v>
      </c>
      <c r="F48" s="72">
        <v>11.159828192770034</v>
      </c>
      <c r="G48" s="63" t="s">
        <v>122</v>
      </c>
      <c r="H48" s="84">
        <v>179.52060918232988</v>
      </c>
      <c r="I48" s="57"/>
      <c r="J48" s="58"/>
      <c r="L48" s="144" t="s">
        <v>182</v>
      </c>
      <c r="M48" s="145">
        <f>IF(A5="",0,(7200/(1000*A5))^2.4)</f>
        <v>1.5489414099829009</v>
      </c>
    </row>
    <row r="49" spans="1:13" ht="15" customHeight="1" thickBot="1">
      <c r="A49" s="7"/>
      <c r="B49" s="52"/>
      <c r="C49" s="162" t="s">
        <v>142</v>
      </c>
      <c r="D49" s="79">
        <v>0.95757550001144409</v>
      </c>
      <c r="E49" s="10" t="s">
        <v>143</v>
      </c>
      <c r="F49" s="81">
        <v>20.494986680969451</v>
      </c>
      <c r="G49" s="64" t="s">
        <v>135</v>
      </c>
      <c r="H49" s="92">
        <v>156.17804992867681</v>
      </c>
      <c r="I49" s="55"/>
      <c r="J49" s="59"/>
      <c r="L49" s="144" t="s">
        <v>183</v>
      </c>
      <c r="M49" s="145">
        <f>IF(A5="",0,(7200/(1000*A5))^1.8)</f>
        <v>1.388437205763783</v>
      </c>
    </row>
    <row r="50" spans="1:13" ht="15" customHeight="1">
      <c r="A50" s="12" t="s">
        <v>144</v>
      </c>
      <c r="B50" s="13"/>
      <c r="C50" s="13"/>
      <c r="D50" s="13"/>
      <c r="E50" s="13"/>
      <c r="F50" s="14"/>
      <c r="G50" s="12" t="s">
        <v>145</v>
      </c>
      <c r="H50" s="13"/>
      <c r="I50" s="40"/>
      <c r="J50" s="26"/>
      <c r="L50" s="144" t="s">
        <v>184</v>
      </c>
      <c r="M50" s="147">
        <f>IF(A5=2,27,24)</f>
        <v>24</v>
      </c>
    </row>
    <row r="51" spans="1:13" ht="15" customHeight="1">
      <c r="A51" s="9" t="s">
        <v>146</v>
      </c>
      <c r="B51" s="49">
        <v>58</v>
      </c>
      <c r="C51" s="8" t="s">
        <v>147</v>
      </c>
      <c r="D51" s="67">
        <v>4</v>
      </c>
      <c r="E51" s="8" t="s">
        <v>148</v>
      </c>
      <c r="F51" s="71">
        <v>8.5</v>
      </c>
      <c r="G51" s="8" t="s">
        <v>149</v>
      </c>
      <c r="H51" s="65">
        <v>5.5897162409633848E-2</v>
      </c>
      <c r="I51" s="43" t="s">
        <v>150</v>
      </c>
      <c r="J51" s="37"/>
      <c r="L51" s="144" t="s">
        <v>185</v>
      </c>
      <c r="M51" s="147">
        <v>6.8500000000000005E-2</v>
      </c>
    </row>
    <row r="52" spans="1:13" ht="15" customHeight="1">
      <c r="A52" s="9" t="s">
        <v>58</v>
      </c>
      <c r="B52" s="67">
        <v>45</v>
      </c>
      <c r="C52" s="8" t="s">
        <v>151</v>
      </c>
      <c r="D52" s="67">
        <v>6.300000011920929</v>
      </c>
      <c r="E52" s="8" t="s">
        <v>152</v>
      </c>
      <c r="F52" s="71">
        <v>0</v>
      </c>
      <c r="G52" s="8" t="s">
        <v>169</v>
      </c>
      <c r="H52" s="67">
        <v>98039.06202214527</v>
      </c>
      <c r="I52" s="96" t="s">
        <v>245</v>
      </c>
      <c r="J52" s="60"/>
      <c r="L52" s="144" t="s">
        <v>192</v>
      </c>
      <c r="M52" s="168">
        <f>F5</f>
        <v>60</v>
      </c>
    </row>
    <row r="53" spans="1:13" ht="15" customHeight="1">
      <c r="A53" s="9" t="s">
        <v>64</v>
      </c>
      <c r="B53" s="67">
        <v>0</v>
      </c>
      <c r="C53" s="8" t="s">
        <v>153</v>
      </c>
      <c r="D53" s="67">
        <v>13.294147491455078</v>
      </c>
      <c r="E53" s="8" t="s">
        <v>154</v>
      </c>
      <c r="F53" s="71">
        <v>0</v>
      </c>
      <c r="G53" s="8" t="s">
        <v>170</v>
      </c>
      <c r="H53" s="66">
        <v>62.912666798575025</v>
      </c>
      <c r="I53" s="42" t="s">
        <v>155</v>
      </c>
      <c r="J53" s="37"/>
      <c r="L53" s="144" t="s">
        <v>186</v>
      </c>
      <c r="M53" s="150">
        <f>IF(F5=60,M50*M46/M48-M51*M47/M49,IF(F5&lt;&gt;60,(60/M52)^2*(M50*M46/M48-M51*M47/M49),0))</f>
        <v>5126.4372000088915</v>
      </c>
    </row>
    <row r="54" spans="1:13" ht="15" customHeight="1">
      <c r="A54" s="9" t="s">
        <v>66</v>
      </c>
      <c r="B54" s="67">
        <v>0.69999998807907104</v>
      </c>
      <c r="C54" s="8" t="s">
        <v>156</v>
      </c>
      <c r="D54" s="67">
        <v>9.4988611329226309</v>
      </c>
      <c r="E54" s="8" t="s">
        <v>154</v>
      </c>
      <c r="F54" s="71">
        <v>8.5</v>
      </c>
      <c r="G54" s="8" t="s">
        <v>171</v>
      </c>
      <c r="H54" s="68">
        <v>204655</v>
      </c>
      <c r="I54" s="97" t="s">
        <v>246</v>
      </c>
      <c r="J54" s="98" t="s">
        <v>209</v>
      </c>
    </row>
    <row r="55" spans="1:13" ht="15" customHeight="1">
      <c r="A55" s="9" t="s">
        <v>157</v>
      </c>
      <c r="B55" s="67">
        <v>4</v>
      </c>
      <c r="C55" s="8" t="s">
        <v>158</v>
      </c>
      <c r="D55" s="67">
        <v>35</v>
      </c>
      <c r="E55" s="8" t="s">
        <v>159</v>
      </c>
      <c r="F55" s="71">
        <v>0</v>
      </c>
      <c r="G55" s="8" t="s">
        <v>160</v>
      </c>
      <c r="H55" s="67">
        <v>1.1000000238418579</v>
      </c>
      <c r="I55" s="42" t="s">
        <v>161</v>
      </c>
      <c r="J55" s="37"/>
    </row>
    <row r="56" spans="1:13" ht="15" customHeight="1" thickBot="1">
      <c r="A56" s="10" t="s">
        <v>162</v>
      </c>
      <c r="B56" s="78">
        <v>1.5</v>
      </c>
      <c r="C56" s="20" t="s">
        <v>163</v>
      </c>
      <c r="D56" s="78">
        <v>18.467785038356965</v>
      </c>
      <c r="E56" s="20" t="s">
        <v>164</v>
      </c>
      <c r="F56" s="80">
        <v>0</v>
      </c>
      <c r="G56" s="20" t="s">
        <v>165</v>
      </c>
      <c r="H56" s="77">
        <v>0.87493749999999992</v>
      </c>
      <c r="I56" s="99" t="s">
        <v>247</v>
      </c>
      <c r="J56" s="59" t="s">
        <v>210</v>
      </c>
    </row>
    <row r="57" spans="1:13" ht="15" customHeight="1">
      <c r="A57" s="22" t="s">
        <v>403</v>
      </c>
      <c r="B57" s="40"/>
      <c r="C57" s="40"/>
      <c r="D57" s="40"/>
      <c r="E57" s="40"/>
      <c r="F57" s="26"/>
      <c r="G57" s="116"/>
      <c r="H57" s="117"/>
      <c r="I57" s="117"/>
      <c r="J57" s="118"/>
    </row>
    <row r="58" spans="1:13" ht="15" customHeight="1">
      <c r="A58" s="100" t="s">
        <v>119</v>
      </c>
      <c r="B58" s="3" t="s">
        <v>166</v>
      </c>
      <c r="C58" s="15" t="s">
        <v>401</v>
      </c>
      <c r="D58" s="3" t="s">
        <v>119</v>
      </c>
      <c r="E58" s="3" t="s">
        <v>166</v>
      </c>
      <c r="F58" s="15" t="s">
        <v>402</v>
      </c>
      <c r="G58" s="119"/>
      <c r="H58" s="31"/>
      <c r="I58" s="31"/>
      <c r="J58" s="44"/>
    </row>
    <row r="59" spans="1:13" ht="15" customHeight="1">
      <c r="A59" s="123">
        <v>0</v>
      </c>
      <c r="B59" s="84">
        <v>0</v>
      </c>
      <c r="C59" s="85">
        <v>0.32744124531745911</v>
      </c>
      <c r="D59" s="125">
        <v>0.69999998807907104</v>
      </c>
      <c r="E59" s="84">
        <v>113.55298957614457</v>
      </c>
      <c r="F59" s="85">
        <v>531.86322021484375</v>
      </c>
      <c r="G59" s="119"/>
      <c r="H59" s="31"/>
      <c r="I59" s="31"/>
      <c r="J59" s="44"/>
    </row>
    <row r="60" spans="1:13" ht="15" customHeight="1">
      <c r="A60" s="127">
        <v>9.9999997764825821E-3</v>
      </c>
      <c r="B60" s="84">
        <v>116.68075123961226</v>
      </c>
      <c r="C60" s="85">
        <v>128.57435607910156</v>
      </c>
      <c r="D60" s="125">
        <v>0.80000001192092896</v>
      </c>
      <c r="E60" s="84">
        <v>116.82707387017962</v>
      </c>
      <c r="F60" s="85">
        <v>543.22674560546875</v>
      </c>
      <c r="G60" s="119"/>
      <c r="H60" s="31"/>
      <c r="I60" s="31"/>
      <c r="J60" s="44"/>
    </row>
    <row r="61" spans="1:13" ht="15" customHeight="1">
      <c r="A61" s="127">
        <v>5.000000074505806E-2</v>
      </c>
      <c r="B61" s="84">
        <v>215</v>
      </c>
      <c r="C61" s="85">
        <v>368.00668334960938</v>
      </c>
      <c r="D61" s="125">
        <v>0.89999997615814209</v>
      </c>
      <c r="E61" s="84">
        <v>121.96402113592156</v>
      </c>
      <c r="F61" s="85">
        <v>553.47607421875</v>
      </c>
      <c r="G61" s="119"/>
      <c r="H61" s="31"/>
      <c r="I61" s="31"/>
      <c r="J61" s="44"/>
    </row>
    <row r="62" spans="1:13" ht="15" customHeight="1">
      <c r="A62" s="123">
        <v>0.10000000149011612</v>
      </c>
      <c r="B62" s="84">
        <v>148.66614220716752</v>
      </c>
      <c r="C62" s="85">
        <v>430.56842041015625</v>
      </c>
      <c r="D62" s="126">
        <v>1</v>
      </c>
      <c r="E62" s="84">
        <v>130</v>
      </c>
      <c r="F62" s="85">
        <v>562.85711669921875</v>
      </c>
      <c r="G62" s="119"/>
      <c r="H62" s="31"/>
      <c r="I62" s="31"/>
      <c r="J62" s="44"/>
    </row>
    <row r="63" spans="1:13" ht="15" customHeight="1" thickBot="1">
      <c r="A63" s="123">
        <v>0.15000000596046448</v>
      </c>
      <c r="B63" s="84">
        <v>122.13802044054131</v>
      </c>
      <c r="C63" s="85">
        <v>450.33721923828125</v>
      </c>
      <c r="D63" s="436"/>
      <c r="E63" s="86"/>
      <c r="F63" s="364"/>
      <c r="G63" s="119"/>
      <c r="H63" s="31"/>
      <c r="I63" s="31"/>
      <c r="J63" s="44"/>
    </row>
    <row r="64" spans="1:13" ht="15" customHeight="1">
      <c r="A64" s="123">
        <v>0.20000000298023224</v>
      </c>
      <c r="B64" s="84">
        <v>113.312102298822</v>
      </c>
      <c r="C64" s="85">
        <v>461.86068725585938</v>
      </c>
      <c r="D64" s="365" t="s">
        <v>411</v>
      </c>
      <c r="E64" s="366"/>
      <c r="F64" s="366"/>
      <c r="G64" s="119"/>
      <c r="H64" s="31"/>
      <c r="I64" s="31"/>
      <c r="J64" s="44"/>
    </row>
    <row r="65" spans="1:10" ht="15" customHeight="1">
      <c r="A65" s="123">
        <v>0.30000001192092896</v>
      </c>
      <c r="B65" s="84">
        <v>110.03264268136778</v>
      </c>
      <c r="C65" s="85">
        <v>478.75155639648438</v>
      </c>
      <c r="D65" s="437" t="s">
        <v>405</v>
      </c>
      <c r="E65" s="367" t="s">
        <v>409</v>
      </c>
      <c r="F65" s="367"/>
      <c r="G65" s="119"/>
      <c r="H65" s="31"/>
      <c r="I65" s="31"/>
      <c r="J65" s="44"/>
    </row>
    <row r="66" spans="1:10" ht="15" customHeight="1">
      <c r="A66" s="123">
        <v>0.40000000596046448</v>
      </c>
      <c r="B66" s="84">
        <v>110</v>
      </c>
      <c r="C66" s="85">
        <v>493.22357177734375</v>
      </c>
      <c r="D66" s="437" t="s">
        <v>406</v>
      </c>
      <c r="E66" s="367" t="s">
        <v>410</v>
      </c>
      <c r="F66" s="367"/>
      <c r="G66" s="119"/>
      <c r="H66" s="31"/>
      <c r="I66" s="31"/>
      <c r="J66" s="44"/>
    </row>
    <row r="67" spans="1:10" ht="15" customHeight="1">
      <c r="A67" s="123">
        <v>0.5</v>
      </c>
      <c r="B67" s="84">
        <v>110.49624971532761</v>
      </c>
      <c r="C67" s="85">
        <v>507.1236572265625</v>
      </c>
      <c r="D67" s="437" t="s">
        <v>407</v>
      </c>
      <c r="E67" s="367" t="s">
        <v>412</v>
      </c>
      <c r="F67" s="367"/>
      <c r="G67" s="119"/>
      <c r="H67" s="31"/>
      <c r="I67" s="31"/>
      <c r="J67" s="44"/>
    </row>
    <row r="68" spans="1:10" ht="15" customHeight="1" thickBot="1">
      <c r="A68" s="124">
        <v>0.60000002384185791</v>
      </c>
      <c r="B68" s="86">
        <v>111.60128428329072</v>
      </c>
      <c r="C68" s="87">
        <v>519.90557861328125</v>
      </c>
      <c r="D68" s="438" t="s">
        <v>408</v>
      </c>
      <c r="E68" s="368" t="s">
        <v>413</v>
      </c>
      <c r="F68" s="368"/>
      <c r="G68" s="120"/>
      <c r="H68" s="45"/>
      <c r="I68" s="45"/>
      <c r="J68" s="46"/>
    </row>
    <row r="69" spans="1:10" ht="15" customHeight="1">
      <c r="A69" s="153" t="s">
        <v>268</v>
      </c>
      <c r="B69" s="154"/>
      <c r="C69" s="31"/>
      <c r="D69" s="31"/>
      <c r="E69" s="31"/>
      <c r="F69" s="31"/>
      <c r="G69" s="31"/>
      <c r="H69" s="31"/>
      <c r="I69" s="31"/>
      <c r="J69" s="31"/>
    </row>
    <row r="70" spans="1:10" ht="1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363" t="s">
        <v>404</v>
      </c>
      <c r="B99" s="363"/>
      <c r="C99" s="363"/>
      <c r="D99" s="363"/>
      <c r="E99" s="363"/>
      <c r="F99" s="363"/>
      <c r="G99" s="363"/>
      <c r="H99" s="363"/>
      <c r="I99" s="363"/>
    </row>
    <row r="100" spans="1:9">
      <c r="A100" s="363">
        <v>100</v>
      </c>
      <c r="B100" s="363"/>
      <c r="C100" s="363"/>
      <c r="D100" s="363"/>
      <c r="E100" s="363"/>
      <c r="F100" s="363"/>
      <c r="G100" s="363"/>
      <c r="H100" s="363"/>
      <c r="I100" s="363"/>
    </row>
    <row r="101" spans="1:9">
      <c r="A101" s="363">
        <v>98</v>
      </c>
      <c r="B101" s="363"/>
      <c r="C101" s="363"/>
      <c r="D101" s="363"/>
      <c r="E101" s="363"/>
      <c r="F101" s="363"/>
      <c r="G101" s="363"/>
      <c r="H101" s="363"/>
      <c r="I101" s="363"/>
    </row>
    <row r="102" spans="1:9">
      <c r="A102" s="363">
        <v>87</v>
      </c>
      <c r="B102" s="363"/>
      <c r="C102" s="363"/>
      <c r="D102" s="363"/>
      <c r="E102" s="363"/>
      <c r="F102" s="363"/>
      <c r="G102" s="363"/>
      <c r="H102" s="363"/>
      <c r="I102" s="363"/>
    </row>
    <row r="103" spans="1:9">
      <c r="A103" s="363">
        <v>74</v>
      </c>
      <c r="B103" s="363"/>
      <c r="C103" s="363"/>
      <c r="D103" s="363"/>
      <c r="E103" s="363"/>
      <c r="F103" s="363"/>
      <c r="G103" s="363"/>
      <c r="H103" s="363"/>
      <c r="I103" s="363"/>
    </row>
    <row r="104" spans="1:9">
      <c r="A104" s="363">
        <v>61</v>
      </c>
      <c r="B104" s="363"/>
      <c r="C104" s="363"/>
      <c r="D104" s="363"/>
      <c r="E104" s="363"/>
      <c r="F104" s="363"/>
      <c r="G104" s="363"/>
      <c r="H104" s="363"/>
      <c r="I104" s="363"/>
    </row>
    <row r="105" spans="1:9">
      <c r="A105" s="363">
        <v>50</v>
      </c>
      <c r="B105" s="363"/>
      <c r="C105" s="363"/>
      <c r="D105" s="363"/>
      <c r="E105" s="363"/>
      <c r="F105" s="363"/>
      <c r="G105" s="363"/>
      <c r="H105" s="363"/>
      <c r="I105" s="363"/>
    </row>
    <row r="106" spans="1:9">
      <c r="A106" s="363">
        <v>33</v>
      </c>
      <c r="B106" s="363"/>
      <c r="C106" s="363"/>
      <c r="D106" s="363"/>
      <c r="E106" s="363"/>
      <c r="F106" s="363"/>
      <c r="G106" s="363"/>
      <c r="H106" s="363"/>
      <c r="I106" s="363"/>
    </row>
    <row r="107" spans="1:9">
      <c r="A107" s="363">
        <v>22</v>
      </c>
      <c r="B107" s="363"/>
      <c r="C107" s="363"/>
      <c r="D107" s="363"/>
      <c r="E107" s="363"/>
      <c r="F107" s="363"/>
      <c r="G107" s="363"/>
      <c r="H107" s="363"/>
      <c r="I107" s="363"/>
    </row>
    <row r="108" spans="1:9">
      <c r="A108" s="363">
        <v>14</v>
      </c>
      <c r="B108" s="363"/>
      <c r="C108" s="363"/>
      <c r="D108" s="363"/>
      <c r="E108" s="363"/>
      <c r="F108" s="363"/>
      <c r="G108" s="363"/>
      <c r="H108" s="363"/>
      <c r="I108" s="363"/>
    </row>
    <row r="109" spans="1:9">
      <c r="A109" s="363">
        <v>7.9999995231628418</v>
      </c>
      <c r="B109" s="363"/>
      <c r="C109" s="363"/>
      <c r="D109" s="363"/>
      <c r="E109" s="363"/>
      <c r="F109" s="363"/>
      <c r="G109" s="363"/>
      <c r="H109" s="363"/>
      <c r="I109" s="363"/>
    </row>
    <row r="110" spans="1:9">
      <c r="A110" s="363">
        <v>5.9999995231628418</v>
      </c>
      <c r="B110" s="363"/>
      <c r="C110" s="363"/>
      <c r="D110" s="363"/>
      <c r="E110" s="363"/>
      <c r="F110" s="363"/>
      <c r="G110" s="363"/>
      <c r="H110" s="363"/>
      <c r="I110" s="363"/>
    </row>
    <row r="111" spans="1:9">
      <c r="A111" s="363">
        <v>8.0000009536743164</v>
      </c>
      <c r="B111" s="363"/>
      <c r="C111" s="363"/>
      <c r="D111" s="363"/>
      <c r="E111" s="363"/>
      <c r="F111" s="363"/>
      <c r="G111" s="363"/>
      <c r="H111" s="363"/>
      <c r="I111" s="363"/>
    </row>
    <row r="112" spans="1:9">
      <c r="A112" s="363">
        <v>14.999996185302734</v>
      </c>
      <c r="B112" s="363"/>
      <c r="C112" s="363"/>
      <c r="D112" s="363"/>
      <c r="E112" s="363"/>
      <c r="F112" s="363"/>
      <c r="G112" s="363"/>
      <c r="H112" s="363"/>
      <c r="I112" s="363"/>
    </row>
    <row r="113" spans="1:9">
      <c r="A113" s="363">
        <v>30</v>
      </c>
      <c r="B113" s="363"/>
      <c r="C113" s="363"/>
      <c r="D113" s="363"/>
      <c r="E113" s="363"/>
      <c r="F113" s="363"/>
      <c r="G113" s="363"/>
      <c r="H113" s="363"/>
      <c r="I113" s="363"/>
    </row>
  </sheetData>
  <phoneticPr fontId="8" type="noConversion"/>
  <printOptions horizontalCentered="1"/>
  <pageMargins left="0.86614173228346503" right="0" top="0.23622047244094499" bottom="0.23622047244094499" header="0" footer="0"/>
  <pageSetup scale="74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53"/>
  <sheetViews>
    <sheetView tabSelected="1" workbookViewId="0">
      <selection activeCell="J15" sqref="J15"/>
    </sheetView>
  </sheetViews>
  <sheetFormatPr defaultColWidth="9.109375" defaultRowHeight="15"/>
  <cols>
    <col min="1" max="1" width="12.109375" style="309" customWidth="1"/>
    <col min="2" max="2" width="6.109375" style="309" customWidth="1"/>
    <col min="3" max="3" width="7.109375" style="309" customWidth="1"/>
    <col min="4" max="4" width="12.88671875" style="309" customWidth="1"/>
    <col min="5" max="5" width="12.5546875" style="309" customWidth="1"/>
    <col min="6" max="6" width="9.44140625" style="309" customWidth="1"/>
    <col min="7" max="7" width="5.6640625" style="309" customWidth="1"/>
    <col min="8" max="8" width="7.88671875" style="309" customWidth="1"/>
    <col min="9" max="9" width="6.5546875" style="309" customWidth="1"/>
    <col min="10" max="11" width="12" style="309" customWidth="1"/>
    <col min="12" max="26" width="9.109375" style="183"/>
    <col min="27" max="16384" width="9.109375" style="184"/>
  </cols>
  <sheetData>
    <row r="1" spans="1:26" ht="20.25" customHeight="1">
      <c r="A1" s="609" t="s">
        <v>269</v>
      </c>
      <c r="B1" s="609"/>
      <c r="C1" s="609"/>
      <c r="D1" s="609"/>
      <c r="E1" s="609"/>
      <c r="F1" s="609"/>
      <c r="G1" s="609"/>
      <c r="H1" s="609"/>
      <c r="I1" s="609"/>
      <c r="J1" s="609"/>
      <c r="K1" s="609"/>
    </row>
    <row r="2" spans="1:26" ht="20.25" customHeight="1">
      <c r="A2" s="610" t="s">
        <v>270</v>
      </c>
      <c r="B2" s="610"/>
      <c r="C2" s="610"/>
      <c r="D2" s="610"/>
      <c r="E2" s="610"/>
      <c r="F2" s="610"/>
      <c r="G2" s="610"/>
      <c r="H2" s="610"/>
      <c r="I2" s="610"/>
      <c r="J2" s="610"/>
      <c r="K2" s="610"/>
    </row>
    <row r="3" spans="1:26" ht="18.75" customHeight="1" thickBot="1">
      <c r="A3" s="185" t="s">
        <v>1</v>
      </c>
      <c r="B3" s="186" t="s">
        <v>379</v>
      </c>
      <c r="C3" s="187"/>
      <c r="D3" s="187"/>
      <c r="E3" s="187"/>
      <c r="F3" s="188"/>
      <c r="G3" s="187"/>
      <c r="H3" s="187"/>
      <c r="I3" s="185" t="s">
        <v>271</v>
      </c>
      <c r="J3" s="544" t="s">
        <v>384</v>
      </c>
      <c r="K3" s="544"/>
    </row>
    <row r="4" spans="1:26" s="197" customFormat="1" ht="18.45" customHeight="1" thickBot="1">
      <c r="A4" s="189" t="s">
        <v>751</v>
      </c>
      <c r="B4" s="190"/>
      <c r="C4" s="191"/>
      <c r="D4" s="191"/>
      <c r="E4" s="191"/>
      <c r="F4" s="191"/>
      <c r="G4" s="191"/>
      <c r="H4" s="191"/>
      <c r="I4" s="191"/>
      <c r="J4" s="191"/>
      <c r="K4" s="192"/>
      <c r="L4" s="193"/>
      <c r="M4" s="193"/>
      <c r="N4" s="193"/>
      <c r="O4" s="193"/>
      <c r="P4" s="193"/>
      <c r="Q4" s="194" t="s">
        <v>272</v>
      </c>
      <c r="R4" s="195"/>
      <c r="S4" s="193"/>
      <c r="T4" s="194" t="s">
        <v>273</v>
      </c>
      <c r="U4" s="196"/>
      <c r="V4" s="193"/>
      <c r="W4" s="193"/>
      <c r="X4" s="193"/>
      <c r="Y4" s="193"/>
      <c r="Z4" s="193"/>
    </row>
    <row r="5" spans="1:26" s="197" customFormat="1" ht="18.45" customHeight="1">
      <c r="A5" s="611" t="s">
        <v>274</v>
      </c>
      <c r="B5" s="612"/>
      <c r="C5" s="612"/>
      <c r="D5" s="198"/>
      <c r="E5" s="199"/>
      <c r="F5" s="200" t="s">
        <v>275</v>
      </c>
      <c r="G5" s="187"/>
      <c r="H5" s="187"/>
      <c r="I5" s="201"/>
      <c r="J5" s="202" t="s">
        <v>276</v>
      </c>
      <c r="K5" s="203" t="s">
        <v>277</v>
      </c>
      <c r="L5" s="193"/>
      <c r="M5" s="193"/>
      <c r="N5" s="193"/>
      <c r="O5" s="193"/>
      <c r="P5" s="193"/>
      <c r="Q5" s="204" t="s">
        <v>278</v>
      </c>
      <c r="R5" s="205"/>
      <c r="S5" s="193"/>
      <c r="T5" s="204" t="s">
        <v>279</v>
      </c>
      <c r="U5" s="206"/>
      <c r="V5" s="193"/>
      <c r="W5" s="193"/>
      <c r="X5" s="193"/>
      <c r="Y5" s="193"/>
      <c r="Z5" s="193"/>
    </row>
    <row r="6" spans="1:26" s="197" customFormat="1" ht="18.45" customHeight="1">
      <c r="A6" s="613" t="s">
        <v>67</v>
      </c>
      <c r="B6" s="614"/>
      <c r="C6" s="614"/>
      <c r="D6" s="545" t="s">
        <v>283</v>
      </c>
      <c r="E6" s="546"/>
      <c r="F6" s="571" t="s">
        <v>281</v>
      </c>
      <c r="G6" s="572"/>
      <c r="H6" s="572"/>
      <c r="I6" s="572"/>
      <c r="J6" s="572"/>
      <c r="K6" s="573"/>
      <c r="L6" s="193"/>
      <c r="M6" s="193"/>
      <c r="N6" s="193"/>
      <c r="O6" s="193"/>
      <c r="P6" s="193"/>
      <c r="Q6" s="204" t="s">
        <v>282</v>
      </c>
      <c r="R6" s="205"/>
      <c r="S6" s="193"/>
      <c r="T6" s="204" t="s">
        <v>283</v>
      </c>
      <c r="U6" s="206"/>
      <c r="V6" s="193"/>
      <c r="W6" s="193"/>
      <c r="X6" s="193"/>
      <c r="Y6" s="193"/>
      <c r="Z6" s="193"/>
    </row>
    <row r="7" spans="1:26" s="197" customFormat="1" ht="18.45" customHeight="1">
      <c r="A7" s="605" t="s">
        <v>20</v>
      </c>
      <c r="B7" s="606"/>
      <c r="C7" s="606"/>
      <c r="D7" s="607">
        <v>1.3999999761581401</v>
      </c>
      <c r="E7" s="608"/>
      <c r="F7" s="207" t="s">
        <v>284</v>
      </c>
      <c r="G7" s="208"/>
      <c r="H7" s="209"/>
      <c r="I7" s="210"/>
      <c r="J7" s="211">
        <v>24</v>
      </c>
      <c r="K7" s="212" t="s">
        <v>175</v>
      </c>
      <c r="L7" s="193"/>
      <c r="M7" s="193"/>
      <c r="N7" s="193"/>
      <c r="O7" s="193"/>
      <c r="P7" s="193"/>
      <c r="Q7" s="204" t="s">
        <v>285</v>
      </c>
      <c r="R7" s="205"/>
      <c r="S7" s="193"/>
      <c r="T7" s="204" t="s">
        <v>280</v>
      </c>
      <c r="U7" s="206"/>
      <c r="V7" s="193"/>
      <c r="W7" s="193"/>
      <c r="X7" s="193"/>
      <c r="Y7" s="193"/>
      <c r="Z7" s="193"/>
    </row>
    <row r="8" spans="1:26" s="197" customFormat="1" ht="18.45" customHeight="1">
      <c r="A8" s="605" t="s">
        <v>286</v>
      </c>
      <c r="B8" s="606"/>
      <c r="C8" s="606"/>
      <c r="D8" s="547">
        <v>550</v>
      </c>
      <c r="E8" s="548"/>
      <c r="F8" s="213" t="s">
        <v>287</v>
      </c>
      <c r="G8" s="214"/>
      <c r="H8" s="215"/>
      <c r="I8" s="216"/>
      <c r="J8" s="217">
        <v>7515</v>
      </c>
      <c r="K8" s="218" t="s">
        <v>175</v>
      </c>
      <c r="L8" s="193"/>
      <c r="M8" s="193"/>
      <c r="N8" s="193"/>
      <c r="O8" s="193"/>
      <c r="P8" s="193"/>
      <c r="Q8" s="204" t="s">
        <v>288</v>
      </c>
      <c r="R8" s="205"/>
      <c r="S8" s="193"/>
      <c r="T8" s="204" t="s">
        <v>289</v>
      </c>
      <c r="U8" s="206"/>
      <c r="V8" s="193"/>
      <c r="W8" s="193"/>
      <c r="X8" s="193"/>
      <c r="Y8" s="193"/>
      <c r="Z8" s="193"/>
    </row>
    <row r="9" spans="1:26" s="197" customFormat="1" ht="18.45" customHeight="1">
      <c r="A9" s="600" t="s">
        <v>290</v>
      </c>
      <c r="B9" s="601"/>
      <c r="C9" s="602"/>
      <c r="D9" s="547" t="s">
        <v>398</v>
      </c>
      <c r="E9" s="548"/>
      <c r="F9" s="207" t="s">
        <v>291</v>
      </c>
      <c r="G9" s="208"/>
      <c r="H9" s="219">
        <v>3</v>
      </c>
      <c r="I9" s="220" t="s">
        <v>292</v>
      </c>
      <c r="J9" s="221">
        <v>91</v>
      </c>
      <c r="K9" s="218" t="s">
        <v>175</v>
      </c>
      <c r="L9" s="193"/>
      <c r="M9" s="193"/>
      <c r="N9" s="193"/>
      <c r="O9" s="193"/>
      <c r="P9" s="193"/>
      <c r="Q9" s="204" t="s">
        <v>293</v>
      </c>
      <c r="R9" s="205"/>
      <c r="S9" s="193"/>
      <c r="T9" s="204" t="s">
        <v>294</v>
      </c>
      <c r="U9" s="206"/>
      <c r="V9" s="193"/>
      <c r="W9" s="193"/>
      <c r="X9" s="193"/>
      <c r="Y9" s="193"/>
      <c r="Z9" s="193"/>
    </row>
    <row r="10" spans="1:26" s="197" customFormat="1" ht="18.45" customHeight="1" thickBot="1">
      <c r="A10" s="600" t="s">
        <v>295</v>
      </c>
      <c r="B10" s="601"/>
      <c r="C10" s="602"/>
      <c r="D10" s="584" t="s">
        <v>201</v>
      </c>
      <c r="E10" s="585"/>
      <c r="F10" s="207" t="s">
        <v>296</v>
      </c>
      <c r="G10" s="208"/>
      <c r="H10" s="219">
        <v>3</v>
      </c>
      <c r="I10" s="220" t="s">
        <v>292</v>
      </c>
      <c r="J10" s="221">
        <v>1150</v>
      </c>
      <c r="K10" s="218" t="s">
        <v>175</v>
      </c>
      <c r="L10" s="193"/>
      <c r="M10" s="193"/>
      <c r="N10" s="193"/>
      <c r="O10" s="193"/>
      <c r="P10" s="193"/>
      <c r="Q10" s="204" t="s">
        <v>297</v>
      </c>
      <c r="R10" s="205"/>
      <c r="S10" s="193"/>
      <c r="T10" s="222" t="s">
        <v>298</v>
      </c>
      <c r="U10" s="223"/>
      <c r="V10" s="193"/>
      <c r="W10" s="193"/>
      <c r="X10" s="193"/>
      <c r="Y10" s="193"/>
      <c r="Z10" s="193"/>
    </row>
    <row r="11" spans="1:26" s="197" customFormat="1" ht="18.45" customHeight="1" thickBot="1">
      <c r="A11" s="600" t="s">
        <v>299</v>
      </c>
      <c r="B11" s="601"/>
      <c r="C11" s="602"/>
      <c r="D11" s="579" t="s">
        <v>202</v>
      </c>
      <c r="E11" s="580"/>
      <c r="F11" s="224" t="s">
        <v>300</v>
      </c>
      <c r="G11" s="225"/>
      <c r="H11" s="226">
        <v>3</v>
      </c>
      <c r="I11" s="220" t="s">
        <v>292</v>
      </c>
      <c r="J11" s="227">
        <v>22581</v>
      </c>
      <c r="K11" s="228" t="s">
        <v>175</v>
      </c>
      <c r="L11" s="193"/>
      <c r="M11" s="193"/>
      <c r="N11" s="193"/>
      <c r="O11" s="193"/>
      <c r="P11" s="193"/>
      <c r="Q11" s="222" t="s">
        <v>301</v>
      </c>
      <c r="R11" s="229"/>
      <c r="S11" s="193"/>
      <c r="T11" s="193"/>
      <c r="U11" s="193"/>
      <c r="V11" s="193"/>
      <c r="W11" s="193"/>
      <c r="X11" s="193"/>
      <c r="Y11" s="193"/>
      <c r="Z11" s="193"/>
    </row>
    <row r="12" spans="1:26" s="197" customFormat="1" ht="18.45" customHeight="1">
      <c r="A12" s="230" t="s">
        <v>302</v>
      </c>
      <c r="C12" s="231"/>
      <c r="D12" s="603" t="s">
        <v>175</v>
      </c>
      <c r="E12" s="604"/>
      <c r="F12" s="581" t="s">
        <v>303</v>
      </c>
      <c r="G12" s="582"/>
      <c r="H12" s="582"/>
      <c r="I12" s="582"/>
      <c r="J12" s="582"/>
      <c r="K12" s="583"/>
      <c r="L12" s="193"/>
      <c r="M12" s="193"/>
      <c r="N12" s="193"/>
      <c r="O12" s="193"/>
      <c r="P12" s="193"/>
      <c r="Q12" s="193"/>
      <c r="R12" s="193"/>
      <c r="S12" s="193"/>
      <c r="T12" s="193"/>
      <c r="U12" s="193"/>
      <c r="V12" s="193"/>
      <c r="W12" s="193"/>
      <c r="X12" s="193"/>
      <c r="Y12" s="193"/>
      <c r="Z12" s="193"/>
    </row>
    <row r="13" spans="1:26" s="197" customFormat="1" ht="18.45" customHeight="1">
      <c r="A13" s="600" t="s">
        <v>53</v>
      </c>
      <c r="B13" s="601"/>
      <c r="C13" s="602"/>
      <c r="D13" s="565" t="s">
        <v>752</v>
      </c>
      <c r="E13" s="566"/>
      <c r="F13" s="232"/>
      <c r="G13" s="233" t="s">
        <v>304</v>
      </c>
      <c r="H13" s="234"/>
      <c r="I13" s="235" t="s">
        <v>305</v>
      </c>
      <c r="J13" s="236" t="s">
        <v>381</v>
      </c>
      <c r="K13" s="237" t="s">
        <v>175</v>
      </c>
      <c r="L13" s="193"/>
      <c r="M13" s="193"/>
      <c r="N13" s="193"/>
      <c r="O13" s="193"/>
      <c r="P13" s="193"/>
      <c r="Q13" s="193"/>
      <c r="R13" s="193"/>
      <c r="S13" s="193"/>
      <c r="T13" s="193"/>
      <c r="U13" s="193"/>
      <c r="V13" s="193"/>
      <c r="W13" s="193"/>
      <c r="X13" s="193"/>
      <c r="Y13" s="193"/>
      <c r="Z13" s="193"/>
    </row>
    <row r="14" spans="1:26" s="197" customFormat="1" ht="18.45" customHeight="1">
      <c r="A14" s="600" t="s">
        <v>56</v>
      </c>
      <c r="B14" s="601"/>
      <c r="C14" s="602"/>
      <c r="D14" s="603">
        <v>915</v>
      </c>
      <c r="E14" s="604"/>
      <c r="F14" s="232"/>
      <c r="G14" s="238" t="s">
        <v>10</v>
      </c>
      <c r="H14" s="239"/>
      <c r="I14" s="239"/>
      <c r="J14" s="221" t="s">
        <v>175</v>
      </c>
      <c r="K14" s="218" t="s">
        <v>175</v>
      </c>
      <c r="L14" s="193"/>
      <c r="M14" s="193"/>
      <c r="N14" s="193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</row>
    <row r="15" spans="1:26" s="197" customFormat="1" ht="18.45" customHeight="1">
      <c r="A15" s="597" t="s">
        <v>306</v>
      </c>
      <c r="B15" s="598"/>
      <c r="C15" s="599"/>
      <c r="D15" s="577">
        <v>11.88960075378418</v>
      </c>
      <c r="E15" s="578"/>
      <c r="F15" s="232"/>
      <c r="G15" s="238" t="s">
        <v>307</v>
      </c>
      <c r="H15" s="239"/>
      <c r="I15" s="239"/>
      <c r="J15" s="221" t="s">
        <v>175</v>
      </c>
      <c r="K15" s="218" t="s">
        <v>175</v>
      </c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</row>
    <row r="16" spans="1:26" s="197" customFormat="1" ht="18.45" customHeight="1">
      <c r="A16" s="574" t="s">
        <v>308</v>
      </c>
      <c r="B16" s="575"/>
      <c r="C16" s="576"/>
      <c r="D16" s="577">
        <v>3.3276002407073975</v>
      </c>
      <c r="E16" s="578"/>
      <c r="F16" s="240"/>
      <c r="G16" s="241" t="s">
        <v>17</v>
      </c>
      <c r="H16" s="242"/>
      <c r="I16" s="242"/>
      <c r="J16" s="227" t="s">
        <v>175</v>
      </c>
      <c r="K16" s="228" t="s">
        <v>175</v>
      </c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</row>
    <row r="17" spans="1:26" s="197" customFormat="1" ht="18.45" customHeight="1">
      <c r="A17" s="243" t="s">
        <v>309</v>
      </c>
      <c r="B17" s="244"/>
      <c r="C17" s="245"/>
      <c r="D17" s="579" t="s">
        <v>380</v>
      </c>
      <c r="E17" s="580"/>
      <c r="F17" s="581" t="s">
        <v>310</v>
      </c>
      <c r="G17" s="582"/>
      <c r="H17" s="582"/>
      <c r="I17" s="582"/>
      <c r="J17" s="582"/>
      <c r="K17" s="583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</row>
    <row r="18" spans="1:26" s="197" customFormat="1" ht="18.45" customHeight="1">
      <c r="A18" s="246" t="s">
        <v>311</v>
      </c>
      <c r="B18" s="247"/>
      <c r="C18" s="245"/>
      <c r="D18" s="584" t="s">
        <v>175</v>
      </c>
      <c r="E18" s="585"/>
      <c r="F18" s="586"/>
      <c r="G18" s="587"/>
      <c r="H18" s="248" t="s">
        <v>312</v>
      </c>
      <c r="I18" s="249"/>
      <c r="J18" s="217" t="s">
        <v>754</v>
      </c>
      <c r="K18" s="218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93"/>
    </row>
    <row r="19" spans="1:26" s="197" customFormat="1" ht="18.45" customHeight="1">
      <c r="A19" s="592" t="s">
        <v>313</v>
      </c>
      <c r="B19" s="593"/>
      <c r="C19" s="594"/>
      <c r="D19" s="595" t="s">
        <v>175</v>
      </c>
      <c r="E19" s="580"/>
      <c r="F19" s="588"/>
      <c r="G19" s="589"/>
      <c r="H19" s="248" t="s">
        <v>5</v>
      </c>
      <c r="I19" s="210"/>
      <c r="J19" s="217">
        <v>1190</v>
      </c>
      <c r="K19" s="218"/>
      <c r="L19" s="193"/>
      <c r="M19" s="193"/>
      <c r="N19" s="193"/>
      <c r="O19" s="193"/>
      <c r="P19" s="193"/>
      <c r="Q19" s="193"/>
      <c r="R19" s="193"/>
      <c r="S19" s="193"/>
      <c r="T19" s="193"/>
      <c r="U19" s="193"/>
      <c r="V19" s="193"/>
      <c r="W19" s="193"/>
      <c r="X19" s="193"/>
      <c r="Y19" s="193"/>
      <c r="Z19" s="193"/>
    </row>
    <row r="20" spans="1:26" s="197" customFormat="1" ht="18.45" customHeight="1" thickBot="1">
      <c r="A20" s="250" t="s">
        <v>314</v>
      </c>
      <c r="C20" s="251"/>
      <c r="D20" s="596" t="s">
        <v>200</v>
      </c>
      <c r="E20" s="548"/>
      <c r="F20" s="588"/>
      <c r="G20" s="589"/>
      <c r="H20" s="248" t="s">
        <v>315</v>
      </c>
      <c r="I20" s="210"/>
      <c r="J20" s="221" t="s">
        <v>363</v>
      </c>
      <c r="K20" s="218"/>
      <c r="L20" s="193"/>
      <c r="M20" s="193"/>
      <c r="N20" s="193"/>
      <c r="O20" s="193"/>
      <c r="P20" s="193"/>
      <c r="Q20" s="193"/>
      <c r="R20" s="193"/>
      <c r="S20" s="193"/>
      <c r="T20" s="193"/>
      <c r="U20" s="193"/>
      <c r="V20" s="193"/>
      <c r="W20" s="193"/>
      <c r="X20" s="193"/>
      <c r="Y20" s="193"/>
      <c r="Z20" s="193"/>
    </row>
    <row r="21" spans="1:26" s="197" customFormat="1" ht="18.45" customHeight="1" thickBot="1">
      <c r="A21" s="597" t="s">
        <v>316</v>
      </c>
      <c r="B21" s="598"/>
      <c r="C21" s="599"/>
      <c r="D21" s="547" t="s">
        <v>175</v>
      </c>
      <c r="E21" s="548"/>
      <c r="F21" s="588"/>
      <c r="G21" s="589"/>
      <c r="H21" s="252" t="s">
        <v>317</v>
      </c>
      <c r="I21" s="210"/>
      <c r="J21" s="221">
        <v>1.1499999999999999</v>
      </c>
      <c r="K21" s="218"/>
      <c r="L21" s="193"/>
      <c r="M21" s="193"/>
      <c r="N21" s="193"/>
      <c r="O21" s="193"/>
      <c r="P21" s="193"/>
      <c r="Q21" s="194" t="s">
        <v>318</v>
      </c>
      <c r="R21" s="196"/>
      <c r="S21" s="193"/>
      <c r="T21" s="193"/>
      <c r="U21" s="193"/>
      <c r="V21" s="193"/>
      <c r="W21" s="193"/>
      <c r="X21" s="193"/>
      <c r="Y21" s="193"/>
      <c r="Z21" s="193"/>
    </row>
    <row r="22" spans="1:26" s="197" customFormat="1" ht="18.45" customHeight="1">
      <c r="A22" s="246" t="s">
        <v>319</v>
      </c>
      <c r="B22" s="253"/>
      <c r="C22" s="253"/>
      <c r="D22" s="563">
        <v>0.25479999184608459</v>
      </c>
      <c r="E22" s="564"/>
      <c r="F22" s="588"/>
      <c r="G22" s="589"/>
      <c r="H22" s="248" t="s">
        <v>276</v>
      </c>
      <c r="I22" s="210"/>
      <c r="J22" s="221" t="s">
        <v>175</v>
      </c>
      <c r="K22" s="218"/>
      <c r="L22" s="193"/>
      <c r="M22" s="193"/>
      <c r="N22" s="193"/>
      <c r="O22" s="193"/>
      <c r="P22" s="193"/>
      <c r="Q22" s="204" t="s">
        <v>321</v>
      </c>
      <c r="R22" s="206"/>
      <c r="S22" s="193"/>
      <c r="T22" s="193"/>
      <c r="U22" s="193"/>
      <c r="V22" s="193"/>
      <c r="W22" s="193"/>
      <c r="X22" s="193"/>
      <c r="Y22" s="193"/>
      <c r="Z22" s="193"/>
    </row>
    <row r="23" spans="1:26" s="197" customFormat="1" ht="18.45" customHeight="1">
      <c r="A23" s="254" t="s">
        <v>322</v>
      </c>
      <c r="B23" s="255" t="s">
        <v>323</v>
      </c>
      <c r="C23" s="256"/>
      <c r="D23" s="565">
        <v>153.6</v>
      </c>
      <c r="E23" s="566"/>
      <c r="F23" s="588"/>
      <c r="G23" s="589"/>
      <c r="H23" s="257" t="s">
        <v>324</v>
      </c>
      <c r="I23" s="258"/>
      <c r="J23" s="349" t="s">
        <v>175</v>
      </c>
      <c r="K23" s="259"/>
      <c r="L23" s="193"/>
      <c r="Q23" s="204" t="s">
        <v>325</v>
      </c>
      <c r="R23" s="206"/>
      <c r="S23" s="193"/>
      <c r="T23" s="193"/>
      <c r="U23" s="193"/>
      <c r="V23" s="193"/>
      <c r="W23" s="193"/>
      <c r="X23" s="193"/>
      <c r="Y23" s="193"/>
      <c r="Z23" s="193"/>
    </row>
    <row r="24" spans="1:26" s="197" customFormat="1" ht="18.45" customHeight="1" thickBot="1">
      <c r="A24" s="260" t="s">
        <v>326</v>
      </c>
      <c r="B24" s="261" t="s">
        <v>327</v>
      </c>
      <c r="C24" s="262"/>
      <c r="D24" s="567">
        <v>173.4</v>
      </c>
      <c r="E24" s="568"/>
      <c r="F24" s="588"/>
      <c r="G24" s="589"/>
      <c r="H24" s="248" t="s">
        <v>328</v>
      </c>
      <c r="I24" s="231"/>
      <c r="J24" s="350" t="s">
        <v>175</v>
      </c>
      <c r="K24" s="263"/>
      <c r="Q24" s="264" t="s">
        <v>175</v>
      </c>
      <c r="R24" s="265"/>
      <c r="S24" s="193"/>
      <c r="T24" s="193"/>
      <c r="U24" s="193"/>
      <c r="V24" s="193"/>
      <c r="W24" s="193"/>
      <c r="X24" s="193"/>
      <c r="Y24" s="193"/>
      <c r="Z24" s="193"/>
    </row>
    <row r="25" spans="1:26" s="197" customFormat="1" ht="18.45" customHeight="1">
      <c r="A25" s="266" t="s">
        <v>329</v>
      </c>
      <c r="B25" s="267"/>
      <c r="C25" s="267"/>
      <c r="D25" s="268"/>
      <c r="E25" s="268" t="s">
        <v>330</v>
      </c>
      <c r="F25" s="588"/>
      <c r="G25" s="589"/>
      <c r="H25" s="248" t="s">
        <v>331</v>
      </c>
      <c r="I25" s="231"/>
      <c r="J25" s="351" t="s">
        <v>175</v>
      </c>
      <c r="K25" s="263"/>
      <c r="R25" s="193"/>
      <c r="S25" s="193"/>
      <c r="T25" s="193"/>
      <c r="U25" s="193"/>
      <c r="V25" s="193"/>
      <c r="W25" s="193"/>
      <c r="X25" s="193"/>
      <c r="Y25" s="193"/>
      <c r="Z25" s="193"/>
    </row>
    <row r="26" spans="1:26" s="197" customFormat="1" ht="18.45" customHeight="1">
      <c r="A26" s="269" t="s">
        <v>332</v>
      </c>
      <c r="B26" s="270"/>
      <c r="C26" s="271"/>
      <c r="D26" s="272" t="s">
        <v>382</v>
      </c>
      <c r="E26" s="272" t="s">
        <v>383</v>
      </c>
      <c r="F26" s="590"/>
      <c r="G26" s="591"/>
      <c r="H26" s="569"/>
      <c r="I26" s="570"/>
      <c r="J26" s="273"/>
      <c r="K26" s="274"/>
      <c r="R26" s="193"/>
      <c r="S26" s="193"/>
      <c r="T26" s="193"/>
      <c r="U26" s="193"/>
      <c r="V26" s="193"/>
      <c r="W26" s="193"/>
      <c r="X26" s="193"/>
      <c r="Y26" s="193"/>
      <c r="Z26" s="193"/>
    </row>
    <row r="27" spans="1:26" s="197" customFormat="1" ht="18.45" customHeight="1">
      <c r="A27" s="555" t="s">
        <v>333</v>
      </c>
      <c r="B27" s="556"/>
      <c r="C27" s="556"/>
      <c r="D27" s="556"/>
      <c r="E27" s="556"/>
      <c r="F27" s="571" t="s">
        <v>334</v>
      </c>
      <c r="G27" s="572"/>
      <c r="H27" s="572"/>
      <c r="I27" s="572"/>
      <c r="J27" s="572"/>
      <c r="K27" s="573"/>
      <c r="R27" s="193"/>
      <c r="S27" s="193"/>
      <c r="T27" s="193"/>
      <c r="U27" s="193"/>
      <c r="V27" s="193"/>
      <c r="W27" s="193"/>
      <c r="X27" s="193"/>
      <c r="Y27" s="193"/>
      <c r="Z27" s="193"/>
    </row>
    <row r="28" spans="1:26" s="197" customFormat="1" ht="18.45" customHeight="1">
      <c r="A28" s="549"/>
      <c r="B28" s="550"/>
      <c r="C28" s="550"/>
      <c r="D28" s="550"/>
      <c r="E28" s="551"/>
      <c r="F28" s="275"/>
      <c r="G28" s="276"/>
      <c r="H28" s="238" t="s">
        <v>335</v>
      </c>
      <c r="I28" s="277">
        <v>417</v>
      </c>
      <c r="J28" s="217" t="s">
        <v>753</v>
      </c>
      <c r="K28" s="212" t="s">
        <v>175</v>
      </c>
      <c r="M28" s="278" t="e">
        <f>J28/J18</f>
        <v>#VALUE!</v>
      </c>
      <c r="R28" s="193"/>
      <c r="S28" s="193"/>
      <c r="T28" s="193"/>
      <c r="U28" s="193"/>
      <c r="V28" s="193"/>
      <c r="W28" s="193"/>
      <c r="X28" s="193"/>
      <c r="Y28" s="193"/>
      <c r="Z28" s="193"/>
    </row>
    <row r="29" spans="1:26" s="197" customFormat="1" ht="18.45" customHeight="1">
      <c r="A29" s="549"/>
      <c r="B29" s="550"/>
      <c r="C29" s="550"/>
      <c r="D29" s="550"/>
      <c r="E29" s="551"/>
      <c r="F29" s="279"/>
      <c r="G29" s="280"/>
      <c r="H29" s="238" t="s">
        <v>336</v>
      </c>
      <c r="I29" s="281">
        <v>60</v>
      </c>
      <c r="J29" s="217">
        <v>132</v>
      </c>
      <c r="K29" s="212" t="s">
        <v>175</v>
      </c>
      <c r="Q29" s="193"/>
      <c r="R29" s="193"/>
      <c r="S29" s="193"/>
      <c r="T29" s="193"/>
      <c r="U29" s="193"/>
      <c r="V29" s="193"/>
      <c r="W29" s="193"/>
      <c r="X29" s="193"/>
      <c r="Y29" s="193"/>
      <c r="Z29" s="193"/>
    </row>
    <row r="30" spans="1:26" s="197" customFormat="1" ht="18.45" customHeight="1">
      <c r="A30" s="549"/>
      <c r="B30" s="550"/>
      <c r="C30" s="550"/>
      <c r="D30" s="550"/>
      <c r="E30" s="551"/>
      <c r="F30" s="279"/>
      <c r="G30" s="280"/>
      <c r="H30" s="238" t="s">
        <v>337</v>
      </c>
      <c r="I30" s="281">
        <v>175</v>
      </c>
      <c r="J30" s="217">
        <v>215</v>
      </c>
      <c r="K30" s="212" t="s">
        <v>175</v>
      </c>
      <c r="L30" s="193"/>
      <c r="R30" s="193"/>
      <c r="S30" s="193"/>
      <c r="T30" s="193"/>
      <c r="U30" s="193"/>
      <c r="V30" s="193"/>
      <c r="W30" s="193"/>
      <c r="X30" s="193"/>
      <c r="Y30" s="193"/>
      <c r="Z30" s="193"/>
    </row>
    <row r="31" spans="1:26" s="197" customFormat="1" ht="18.45" customHeight="1">
      <c r="A31" s="549"/>
      <c r="B31" s="550"/>
      <c r="C31" s="550"/>
      <c r="D31" s="550"/>
      <c r="E31" s="551"/>
      <c r="F31" s="279"/>
      <c r="G31" s="280"/>
      <c r="H31" s="238" t="s">
        <v>338</v>
      </c>
      <c r="I31" s="239"/>
      <c r="J31" s="282">
        <v>0.92</v>
      </c>
      <c r="K31" s="212" t="s">
        <v>175</v>
      </c>
      <c r="L31" s="193"/>
      <c r="R31" s="193"/>
      <c r="S31" s="193"/>
      <c r="T31" s="193"/>
      <c r="U31" s="193"/>
      <c r="V31" s="193"/>
      <c r="W31" s="193"/>
      <c r="X31" s="193"/>
      <c r="Y31" s="193"/>
      <c r="Z31" s="193"/>
    </row>
    <row r="32" spans="1:26" s="197" customFormat="1" ht="18.45" customHeight="1">
      <c r="A32" s="552"/>
      <c r="B32" s="553"/>
      <c r="C32" s="553"/>
      <c r="D32" s="553"/>
      <c r="E32" s="554"/>
      <c r="F32" s="279"/>
      <c r="G32" s="283" t="s">
        <v>339</v>
      </c>
      <c r="H32" s="238" t="s">
        <v>340</v>
      </c>
      <c r="I32" s="284"/>
      <c r="J32" s="211">
        <v>95.3</v>
      </c>
      <c r="K32" s="212" t="s">
        <v>175</v>
      </c>
      <c r="L32" s="193"/>
      <c r="R32" s="193"/>
      <c r="S32" s="193"/>
      <c r="T32" s="193"/>
      <c r="U32" s="193"/>
      <c r="V32" s="193"/>
      <c r="W32" s="193"/>
      <c r="X32" s="193"/>
      <c r="Y32" s="193"/>
      <c r="Z32" s="193"/>
    </row>
    <row r="33" spans="1:26" s="197" customFormat="1" ht="18.45" customHeight="1">
      <c r="A33" s="555" t="s">
        <v>341</v>
      </c>
      <c r="B33" s="556"/>
      <c r="C33" s="556"/>
      <c r="D33" s="556"/>
      <c r="E33" s="557"/>
      <c r="F33" s="285"/>
      <c r="G33" s="286"/>
      <c r="H33" s="287" t="s">
        <v>342</v>
      </c>
      <c r="I33" s="288"/>
      <c r="J33" s="289">
        <v>80.599999999999994</v>
      </c>
      <c r="K33" s="290" t="s">
        <v>175</v>
      </c>
      <c r="L33" s="193"/>
      <c r="R33" s="193"/>
      <c r="S33" s="193"/>
      <c r="T33" s="193"/>
      <c r="U33" s="193"/>
      <c r="V33" s="193"/>
      <c r="W33" s="193"/>
      <c r="X33" s="193"/>
      <c r="Y33" s="193"/>
      <c r="Z33" s="193"/>
    </row>
    <row r="34" spans="1:26" s="197" customFormat="1" ht="18.45" customHeight="1">
      <c r="A34" s="549"/>
      <c r="B34" s="550"/>
      <c r="C34" s="550"/>
      <c r="D34" s="550"/>
      <c r="E34" s="551"/>
      <c r="F34" s="213" t="s">
        <v>343</v>
      </c>
      <c r="G34" s="291"/>
      <c r="H34" s="292" t="s">
        <v>14</v>
      </c>
      <c r="I34" s="293"/>
      <c r="J34" s="294">
        <v>5225</v>
      </c>
      <c r="K34" s="295" t="s">
        <v>175</v>
      </c>
      <c r="L34" s="296"/>
      <c r="R34" s="193"/>
      <c r="S34" s="193"/>
      <c r="T34" s="193"/>
      <c r="U34" s="193"/>
      <c r="V34" s="193"/>
      <c r="W34" s="193"/>
      <c r="X34" s="193"/>
      <c r="Y34" s="193"/>
      <c r="Z34" s="193"/>
    </row>
    <row r="35" spans="1:26" s="197" customFormat="1" ht="18.45" customHeight="1">
      <c r="A35" s="549"/>
      <c r="B35" s="550"/>
      <c r="C35" s="550"/>
      <c r="D35" s="550"/>
      <c r="E35" s="551"/>
      <c r="F35" s="232"/>
      <c r="G35" s="297"/>
      <c r="H35" s="298" t="s">
        <v>15</v>
      </c>
      <c r="I35" s="299"/>
      <c r="J35" s="217">
        <v>3443</v>
      </c>
      <c r="K35" s="212" t="s">
        <v>175</v>
      </c>
      <c r="R35" s="193"/>
      <c r="S35" s="193"/>
      <c r="T35" s="193"/>
      <c r="U35" s="193"/>
      <c r="V35" s="193"/>
      <c r="W35" s="193"/>
      <c r="X35" s="193"/>
      <c r="Y35" s="193"/>
      <c r="Z35" s="193"/>
    </row>
    <row r="36" spans="1:26" s="197" customFormat="1" ht="18.45" customHeight="1">
      <c r="A36" s="549"/>
      <c r="B36" s="550"/>
      <c r="C36" s="550"/>
      <c r="D36" s="550"/>
      <c r="E36" s="551"/>
      <c r="F36" s="232"/>
      <c r="G36" s="297"/>
      <c r="H36" s="298" t="s">
        <v>344</v>
      </c>
      <c r="I36" s="299"/>
      <c r="J36" s="217">
        <v>3586</v>
      </c>
      <c r="K36" s="212" t="s">
        <v>175</v>
      </c>
      <c r="Q36" s="193"/>
      <c r="R36" s="193"/>
      <c r="S36" s="193"/>
      <c r="T36" s="193"/>
      <c r="U36" s="193"/>
      <c r="V36" s="193"/>
      <c r="W36" s="193"/>
      <c r="X36" s="193"/>
      <c r="Y36" s="193"/>
      <c r="Z36" s="193"/>
    </row>
    <row r="37" spans="1:26" s="197" customFormat="1" ht="18.45" customHeight="1">
      <c r="A37" s="549"/>
      <c r="B37" s="550"/>
      <c r="C37" s="550"/>
      <c r="D37" s="550"/>
      <c r="E37" s="551"/>
      <c r="F37" s="279"/>
      <c r="G37" s="297"/>
      <c r="H37" s="298" t="s">
        <v>345</v>
      </c>
      <c r="I37" s="299"/>
      <c r="J37" s="217">
        <v>3408</v>
      </c>
      <c r="K37" s="212" t="s">
        <v>175</v>
      </c>
      <c r="R37" s="193"/>
      <c r="S37" s="193"/>
      <c r="T37" s="193"/>
      <c r="U37" s="193"/>
      <c r="V37" s="193"/>
      <c r="W37" s="193"/>
      <c r="X37" s="193"/>
      <c r="Y37" s="193"/>
      <c r="Z37" s="193"/>
    </row>
    <row r="38" spans="1:26" s="197" customFormat="1" ht="18.45" customHeight="1">
      <c r="A38" s="552"/>
      <c r="B38" s="553"/>
      <c r="C38" s="553"/>
      <c r="D38" s="553"/>
      <c r="E38" s="554"/>
      <c r="F38" s="240"/>
      <c r="G38" s="300"/>
      <c r="H38" s="301" t="s">
        <v>346</v>
      </c>
      <c r="I38" s="302"/>
      <c r="J38" s="303">
        <v>2929</v>
      </c>
      <c r="K38" s="304" t="s">
        <v>175</v>
      </c>
      <c r="R38" s="193"/>
      <c r="S38" s="193"/>
      <c r="T38" s="193"/>
      <c r="U38" s="193"/>
      <c r="V38" s="193"/>
      <c r="W38" s="193"/>
      <c r="X38" s="193"/>
      <c r="Y38" s="193"/>
      <c r="Z38" s="193"/>
    </row>
    <row r="39" spans="1:26" s="197" customFormat="1" ht="18.45" customHeight="1">
      <c r="A39" s="555" t="s">
        <v>347</v>
      </c>
      <c r="B39" s="556"/>
      <c r="C39" s="556"/>
      <c r="D39" s="556"/>
      <c r="E39" s="556"/>
      <c r="F39" s="352" t="s">
        <v>348</v>
      </c>
      <c r="G39" s="361" t="s">
        <v>385</v>
      </c>
      <c r="H39" s="353"/>
      <c r="I39" s="353"/>
      <c r="J39" s="353"/>
      <c r="K39" s="354"/>
      <c r="R39" s="193"/>
      <c r="S39" s="193"/>
      <c r="T39" s="193"/>
      <c r="U39" s="193"/>
      <c r="V39" s="193"/>
      <c r="W39" s="193"/>
      <c r="X39" s="193"/>
      <c r="Y39" s="193"/>
      <c r="Z39" s="193"/>
    </row>
    <row r="40" spans="1:26" s="197" customFormat="1" ht="18.45" customHeight="1">
      <c r="A40" s="549"/>
      <c r="B40" s="550"/>
      <c r="C40" s="550"/>
      <c r="D40" s="550"/>
      <c r="E40" s="551"/>
      <c r="F40" s="355"/>
      <c r="G40" s="362" t="s">
        <v>386</v>
      </c>
      <c r="H40" s="356"/>
      <c r="I40" s="356"/>
      <c r="J40" s="356"/>
      <c r="K40" s="357"/>
      <c r="R40" s="193"/>
      <c r="S40" s="193"/>
      <c r="T40" s="193"/>
      <c r="U40" s="193"/>
      <c r="V40" s="193"/>
      <c r="W40" s="193"/>
      <c r="X40" s="193"/>
      <c r="Y40" s="193"/>
      <c r="Z40" s="193"/>
    </row>
    <row r="41" spans="1:26" s="197" customFormat="1" ht="18.45" customHeight="1">
      <c r="A41" s="549"/>
      <c r="B41" s="550"/>
      <c r="C41" s="550"/>
      <c r="D41" s="550"/>
      <c r="E41" s="551"/>
      <c r="F41" s="355"/>
      <c r="G41" s="362" t="s">
        <v>387</v>
      </c>
      <c r="H41" s="358"/>
      <c r="I41" s="358"/>
      <c r="J41" s="358"/>
      <c r="K41" s="359"/>
      <c r="L41" s="360"/>
      <c r="R41" s="193"/>
      <c r="S41" s="193"/>
      <c r="T41" s="193"/>
      <c r="U41" s="193"/>
      <c r="V41" s="193"/>
      <c r="W41" s="193"/>
      <c r="X41" s="193"/>
      <c r="Y41" s="193"/>
      <c r="Z41" s="193"/>
    </row>
    <row r="42" spans="1:26" s="197" customFormat="1" ht="18.45" customHeight="1">
      <c r="A42" s="549"/>
      <c r="B42" s="550"/>
      <c r="C42" s="550"/>
      <c r="D42" s="550"/>
      <c r="E42" s="551"/>
      <c r="F42" s="378"/>
      <c r="G42" s="377" t="s">
        <v>397</v>
      </c>
      <c r="H42" s="376"/>
      <c r="I42" s="376"/>
      <c r="J42" s="376"/>
      <c r="K42" s="375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Y42" s="193"/>
      <c r="Z42" s="193"/>
    </row>
    <row r="43" spans="1:26" s="197" customFormat="1" ht="18.45" customHeight="1">
      <c r="A43" s="549"/>
      <c r="B43" s="550"/>
      <c r="C43" s="550"/>
      <c r="D43" s="550"/>
      <c r="E43" s="551"/>
      <c r="F43" s="378"/>
      <c r="G43" s="377" t="s">
        <v>393</v>
      </c>
      <c r="H43" s="376"/>
      <c r="I43" s="376"/>
      <c r="J43" s="376"/>
      <c r="K43" s="375"/>
      <c r="L43" s="193" t="s">
        <v>395</v>
      </c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Y43" s="193"/>
      <c r="Z43" s="193"/>
    </row>
    <row r="44" spans="1:26" s="197" customFormat="1" ht="17.100000000000001" customHeight="1" thickBot="1">
      <c r="A44" s="558"/>
      <c r="B44" s="559"/>
      <c r="C44" s="559"/>
      <c r="D44" s="559"/>
      <c r="E44" s="560"/>
      <c r="F44" s="378"/>
      <c r="G44" s="377" t="s">
        <v>388</v>
      </c>
      <c r="H44" s="376"/>
      <c r="I44" s="376"/>
      <c r="J44" s="376"/>
      <c r="K44" s="375"/>
      <c r="L44" s="193" t="s">
        <v>389</v>
      </c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193"/>
      <c r="Z44" s="193"/>
    </row>
    <row r="45" spans="1:26" s="197" customFormat="1" ht="17.100000000000001" customHeight="1">
      <c r="A45" s="305" t="s">
        <v>349</v>
      </c>
      <c r="B45" s="561"/>
      <c r="C45" s="562"/>
      <c r="D45" s="306" t="s">
        <v>350</v>
      </c>
      <c r="E45" s="369" t="s">
        <v>392</v>
      </c>
      <c r="F45" s="374"/>
      <c r="G45" s="377" t="s">
        <v>394</v>
      </c>
      <c r="H45" s="376"/>
      <c r="I45" s="376"/>
      <c r="J45" s="376"/>
      <c r="K45" s="375"/>
      <c r="L45" s="193" t="s">
        <v>391</v>
      </c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Y45" s="193"/>
      <c r="Z45" s="193"/>
    </row>
    <row r="46" spans="1:26" s="197" customFormat="1" ht="17.100000000000001" customHeight="1" thickBot="1">
      <c r="A46" s="307" t="s">
        <v>351</v>
      </c>
      <c r="B46" s="542"/>
      <c r="C46" s="543"/>
      <c r="D46" s="308" t="s">
        <v>351</v>
      </c>
      <c r="E46" s="370">
        <v>40330</v>
      </c>
      <c r="F46" s="432"/>
      <c r="G46" s="433" t="s">
        <v>400</v>
      </c>
      <c r="H46" s="434"/>
      <c r="I46" s="434"/>
      <c r="J46" s="434"/>
      <c r="K46" s="435"/>
      <c r="L46" s="193" t="s">
        <v>396</v>
      </c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Y46" s="193"/>
      <c r="Z46" s="193"/>
    </row>
    <row r="47" spans="1:26" s="197" customFormat="1" ht="17.100000000000001" customHeight="1">
      <c r="F47" s="373" t="s">
        <v>390</v>
      </c>
      <c r="G47" s="193" t="s">
        <v>399</v>
      </c>
      <c r="H47" s="348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</row>
    <row r="48" spans="1:26" s="197" customFormat="1" ht="17.100000000000001" customHeight="1">
      <c r="F48" s="309"/>
      <c r="G48" s="197" t="s">
        <v>755</v>
      </c>
      <c r="H48" s="193"/>
      <c r="I48" s="193"/>
      <c r="J48" s="193"/>
    </row>
    <row r="49" spans="2:26" ht="17.100000000000001" customHeight="1">
      <c r="F49" s="183"/>
      <c r="G49" s="183"/>
      <c r="H49" s="183"/>
      <c r="I49" s="183"/>
      <c r="J49" s="183"/>
      <c r="K49" s="183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</row>
    <row r="50" spans="2:26">
      <c r="F50" s="183"/>
      <c r="G50" s="183"/>
      <c r="H50" s="183"/>
      <c r="I50" s="183"/>
      <c r="J50" s="183"/>
      <c r="K50" s="183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</row>
    <row r="51" spans="2:26">
      <c r="F51" s="183"/>
      <c r="G51" s="183"/>
      <c r="H51" s="183"/>
      <c r="I51" s="183"/>
      <c r="J51" s="183"/>
      <c r="K51" s="183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</row>
    <row r="52" spans="2:26">
      <c r="B52" s="183"/>
      <c r="C52" s="183"/>
      <c r="D52" s="183"/>
      <c r="E52" s="183"/>
      <c r="F52" s="183"/>
      <c r="G52" s="183"/>
      <c r="H52" s="183"/>
      <c r="I52" s="183"/>
      <c r="J52" s="183"/>
      <c r="K52" s="183"/>
      <c r="Q52" s="184"/>
      <c r="R52" s="184"/>
      <c r="S52" s="184"/>
      <c r="T52" s="184"/>
      <c r="U52" s="184"/>
      <c r="V52" s="184"/>
      <c r="W52" s="184"/>
      <c r="X52" s="184"/>
      <c r="Y52" s="184"/>
      <c r="Z52" s="184"/>
    </row>
    <row r="53" spans="2:26">
      <c r="F53" s="183"/>
      <c r="G53" s="183"/>
      <c r="H53" s="183"/>
      <c r="I53" s="183"/>
      <c r="J53" s="183"/>
      <c r="K53" s="183"/>
      <c r="Q53" s="184"/>
      <c r="R53" s="184"/>
      <c r="S53" s="184"/>
      <c r="T53" s="184"/>
      <c r="U53" s="184"/>
      <c r="V53" s="184"/>
      <c r="W53" s="184"/>
      <c r="X53" s="184"/>
      <c r="Y53" s="184"/>
      <c r="Z53" s="184"/>
    </row>
  </sheetData>
  <mergeCells count="49">
    <mergeCell ref="A1:K1"/>
    <mergeCell ref="A2:K2"/>
    <mergeCell ref="A5:C5"/>
    <mergeCell ref="A6:C6"/>
    <mergeCell ref="F6:K6"/>
    <mergeCell ref="F12:K12"/>
    <mergeCell ref="A7:C7"/>
    <mergeCell ref="D7:E7"/>
    <mergeCell ref="A8:C8"/>
    <mergeCell ref="D8:E8"/>
    <mergeCell ref="A9:C9"/>
    <mergeCell ref="A10:C10"/>
    <mergeCell ref="D10:E10"/>
    <mergeCell ref="A11:C11"/>
    <mergeCell ref="D11:E11"/>
    <mergeCell ref="D12:E12"/>
    <mergeCell ref="A13:C13"/>
    <mergeCell ref="D13:E13"/>
    <mergeCell ref="A14:C14"/>
    <mergeCell ref="D14:E14"/>
    <mergeCell ref="A15:C15"/>
    <mergeCell ref="D15:E15"/>
    <mergeCell ref="F27:K27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B46:C46"/>
    <mergeCell ref="J3:K3"/>
    <mergeCell ref="D6:E6"/>
    <mergeCell ref="D9:E9"/>
    <mergeCell ref="A28:E32"/>
    <mergeCell ref="A33:E33"/>
    <mergeCell ref="A34:E38"/>
    <mergeCell ref="A39:E39"/>
    <mergeCell ref="A40:E44"/>
    <mergeCell ref="B45:C45"/>
    <mergeCell ref="D21:E21"/>
    <mergeCell ref="D22:E22"/>
    <mergeCell ref="D23:E23"/>
    <mergeCell ref="D24:E24"/>
    <mergeCell ref="H26:I26"/>
    <mergeCell ref="A27:E27"/>
  </mergeCells>
  <dataValidations count="3">
    <dataValidation type="list" allowBlank="1" showInputMessage="1" sqref="D6:E6" xr:uid="{00000000-0002-0000-0100-000000000000}">
      <formula1>$T$5:$T$10</formula1>
    </dataValidation>
    <dataValidation type="list" allowBlank="1" showErrorMessage="1" error="Choose from list!" sqref="D21" xr:uid="{00000000-0002-0000-0100-000001000000}">
      <formula1>$Q$22:$Q$24</formula1>
    </dataValidation>
    <dataValidation type="list" allowBlank="1" showInputMessage="1" errorTitle="Hold on!" error="Enter a valid motor type!" prompt="Motor Type  Select one from the list or input name" sqref="K4" xr:uid="{00000000-0002-0000-0100-000002000000}">
      <formula1>$Q$5:$Q$11</formula1>
    </dataValidation>
  </dataValidations>
  <printOptions horizontalCentered="1" verticalCentered="1"/>
  <pageMargins left="0.25" right="0.25" top="0.5" bottom="0.5" header="0.5" footer="0.5"/>
  <pageSetup scale="82" orientation="portrait" blackAndWhite="1" horizont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79"/>
  <sheetViews>
    <sheetView topLeftCell="A40" zoomScale="75" zoomScaleNormal="75" workbookViewId="0"/>
  </sheetViews>
  <sheetFormatPr defaultColWidth="9.109375" defaultRowHeight="13.2"/>
  <cols>
    <col min="1" max="1" width="9.109375" style="315" customWidth="1"/>
    <col min="2" max="2" width="18.109375" style="315" customWidth="1"/>
    <col min="3" max="3" width="21.5546875" style="315" customWidth="1"/>
    <col min="4" max="4" width="21.33203125" style="315" bestFit="1" customWidth="1"/>
    <col min="5" max="5" width="6.88671875" style="315" bestFit="1" customWidth="1"/>
    <col min="6" max="6" width="29.88671875" style="315" customWidth="1"/>
    <col min="7" max="7" width="43.6640625" style="315" customWidth="1"/>
    <col min="8" max="8" width="17.109375" style="315" customWidth="1"/>
    <col min="9" max="9" width="7.88671875" style="315" customWidth="1"/>
    <col min="10" max="10" width="2.33203125" style="315" bestFit="1" customWidth="1"/>
    <col min="11" max="12" width="2.33203125" style="315" customWidth="1"/>
    <col min="13" max="13" width="2.5546875" style="315" bestFit="1" customWidth="1"/>
    <col min="14" max="14" width="2.33203125" style="315" bestFit="1" customWidth="1"/>
    <col min="15" max="16384" width="9.109375" style="315"/>
  </cols>
  <sheetData>
    <row r="1" spans="2:14" ht="12.75" customHeight="1">
      <c r="B1" s="310"/>
      <c r="C1" s="311"/>
      <c r="D1" s="311"/>
      <c r="E1" s="311"/>
      <c r="F1" s="311"/>
      <c r="G1" s="311"/>
      <c r="H1" s="312"/>
      <c r="I1" s="313"/>
      <c r="J1" s="314" t="s">
        <v>352</v>
      </c>
      <c r="K1" s="314" t="s">
        <v>353</v>
      </c>
      <c r="L1" s="314" t="s">
        <v>354</v>
      </c>
      <c r="M1" s="314" t="s">
        <v>353</v>
      </c>
      <c r="N1" s="314"/>
    </row>
    <row r="2" spans="2:14" ht="12.75" customHeight="1">
      <c r="B2" s="639" t="s">
        <v>355</v>
      </c>
      <c r="C2" s="640"/>
      <c r="D2" s="640"/>
      <c r="E2" s="640"/>
      <c r="F2" s="640"/>
      <c r="G2" s="640"/>
      <c r="H2" s="316"/>
      <c r="I2" s="317"/>
      <c r="J2" s="318" t="s">
        <v>356</v>
      </c>
      <c r="K2" s="318" t="s">
        <v>357</v>
      </c>
      <c r="L2" s="318" t="s">
        <v>358</v>
      </c>
      <c r="M2" s="318" t="s">
        <v>359</v>
      </c>
      <c r="N2" s="318" t="s">
        <v>360</v>
      </c>
    </row>
    <row r="3" spans="2:14" ht="12.75" customHeight="1">
      <c r="B3" s="639"/>
      <c r="C3" s="640"/>
      <c r="D3" s="640"/>
      <c r="E3" s="640"/>
      <c r="F3" s="640"/>
      <c r="G3" s="640"/>
      <c r="H3" s="316"/>
      <c r="I3" s="317"/>
      <c r="J3" s="318" t="s">
        <v>361</v>
      </c>
      <c r="K3" s="318"/>
      <c r="L3" s="318" t="s">
        <v>362</v>
      </c>
      <c r="M3" s="318" t="s">
        <v>352</v>
      </c>
      <c r="N3" s="318"/>
    </row>
    <row r="4" spans="2:14" ht="12.75" customHeight="1">
      <c r="B4" s="639"/>
      <c r="C4" s="640"/>
      <c r="D4" s="640"/>
      <c r="E4" s="640"/>
      <c r="F4" s="640"/>
      <c r="G4" s="640"/>
      <c r="H4" s="316"/>
      <c r="I4" s="317"/>
      <c r="J4" s="318" t="s">
        <v>363</v>
      </c>
      <c r="K4" s="318"/>
      <c r="L4" s="318" t="s">
        <v>358</v>
      </c>
      <c r="M4" s="318" t="s">
        <v>356</v>
      </c>
      <c r="N4" s="318"/>
    </row>
    <row r="5" spans="2:14" ht="12.75" customHeight="1">
      <c r="B5" s="319"/>
      <c r="C5" s="320"/>
      <c r="D5" s="320"/>
      <c r="E5" s="320"/>
      <c r="F5" s="320"/>
      <c r="G5" s="320"/>
      <c r="H5" s="316"/>
      <c r="I5" s="317"/>
      <c r="J5" s="318"/>
      <c r="K5" s="318" t="s">
        <v>364</v>
      </c>
      <c r="L5" s="318" t="s">
        <v>353</v>
      </c>
      <c r="M5" s="318"/>
      <c r="N5" s="318" t="s">
        <v>358</v>
      </c>
    </row>
    <row r="6" spans="2:14" ht="12" customHeight="1">
      <c r="B6" s="321"/>
      <c r="C6" s="322"/>
      <c r="D6" s="322"/>
      <c r="F6" s="322"/>
      <c r="H6" s="323"/>
      <c r="I6" s="317"/>
      <c r="J6" s="318" t="s">
        <v>357</v>
      </c>
      <c r="K6" s="318" t="s">
        <v>365</v>
      </c>
      <c r="L6" s="318"/>
      <c r="M6" s="318" t="s">
        <v>353</v>
      </c>
      <c r="N6" s="318" t="s">
        <v>366</v>
      </c>
    </row>
    <row r="7" spans="2:14" ht="12.75" customHeight="1">
      <c r="B7" s="321"/>
      <c r="D7" s="324"/>
      <c r="H7" s="323"/>
      <c r="I7" s="317"/>
      <c r="J7" s="318" t="s">
        <v>184</v>
      </c>
      <c r="K7" s="318" t="s">
        <v>361</v>
      </c>
      <c r="L7" s="318" t="s">
        <v>361</v>
      </c>
      <c r="M7" s="318" t="s">
        <v>356</v>
      </c>
      <c r="N7" s="318" t="s">
        <v>367</v>
      </c>
    </row>
    <row r="8" spans="2:14" ht="12.75" customHeight="1">
      <c r="B8" s="321"/>
      <c r="G8" s="324"/>
      <c r="H8" s="325"/>
      <c r="I8" s="318" t="s">
        <v>367</v>
      </c>
      <c r="J8" s="318" t="s">
        <v>353</v>
      </c>
      <c r="K8" s="318" t="s">
        <v>368</v>
      </c>
      <c r="L8" s="318" t="s">
        <v>356</v>
      </c>
      <c r="M8" s="318" t="s">
        <v>367</v>
      </c>
      <c r="N8" s="318" t="s">
        <v>365</v>
      </c>
    </row>
    <row r="9" spans="2:14">
      <c r="B9" s="318" t="s">
        <v>369</v>
      </c>
      <c r="C9" s="325" t="s">
        <v>370</v>
      </c>
      <c r="D9" s="325" t="s">
        <v>371</v>
      </c>
      <c r="E9" s="325" t="s">
        <v>372</v>
      </c>
      <c r="F9" s="318" t="s">
        <v>373</v>
      </c>
      <c r="G9" s="318" t="s">
        <v>374</v>
      </c>
      <c r="H9" s="318" t="s">
        <v>375</v>
      </c>
      <c r="I9" s="318" t="s">
        <v>363</v>
      </c>
      <c r="J9" s="318" t="s">
        <v>184</v>
      </c>
      <c r="K9" s="318" t="s">
        <v>356</v>
      </c>
      <c r="L9" s="318" t="s">
        <v>368</v>
      </c>
      <c r="M9" s="318" t="s">
        <v>353</v>
      </c>
      <c r="N9" s="318" t="s">
        <v>354</v>
      </c>
    </row>
    <row r="10" spans="2:14" ht="15" customHeight="1">
      <c r="B10" s="326"/>
      <c r="C10" s="327"/>
      <c r="D10" s="327"/>
      <c r="E10" s="327"/>
      <c r="F10" s="328"/>
      <c r="G10" s="329"/>
      <c r="H10" s="329"/>
      <c r="I10" s="330"/>
      <c r="J10" s="331"/>
      <c r="K10" s="331"/>
      <c r="L10" s="331"/>
      <c r="M10" s="331"/>
      <c r="N10" s="332"/>
    </row>
    <row r="11" spans="2:14" ht="15" customHeight="1">
      <c r="B11" s="326"/>
      <c r="C11" s="328"/>
      <c r="D11" s="328"/>
      <c r="E11" s="328"/>
      <c r="F11" s="328"/>
      <c r="G11" s="328"/>
      <c r="H11" s="328"/>
      <c r="I11" s="333"/>
      <c r="J11" s="331"/>
      <c r="K11" s="331"/>
      <c r="L11" s="331"/>
      <c r="M11" s="331"/>
      <c r="N11" s="332"/>
    </row>
    <row r="12" spans="2:14" ht="15" customHeight="1">
      <c r="B12" s="326"/>
      <c r="C12" s="328"/>
      <c r="D12" s="328"/>
      <c r="E12" s="328"/>
      <c r="F12" s="328"/>
      <c r="G12" s="328"/>
      <c r="H12" s="328"/>
      <c r="I12" s="333"/>
      <c r="J12" s="334"/>
      <c r="K12" s="331"/>
      <c r="L12" s="331"/>
      <c r="M12" s="331"/>
      <c r="N12" s="332"/>
    </row>
    <row r="13" spans="2:14" ht="15" customHeight="1">
      <c r="B13" s="326"/>
      <c r="C13" s="328"/>
      <c r="D13" s="328"/>
      <c r="E13" s="328"/>
      <c r="F13" s="328"/>
      <c r="G13" s="328"/>
      <c r="H13" s="328"/>
      <c r="I13" s="333"/>
      <c r="J13" s="331"/>
      <c r="K13" s="331"/>
      <c r="L13" s="331"/>
      <c r="M13" s="331"/>
      <c r="N13" s="332"/>
    </row>
    <row r="14" spans="2:14" ht="15" customHeight="1">
      <c r="B14" s="326"/>
      <c r="C14" s="328"/>
      <c r="D14" s="328"/>
      <c r="E14" s="328"/>
      <c r="F14" s="328"/>
      <c r="G14" s="328"/>
      <c r="H14" s="328"/>
      <c r="I14" s="333"/>
      <c r="J14" s="331"/>
      <c r="K14" s="331"/>
      <c r="L14" s="331"/>
      <c r="M14" s="331"/>
      <c r="N14" s="332"/>
    </row>
    <row r="15" spans="2:14" ht="15" customHeight="1">
      <c r="B15" s="326"/>
      <c r="C15" s="328"/>
      <c r="D15" s="328"/>
      <c r="E15" s="328"/>
      <c r="F15" s="328"/>
      <c r="G15" s="328"/>
      <c r="H15" s="328"/>
      <c r="I15" s="333"/>
      <c r="J15" s="331"/>
      <c r="K15" s="331"/>
      <c r="L15" s="331"/>
      <c r="M15" s="331"/>
      <c r="N15" s="332"/>
    </row>
    <row r="16" spans="2:14" ht="15" customHeight="1">
      <c r="B16" s="326"/>
      <c r="C16" s="328"/>
      <c r="D16" s="328"/>
      <c r="E16" s="328"/>
      <c r="F16" s="328"/>
      <c r="G16" s="328"/>
      <c r="H16" s="328"/>
      <c r="I16" s="333"/>
      <c r="J16" s="331"/>
      <c r="K16" s="331"/>
      <c r="L16" s="331"/>
      <c r="M16" s="331"/>
      <c r="N16" s="332"/>
    </row>
    <row r="17" spans="2:14" ht="15" customHeight="1">
      <c r="B17" s="326"/>
      <c r="C17" s="328"/>
      <c r="D17" s="328"/>
      <c r="E17" s="328"/>
      <c r="F17" s="328"/>
      <c r="G17" s="328"/>
      <c r="H17" s="328"/>
      <c r="I17" s="333"/>
      <c r="J17" s="331"/>
      <c r="K17" s="331"/>
      <c r="L17" s="331"/>
      <c r="M17" s="331"/>
      <c r="N17" s="332"/>
    </row>
    <row r="18" spans="2:14" ht="15" customHeight="1">
      <c r="B18" s="326"/>
      <c r="C18" s="328"/>
      <c r="D18" s="328"/>
      <c r="E18" s="328"/>
      <c r="F18" s="328"/>
      <c r="G18" s="328"/>
      <c r="H18" s="328"/>
      <c r="I18" s="333"/>
      <c r="J18" s="331"/>
      <c r="K18" s="331"/>
      <c r="L18" s="331"/>
      <c r="M18" s="331"/>
      <c r="N18" s="332"/>
    </row>
    <row r="19" spans="2:14" ht="15" customHeight="1">
      <c r="B19" s="326"/>
      <c r="C19" s="328"/>
      <c r="D19" s="328"/>
      <c r="E19" s="328"/>
      <c r="F19" s="328"/>
      <c r="G19" s="328"/>
      <c r="H19" s="328"/>
      <c r="I19" s="333"/>
      <c r="J19" s="331"/>
      <c r="K19" s="331"/>
      <c r="L19" s="331"/>
      <c r="M19" s="331"/>
      <c r="N19" s="332"/>
    </row>
    <row r="20" spans="2:14" ht="15" customHeight="1">
      <c r="B20" s="326"/>
      <c r="C20" s="328"/>
      <c r="D20" s="328"/>
      <c r="E20" s="328"/>
      <c r="F20" s="328"/>
      <c r="G20" s="328"/>
      <c r="H20" s="328"/>
      <c r="I20" s="333"/>
      <c r="J20" s="331"/>
      <c r="K20" s="331"/>
      <c r="L20" s="331"/>
      <c r="M20" s="331"/>
      <c r="N20" s="332"/>
    </row>
    <row r="21" spans="2:14" ht="15" customHeight="1">
      <c r="B21" s="326"/>
      <c r="C21" s="328"/>
      <c r="D21" s="328"/>
      <c r="E21" s="328"/>
      <c r="F21" s="328"/>
      <c r="G21" s="328"/>
      <c r="H21" s="328"/>
      <c r="I21" s="333"/>
      <c r="J21" s="331"/>
      <c r="K21" s="331"/>
      <c r="L21" s="331"/>
      <c r="M21" s="331"/>
      <c r="N21" s="332"/>
    </row>
    <row r="22" spans="2:14" ht="15" customHeight="1">
      <c r="B22" s="326"/>
      <c r="C22" s="328"/>
      <c r="D22" s="328"/>
      <c r="E22" s="328"/>
      <c r="F22" s="328"/>
      <c r="G22" s="328"/>
      <c r="H22" s="328"/>
      <c r="I22" s="333"/>
      <c r="J22" s="331"/>
      <c r="K22" s="331"/>
      <c r="L22" s="331"/>
      <c r="M22" s="331"/>
      <c r="N22" s="332"/>
    </row>
    <row r="23" spans="2:14" ht="15" customHeight="1">
      <c r="B23" s="326"/>
      <c r="C23" s="328"/>
      <c r="D23" s="328"/>
      <c r="E23" s="328"/>
      <c r="F23" s="328"/>
      <c r="G23" s="328"/>
      <c r="H23" s="328"/>
      <c r="I23" s="333"/>
      <c r="J23" s="331"/>
      <c r="K23" s="331"/>
      <c r="L23" s="331"/>
      <c r="M23" s="331"/>
      <c r="N23" s="332"/>
    </row>
    <row r="24" spans="2:14" ht="15" customHeight="1">
      <c r="B24" s="326"/>
      <c r="C24" s="328"/>
      <c r="D24" s="328"/>
      <c r="E24" s="328"/>
      <c r="F24" s="328"/>
      <c r="G24" s="328"/>
      <c r="H24" s="328"/>
      <c r="I24" s="333"/>
      <c r="J24" s="331"/>
      <c r="K24" s="331"/>
      <c r="L24" s="331"/>
      <c r="M24" s="331"/>
      <c r="N24" s="332"/>
    </row>
    <row r="25" spans="2:14" ht="15" customHeight="1">
      <c r="B25" s="326"/>
      <c r="C25" s="328"/>
      <c r="D25" s="328"/>
      <c r="E25" s="328"/>
      <c r="F25" s="328"/>
      <c r="G25" s="328"/>
      <c r="H25" s="328"/>
      <c r="I25" s="333"/>
      <c r="J25" s="331"/>
      <c r="K25" s="331"/>
      <c r="L25" s="331"/>
      <c r="M25" s="331"/>
      <c r="N25" s="332"/>
    </row>
    <row r="26" spans="2:14" ht="15" customHeight="1">
      <c r="B26" s="326"/>
      <c r="C26" s="328"/>
      <c r="D26" s="328"/>
      <c r="E26" s="328"/>
      <c r="F26" s="328"/>
      <c r="G26" s="328"/>
      <c r="H26" s="328"/>
      <c r="I26" s="333"/>
      <c r="J26" s="331"/>
      <c r="K26" s="331"/>
      <c r="L26" s="331"/>
      <c r="M26" s="331"/>
      <c r="N26" s="332"/>
    </row>
    <row r="27" spans="2:14" ht="15" customHeight="1">
      <c r="B27" s="326"/>
      <c r="C27" s="328"/>
      <c r="D27" s="328"/>
      <c r="E27" s="328"/>
      <c r="F27" s="328"/>
      <c r="G27" s="328"/>
      <c r="H27" s="328"/>
      <c r="I27" s="333"/>
      <c r="J27" s="331"/>
      <c r="K27" s="331"/>
      <c r="L27" s="331"/>
      <c r="M27" s="331"/>
      <c r="N27" s="332"/>
    </row>
    <row r="28" spans="2:14" ht="15" customHeight="1">
      <c r="B28" s="326"/>
      <c r="C28" s="328"/>
      <c r="D28" s="328"/>
      <c r="E28" s="328"/>
      <c r="F28" s="328"/>
      <c r="G28" s="328"/>
      <c r="H28" s="328"/>
      <c r="I28" s="333"/>
      <c r="J28" s="331"/>
      <c r="K28" s="331"/>
      <c r="L28" s="331"/>
      <c r="M28" s="331"/>
      <c r="N28" s="332"/>
    </row>
    <row r="29" spans="2:14" ht="15" customHeight="1">
      <c r="B29" s="326"/>
      <c r="C29" s="328"/>
      <c r="D29" s="328"/>
      <c r="E29" s="328"/>
      <c r="F29" s="328"/>
      <c r="G29" s="328"/>
      <c r="H29" s="328"/>
      <c r="I29" s="333"/>
      <c r="J29" s="331"/>
      <c r="K29" s="331"/>
      <c r="L29" s="331"/>
      <c r="M29" s="331"/>
      <c r="N29" s="332"/>
    </row>
    <row r="30" spans="2:14" ht="15" customHeight="1">
      <c r="B30" s="326"/>
      <c r="C30" s="328"/>
      <c r="D30" s="328"/>
      <c r="E30" s="328"/>
      <c r="F30" s="328"/>
      <c r="G30" s="328"/>
      <c r="H30" s="328"/>
      <c r="I30" s="333"/>
      <c r="J30" s="331"/>
      <c r="K30" s="331"/>
      <c r="L30" s="331"/>
      <c r="M30" s="331"/>
      <c r="N30" s="332"/>
    </row>
    <row r="31" spans="2:14" ht="15" customHeight="1">
      <c r="B31" s="326"/>
      <c r="C31" s="328"/>
      <c r="D31" s="328"/>
      <c r="E31" s="328"/>
      <c r="F31" s="328"/>
      <c r="G31" s="328"/>
      <c r="H31" s="328"/>
      <c r="I31" s="333"/>
      <c r="J31" s="331"/>
      <c r="K31" s="331"/>
      <c r="L31" s="331"/>
      <c r="M31" s="331"/>
      <c r="N31" s="332"/>
    </row>
    <row r="32" spans="2:14" ht="15" customHeight="1">
      <c r="B32" s="326"/>
      <c r="C32" s="328"/>
      <c r="D32" s="328"/>
      <c r="E32" s="328"/>
      <c r="F32" s="328"/>
      <c r="G32" s="328"/>
      <c r="H32" s="328"/>
      <c r="I32" s="333"/>
      <c r="J32" s="331"/>
      <c r="K32" s="331"/>
      <c r="L32" s="331"/>
      <c r="M32" s="331"/>
      <c r="N32" s="332"/>
    </row>
    <row r="33" spans="2:14" ht="15" customHeight="1">
      <c r="B33" s="326"/>
      <c r="C33" s="328"/>
      <c r="D33" s="328"/>
      <c r="E33" s="328"/>
      <c r="F33" s="328"/>
      <c r="G33" s="328"/>
      <c r="H33" s="328"/>
      <c r="I33" s="333"/>
      <c r="J33" s="331"/>
      <c r="K33" s="331"/>
      <c r="L33" s="331"/>
      <c r="M33" s="331"/>
      <c r="N33" s="332"/>
    </row>
    <row r="34" spans="2:14" ht="15" customHeight="1">
      <c r="B34" s="326"/>
      <c r="C34" s="328"/>
      <c r="D34" s="328"/>
      <c r="E34" s="328"/>
      <c r="F34" s="328"/>
      <c r="G34" s="328"/>
      <c r="H34" s="328"/>
      <c r="I34" s="333"/>
      <c r="J34" s="331"/>
      <c r="K34" s="331"/>
      <c r="L34" s="331"/>
      <c r="M34" s="331"/>
      <c r="N34" s="332"/>
    </row>
    <row r="35" spans="2:14" ht="15" customHeight="1">
      <c r="B35" s="326"/>
      <c r="C35" s="328"/>
      <c r="D35" s="328"/>
      <c r="E35" s="328"/>
      <c r="F35" s="328"/>
      <c r="G35" s="328"/>
      <c r="H35" s="328"/>
      <c r="I35" s="333"/>
      <c r="J35" s="331"/>
      <c r="K35" s="331"/>
      <c r="L35" s="331"/>
      <c r="M35" s="331"/>
      <c r="N35" s="332"/>
    </row>
    <row r="36" spans="2:14" ht="15" customHeight="1">
      <c r="B36" s="326"/>
      <c r="C36" s="328"/>
      <c r="D36" s="328"/>
      <c r="E36" s="328"/>
      <c r="F36" s="328"/>
      <c r="G36" s="328"/>
      <c r="H36" s="328"/>
      <c r="I36" s="333"/>
      <c r="J36" s="331"/>
      <c r="K36" s="331"/>
      <c r="L36" s="331"/>
      <c r="M36" s="331"/>
      <c r="N36" s="332"/>
    </row>
    <row r="37" spans="2:14" ht="15" customHeight="1">
      <c r="B37" s="326"/>
      <c r="C37" s="328"/>
      <c r="D37" s="328"/>
      <c r="E37" s="328"/>
      <c r="F37" s="328"/>
      <c r="G37" s="328"/>
      <c r="H37" s="328"/>
      <c r="I37" s="333"/>
      <c r="J37" s="331"/>
      <c r="K37" s="331"/>
      <c r="L37" s="331"/>
      <c r="M37" s="331"/>
      <c r="N37" s="332"/>
    </row>
    <row r="38" spans="2:14" ht="15" customHeight="1">
      <c r="B38" s="326"/>
      <c r="C38" s="328"/>
      <c r="D38" s="328"/>
      <c r="E38" s="328"/>
      <c r="F38" s="328"/>
      <c r="G38" s="328"/>
      <c r="H38" s="328"/>
      <c r="I38" s="333"/>
      <c r="J38" s="331"/>
      <c r="K38" s="331"/>
      <c r="L38" s="331"/>
      <c r="M38" s="331"/>
      <c r="N38" s="332"/>
    </row>
    <row r="39" spans="2:14" ht="15" customHeight="1">
      <c r="B39" s="326"/>
      <c r="C39" s="328"/>
      <c r="D39" s="328"/>
      <c r="E39" s="328"/>
      <c r="F39" s="328"/>
      <c r="G39" s="328"/>
      <c r="H39" s="328"/>
      <c r="I39" s="333"/>
      <c r="J39" s="331"/>
      <c r="K39" s="331"/>
      <c r="L39" s="331"/>
      <c r="M39" s="331"/>
      <c r="N39" s="332"/>
    </row>
    <row r="40" spans="2:14" ht="15" customHeight="1">
      <c r="B40" s="326"/>
      <c r="C40" s="328"/>
      <c r="D40" s="328"/>
      <c r="E40" s="328"/>
      <c r="F40" s="328"/>
      <c r="G40" s="328"/>
      <c r="H40" s="328"/>
      <c r="I40" s="333"/>
      <c r="J40" s="331"/>
      <c r="K40" s="331"/>
      <c r="L40" s="331"/>
      <c r="M40" s="331"/>
      <c r="N40" s="332"/>
    </row>
    <row r="41" spans="2:14" ht="15" customHeight="1">
      <c r="B41" s="326"/>
      <c r="C41" s="328"/>
      <c r="D41" s="328"/>
      <c r="E41" s="328"/>
      <c r="F41" s="328"/>
      <c r="G41" s="328"/>
      <c r="H41" s="328"/>
      <c r="I41" s="333"/>
      <c r="J41" s="331"/>
      <c r="K41" s="331"/>
      <c r="L41" s="331"/>
      <c r="M41" s="331"/>
      <c r="N41" s="332"/>
    </row>
    <row r="42" spans="2:14" ht="15" customHeight="1">
      <c r="B42" s="326"/>
      <c r="C42" s="328"/>
      <c r="D42" s="328"/>
      <c r="E42" s="328"/>
      <c r="F42" s="328"/>
      <c r="G42" s="328"/>
      <c r="H42" s="328"/>
      <c r="I42" s="333"/>
      <c r="J42" s="331"/>
      <c r="K42" s="331"/>
      <c r="L42" s="331"/>
      <c r="M42" s="331"/>
      <c r="N42" s="332"/>
    </row>
    <row r="43" spans="2:14" ht="15" customHeight="1">
      <c r="B43" s="326"/>
      <c r="C43" s="328"/>
      <c r="D43" s="328"/>
      <c r="E43" s="328"/>
      <c r="F43" s="328"/>
      <c r="G43" s="328"/>
      <c r="H43" s="328"/>
      <c r="I43" s="333"/>
      <c r="J43" s="331"/>
      <c r="K43" s="331"/>
      <c r="L43" s="331"/>
      <c r="M43" s="331"/>
      <c r="N43" s="332"/>
    </row>
    <row r="44" spans="2:14" ht="15" customHeight="1">
      <c r="B44" s="326"/>
      <c r="C44" s="328"/>
      <c r="D44" s="328"/>
      <c r="E44" s="328"/>
      <c r="F44" s="328"/>
      <c r="G44" s="328"/>
      <c r="H44" s="328"/>
      <c r="I44" s="333"/>
      <c r="J44" s="331"/>
      <c r="K44" s="331"/>
      <c r="L44" s="331"/>
      <c r="M44" s="331"/>
      <c r="N44" s="332"/>
    </row>
    <row r="45" spans="2:14" ht="15" customHeight="1">
      <c r="B45" s="326"/>
      <c r="C45" s="328"/>
      <c r="D45" s="328"/>
      <c r="E45" s="328"/>
      <c r="F45" s="328"/>
      <c r="G45" s="328"/>
      <c r="H45" s="328"/>
      <c r="I45" s="333"/>
      <c r="J45" s="331"/>
      <c r="K45" s="331"/>
      <c r="L45" s="331"/>
      <c r="M45" s="331"/>
      <c r="N45" s="332"/>
    </row>
    <row r="46" spans="2:14" ht="15" customHeight="1">
      <c r="B46" s="326"/>
      <c r="C46" s="328"/>
      <c r="D46" s="328"/>
      <c r="E46" s="328"/>
      <c r="F46" s="328"/>
      <c r="G46" s="328"/>
      <c r="H46" s="328"/>
      <c r="I46" s="333"/>
      <c r="J46" s="331"/>
      <c r="K46" s="331"/>
      <c r="L46" s="331"/>
      <c r="M46" s="331"/>
      <c r="N46" s="332"/>
    </row>
    <row r="47" spans="2:14" ht="15" customHeight="1">
      <c r="B47" s="326"/>
      <c r="C47" s="328"/>
      <c r="D47" s="328"/>
      <c r="E47" s="328"/>
      <c r="F47" s="328"/>
      <c r="G47" s="328"/>
      <c r="H47" s="328"/>
      <c r="I47" s="333"/>
      <c r="J47" s="331"/>
      <c r="K47" s="331"/>
      <c r="L47" s="331"/>
      <c r="M47" s="331"/>
      <c r="N47" s="332"/>
    </row>
    <row r="48" spans="2:14" ht="15" customHeight="1">
      <c r="B48" s="326"/>
      <c r="C48" s="328"/>
      <c r="D48" s="328"/>
      <c r="E48" s="328"/>
      <c r="F48" s="328"/>
      <c r="G48" s="328"/>
      <c r="H48" s="328"/>
      <c r="I48" s="333"/>
      <c r="J48" s="331"/>
      <c r="K48" s="331"/>
      <c r="L48" s="331"/>
      <c r="M48" s="331"/>
      <c r="N48" s="332"/>
    </row>
    <row r="49" spans="2:14" ht="15" customHeight="1">
      <c r="B49" s="326"/>
      <c r="C49" s="328"/>
      <c r="D49" s="328"/>
      <c r="E49" s="328"/>
      <c r="F49" s="328"/>
      <c r="G49" s="328"/>
      <c r="H49" s="328"/>
      <c r="I49" s="333"/>
      <c r="J49" s="331"/>
      <c r="K49" s="331"/>
      <c r="L49" s="331"/>
      <c r="M49" s="331"/>
      <c r="N49" s="332"/>
    </row>
    <row r="50" spans="2:14" ht="15" customHeight="1">
      <c r="B50" s="326"/>
      <c r="C50" s="328"/>
      <c r="D50" s="328"/>
      <c r="E50" s="328"/>
      <c r="F50" s="328"/>
      <c r="G50" s="328"/>
      <c r="H50" s="328"/>
      <c r="I50" s="333"/>
      <c r="J50" s="331"/>
      <c r="K50" s="331"/>
      <c r="L50" s="331"/>
      <c r="M50" s="331"/>
      <c r="N50" s="332"/>
    </row>
    <row r="51" spans="2:14" ht="15" customHeight="1">
      <c r="B51" s="326"/>
      <c r="C51" s="328"/>
      <c r="D51" s="328"/>
      <c r="E51" s="328"/>
      <c r="F51" s="328"/>
      <c r="G51" s="328"/>
      <c r="H51" s="328"/>
      <c r="I51" s="333"/>
      <c r="J51" s="331"/>
      <c r="K51" s="331"/>
      <c r="L51" s="331"/>
      <c r="M51" s="331"/>
      <c r="N51" s="332"/>
    </row>
    <row r="52" spans="2:14" ht="15" customHeight="1" thickBot="1">
      <c r="B52" s="335"/>
      <c r="C52" s="336"/>
      <c r="D52" s="336"/>
      <c r="E52" s="336"/>
      <c r="F52" s="336"/>
      <c r="G52" s="336"/>
      <c r="H52" s="336"/>
      <c r="I52" s="337"/>
      <c r="J52" s="338"/>
      <c r="K52" s="338"/>
      <c r="L52" s="338"/>
      <c r="M52" s="338"/>
      <c r="N52" s="339"/>
    </row>
    <row r="53" spans="2:14" ht="20.25" customHeight="1" thickBot="1">
      <c r="B53" s="641" t="s">
        <v>376</v>
      </c>
      <c r="C53" s="641"/>
      <c r="D53" s="641"/>
      <c r="E53" s="641"/>
      <c r="F53" s="641"/>
      <c r="G53" s="641"/>
      <c r="H53" s="641"/>
      <c r="I53" s="641"/>
      <c r="J53" s="641"/>
      <c r="K53" s="641"/>
      <c r="L53" s="641"/>
      <c r="M53" s="641"/>
      <c r="N53" s="641"/>
    </row>
    <row r="54" spans="2:14" ht="15" customHeight="1" thickBot="1">
      <c r="B54" s="340" t="s">
        <v>377</v>
      </c>
      <c r="C54" s="642" t="s">
        <v>374</v>
      </c>
      <c r="D54" s="643"/>
      <c r="E54" s="643"/>
      <c r="F54" s="643"/>
      <c r="G54" s="643"/>
      <c r="H54" s="341"/>
      <c r="I54" s="642" t="s">
        <v>369</v>
      </c>
      <c r="J54" s="643"/>
      <c r="K54" s="644"/>
      <c r="L54" s="642" t="s">
        <v>378</v>
      </c>
      <c r="M54" s="643"/>
      <c r="N54" s="645"/>
    </row>
    <row r="55" spans="2:14" ht="15" customHeight="1">
      <c r="B55" s="342"/>
      <c r="C55" s="631"/>
      <c r="D55" s="632"/>
      <c r="E55" s="632"/>
      <c r="F55" s="632"/>
      <c r="G55" s="632"/>
      <c r="H55" s="343"/>
      <c r="I55" s="633"/>
      <c r="J55" s="634"/>
      <c r="K55" s="635"/>
      <c r="L55" s="636"/>
      <c r="M55" s="637"/>
      <c r="N55" s="638"/>
    </row>
    <row r="56" spans="2:14" ht="15" customHeight="1">
      <c r="B56" s="344"/>
      <c r="C56" s="615"/>
      <c r="D56" s="616"/>
      <c r="E56" s="616"/>
      <c r="F56" s="616"/>
      <c r="G56" s="616"/>
      <c r="H56" s="345"/>
      <c r="I56" s="617"/>
      <c r="J56" s="618"/>
      <c r="K56" s="619"/>
      <c r="L56" s="620"/>
      <c r="M56" s="621"/>
      <c r="N56" s="622"/>
    </row>
    <row r="57" spans="2:14" ht="15" customHeight="1">
      <c r="B57" s="344"/>
      <c r="C57" s="615"/>
      <c r="D57" s="616"/>
      <c r="E57" s="616"/>
      <c r="F57" s="616"/>
      <c r="G57" s="616"/>
      <c r="H57" s="345"/>
      <c r="I57" s="617"/>
      <c r="J57" s="618"/>
      <c r="K57" s="619"/>
      <c r="L57" s="620"/>
      <c r="M57" s="621"/>
      <c r="N57" s="622"/>
    </row>
    <row r="58" spans="2:14" ht="15" customHeight="1">
      <c r="B58" s="344"/>
      <c r="C58" s="615"/>
      <c r="D58" s="616"/>
      <c r="E58" s="616"/>
      <c r="F58" s="616"/>
      <c r="G58" s="616"/>
      <c r="H58" s="345"/>
      <c r="I58" s="617"/>
      <c r="J58" s="618"/>
      <c r="K58" s="619"/>
      <c r="L58" s="620"/>
      <c r="M58" s="621"/>
      <c r="N58" s="622"/>
    </row>
    <row r="59" spans="2:14" ht="15" customHeight="1">
      <c r="B59" s="344"/>
      <c r="C59" s="615"/>
      <c r="D59" s="616"/>
      <c r="E59" s="616"/>
      <c r="F59" s="616"/>
      <c r="G59" s="616"/>
      <c r="H59" s="345"/>
      <c r="I59" s="617"/>
      <c r="J59" s="618"/>
      <c r="K59" s="619"/>
      <c r="L59" s="620"/>
      <c r="M59" s="621"/>
      <c r="N59" s="622"/>
    </row>
    <row r="60" spans="2:14" ht="15" customHeight="1">
      <c r="B60" s="344"/>
      <c r="C60" s="615"/>
      <c r="D60" s="616"/>
      <c r="E60" s="616"/>
      <c r="F60" s="616"/>
      <c r="G60" s="616"/>
      <c r="H60" s="345"/>
      <c r="I60" s="617"/>
      <c r="J60" s="618"/>
      <c r="K60" s="619"/>
      <c r="L60" s="620"/>
      <c r="M60" s="621"/>
      <c r="N60" s="622"/>
    </row>
    <row r="61" spans="2:14" ht="15" customHeight="1">
      <c r="B61" s="344"/>
      <c r="C61" s="615"/>
      <c r="D61" s="616"/>
      <c r="E61" s="616"/>
      <c r="F61" s="616"/>
      <c r="G61" s="616"/>
      <c r="H61" s="345"/>
      <c r="I61" s="617"/>
      <c r="J61" s="618"/>
      <c r="K61" s="619"/>
      <c r="L61" s="620"/>
      <c r="M61" s="621"/>
      <c r="N61" s="622"/>
    </row>
    <row r="62" spans="2:14" ht="15" customHeight="1">
      <c r="B62" s="344"/>
      <c r="C62" s="615"/>
      <c r="D62" s="616"/>
      <c r="E62" s="616"/>
      <c r="F62" s="616"/>
      <c r="G62" s="616"/>
      <c r="H62" s="345"/>
      <c r="I62" s="617"/>
      <c r="J62" s="618"/>
      <c r="K62" s="619"/>
      <c r="L62" s="620"/>
      <c r="M62" s="621"/>
      <c r="N62" s="622"/>
    </row>
    <row r="63" spans="2:14" ht="15" customHeight="1">
      <c r="B63" s="344"/>
      <c r="C63" s="615"/>
      <c r="D63" s="616"/>
      <c r="E63" s="616"/>
      <c r="F63" s="616"/>
      <c r="G63" s="616"/>
      <c r="H63" s="345"/>
      <c r="I63" s="617"/>
      <c r="J63" s="618"/>
      <c r="K63" s="619"/>
      <c r="L63" s="620"/>
      <c r="M63" s="621"/>
      <c r="N63" s="622"/>
    </row>
    <row r="64" spans="2:14" ht="15" customHeight="1">
      <c r="B64" s="344"/>
      <c r="C64" s="615"/>
      <c r="D64" s="616"/>
      <c r="E64" s="616"/>
      <c r="F64" s="616"/>
      <c r="G64" s="616"/>
      <c r="H64" s="345"/>
      <c r="I64" s="617"/>
      <c r="J64" s="618"/>
      <c r="K64" s="619"/>
      <c r="L64" s="620"/>
      <c r="M64" s="621"/>
      <c r="N64" s="622"/>
    </row>
    <row r="65" spans="2:14" ht="15" customHeight="1">
      <c r="B65" s="344"/>
      <c r="C65" s="615"/>
      <c r="D65" s="616"/>
      <c r="E65" s="616"/>
      <c r="F65" s="616"/>
      <c r="G65" s="616"/>
      <c r="H65" s="345"/>
      <c r="I65" s="617"/>
      <c r="J65" s="618"/>
      <c r="K65" s="619"/>
      <c r="L65" s="620"/>
      <c r="M65" s="621"/>
      <c r="N65" s="622"/>
    </row>
    <row r="66" spans="2:14" ht="15" customHeight="1">
      <c r="B66" s="344"/>
      <c r="C66" s="615"/>
      <c r="D66" s="616"/>
      <c r="E66" s="616"/>
      <c r="F66" s="616"/>
      <c r="G66" s="616"/>
      <c r="H66" s="345"/>
      <c r="I66" s="617"/>
      <c r="J66" s="618"/>
      <c r="K66" s="619"/>
      <c r="L66" s="620"/>
      <c r="M66" s="621"/>
      <c r="N66" s="622"/>
    </row>
    <row r="67" spans="2:14" ht="15" customHeight="1">
      <c r="B67" s="344"/>
      <c r="C67" s="615"/>
      <c r="D67" s="616"/>
      <c r="E67" s="616"/>
      <c r="F67" s="616"/>
      <c r="G67" s="616"/>
      <c r="H67" s="345"/>
      <c r="I67" s="617"/>
      <c r="J67" s="618"/>
      <c r="K67" s="619"/>
      <c r="L67" s="620"/>
      <c r="M67" s="621"/>
      <c r="N67" s="622"/>
    </row>
    <row r="68" spans="2:14" ht="15" customHeight="1">
      <c r="B68" s="344"/>
      <c r="C68" s="615"/>
      <c r="D68" s="616"/>
      <c r="E68" s="616"/>
      <c r="F68" s="616"/>
      <c r="G68" s="616"/>
      <c r="H68" s="345"/>
      <c r="I68" s="617"/>
      <c r="J68" s="618"/>
      <c r="K68" s="619"/>
      <c r="L68" s="620"/>
      <c r="M68" s="621"/>
      <c r="N68" s="622"/>
    </row>
    <row r="69" spans="2:14" ht="15" customHeight="1">
      <c r="B69" s="344"/>
      <c r="C69" s="615"/>
      <c r="D69" s="616"/>
      <c r="E69" s="616"/>
      <c r="F69" s="616"/>
      <c r="G69" s="616"/>
      <c r="H69" s="345"/>
      <c r="I69" s="617"/>
      <c r="J69" s="618"/>
      <c r="K69" s="619"/>
      <c r="L69" s="620"/>
      <c r="M69" s="621"/>
      <c r="N69" s="622"/>
    </row>
    <row r="70" spans="2:14" ht="15" customHeight="1">
      <c r="B70" s="344"/>
      <c r="C70" s="615"/>
      <c r="D70" s="616"/>
      <c r="E70" s="616"/>
      <c r="F70" s="616"/>
      <c r="G70" s="616"/>
      <c r="H70" s="345"/>
      <c r="I70" s="617"/>
      <c r="J70" s="618"/>
      <c r="K70" s="619"/>
      <c r="L70" s="620"/>
      <c r="M70" s="621"/>
      <c r="N70" s="622"/>
    </row>
    <row r="71" spans="2:14" ht="15" customHeight="1">
      <c r="B71" s="344"/>
      <c r="C71" s="615"/>
      <c r="D71" s="616"/>
      <c r="E71" s="616"/>
      <c r="F71" s="616"/>
      <c r="G71" s="616"/>
      <c r="H71" s="345"/>
      <c r="I71" s="617"/>
      <c r="J71" s="618"/>
      <c r="K71" s="619"/>
      <c r="L71" s="620"/>
      <c r="M71" s="621"/>
      <c r="N71" s="622"/>
    </row>
    <row r="72" spans="2:14">
      <c r="B72" s="344"/>
      <c r="C72" s="615"/>
      <c r="D72" s="616"/>
      <c r="E72" s="616"/>
      <c r="F72" s="616"/>
      <c r="G72" s="616"/>
      <c r="H72" s="345"/>
      <c r="I72" s="617"/>
      <c r="J72" s="618"/>
      <c r="K72" s="619"/>
      <c r="L72" s="620"/>
      <c r="M72" s="621"/>
      <c r="N72" s="622"/>
    </row>
    <row r="73" spans="2:14">
      <c r="B73" s="344"/>
      <c r="C73" s="615"/>
      <c r="D73" s="616"/>
      <c r="E73" s="616"/>
      <c r="F73" s="616"/>
      <c r="G73" s="616"/>
      <c r="H73" s="345"/>
      <c r="I73" s="617"/>
      <c r="J73" s="618"/>
      <c r="K73" s="619"/>
      <c r="L73" s="620"/>
      <c r="M73" s="621"/>
      <c r="N73" s="622"/>
    </row>
    <row r="74" spans="2:14">
      <c r="B74" s="344"/>
      <c r="C74" s="615"/>
      <c r="D74" s="616"/>
      <c r="E74" s="616"/>
      <c r="F74" s="616"/>
      <c r="G74" s="616"/>
      <c r="H74" s="345"/>
      <c r="I74" s="617"/>
      <c r="J74" s="618"/>
      <c r="K74" s="619"/>
      <c r="L74" s="620"/>
      <c r="M74" s="621"/>
      <c r="N74" s="622"/>
    </row>
    <row r="75" spans="2:14">
      <c r="B75" s="344"/>
      <c r="C75" s="615"/>
      <c r="D75" s="616"/>
      <c r="E75" s="616"/>
      <c r="F75" s="616"/>
      <c r="G75" s="616"/>
      <c r="H75" s="345"/>
      <c r="I75" s="617"/>
      <c r="J75" s="618"/>
      <c r="K75" s="619"/>
      <c r="L75" s="620"/>
      <c r="M75" s="621"/>
      <c r="N75" s="622"/>
    </row>
    <row r="76" spans="2:14">
      <c r="B76" s="344"/>
      <c r="C76" s="615"/>
      <c r="D76" s="616"/>
      <c r="E76" s="616"/>
      <c r="F76" s="616"/>
      <c r="G76" s="616"/>
      <c r="H76" s="345"/>
      <c r="I76" s="617"/>
      <c r="J76" s="618"/>
      <c r="K76" s="619"/>
      <c r="L76" s="620"/>
      <c r="M76" s="621"/>
      <c r="N76" s="622"/>
    </row>
    <row r="77" spans="2:14">
      <c r="B77" s="344"/>
      <c r="C77" s="615"/>
      <c r="D77" s="616"/>
      <c r="E77" s="616"/>
      <c r="F77" s="616"/>
      <c r="G77" s="616"/>
      <c r="H77" s="345"/>
      <c r="I77" s="617"/>
      <c r="J77" s="618"/>
      <c r="K77" s="619"/>
      <c r="L77" s="620"/>
      <c r="M77" s="621"/>
      <c r="N77" s="622"/>
    </row>
    <row r="78" spans="2:14">
      <c r="B78" s="344"/>
      <c r="C78" s="615"/>
      <c r="D78" s="616"/>
      <c r="E78" s="616"/>
      <c r="F78" s="616"/>
      <c r="G78" s="616"/>
      <c r="H78" s="345"/>
      <c r="I78" s="617"/>
      <c r="J78" s="618"/>
      <c r="K78" s="619"/>
      <c r="L78" s="620"/>
      <c r="M78" s="621"/>
      <c r="N78" s="622"/>
    </row>
    <row r="79" spans="2:14" ht="13.8" thickBot="1">
      <c r="B79" s="346"/>
      <c r="C79" s="623"/>
      <c r="D79" s="624"/>
      <c r="E79" s="624"/>
      <c r="F79" s="624"/>
      <c r="G79" s="624"/>
      <c r="H79" s="347"/>
      <c r="I79" s="625"/>
      <c r="J79" s="626"/>
      <c r="K79" s="627"/>
      <c r="L79" s="628"/>
      <c r="M79" s="629"/>
      <c r="N79" s="630"/>
    </row>
  </sheetData>
  <mergeCells count="80">
    <mergeCell ref="C55:G55"/>
    <mergeCell ref="I55:K55"/>
    <mergeCell ref="L55:N55"/>
    <mergeCell ref="B2:G4"/>
    <mergeCell ref="B53:N53"/>
    <mergeCell ref="C54:G54"/>
    <mergeCell ref="I54:K54"/>
    <mergeCell ref="L54:N54"/>
    <mergeCell ref="C56:G56"/>
    <mergeCell ref="I56:K56"/>
    <mergeCell ref="L56:N56"/>
    <mergeCell ref="C57:G57"/>
    <mergeCell ref="I57:K57"/>
    <mergeCell ref="L57:N57"/>
    <mergeCell ref="C58:G58"/>
    <mergeCell ref="I58:K58"/>
    <mergeCell ref="L58:N58"/>
    <mergeCell ref="C59:G59"/>
    <mergeCell ref="I59:K59"/>
    <mergeCell ref="L59:N59"/>
    <mergeCell ref="C60:G60"/>
    <mergeCell ref="I60:K60"/>
    <mergeCell ref="L60:N60"/>
    <mergeCell ref="C61:G61"/>
    <mergeCell ref="I61:K61"/>
    <mergeCell ref="L61:N61"/>
    <mergeCell ref="C62:G62"/>
    <mergeCell ref="I62:K62"/>
    <mergeCell ref="L62:N62"/>
    <mergeCell ref="C63:G63"/>
    <mergeCell ref="I63:K63"/>
    <mergeCell ref="L63:N63"/>
    <mergeCell ref="C64:G64"/>
    <mergeCell ref="I64:K64"/>
    <mergeCell ref="L64:N64"/>
    <mergeCell ref="C65:G65"/>
    <mergeCell ref="I65:K65"/>
    <mergeCell ref="L65:N65"/>
    <mergeCell ref="C66:G66"/>
    <mergeCell ref="I66:K66"/>
    <mergeCell ref="L66:N66"/>
    <mergeCell ref="C67:G67"/>
    <mergeCell ref="I67:K67"/>
    <mergeCell ref="L67:N67"/>
    <mergeCell ref="C68:G68"/>
    <mergeCell ref="I68:K68"/>
    <mergeCell ref="L68:N68"/>
    <mergeCell ref="C69:G69"/>
    <mergeCell ref="I69:K69"/>
    <mergeCell ref="L69:N69"/>
    <mergeCell ref="C70:G70"/>
    <mergeCell ref="I70:K70"/>
    <mergeCell ref="L70:N70"/>
    <mergeCell ref="C71:G71"/>
    <mergeCell ref="I71:K71"/>
    <mergeCell ref="L71:N71"/>
    <mergeCell ref="C72:G72"/>
    <mergeCell ref="I72:K72"/>
    <mergeCell ref="L72:N72"/>
    <mergeCell ref="C73:G73"/>
    <mergeCell ref="I73:K73"/>
    <mergeCell ref="L73:N73"/>
    <mergeCell ref="C74:G74"/>
    <mergeCell ref="I74:K74"/>
    <mergeCell ref="L74:N74"/>
    <mergeCell ref="C75:G75"/>
    <mergeCell ref="I75:K75"/>
    <mergeCell ref="L75:N75"/>
    <mergeCell ref="C76:G76"/>
    <mergeCell ref="I76:K76"/>
    <mergeCell ref="L76:N76"/>
    <mergeCell ref="C77:G77"/>
    <mergeCell ref="I77:K77"/>
    <mergeCell ref="L77:N77"/>
    <mergeCell ref="C78:G78"/>
    <mergeCell ref="I78:K78"/>
    <mergeCell ref="L78:N78"/>
    <mergeCell ref="C79:G79"/>
    <mergeCell ref="I79:K79"/>
    <mergeCell ref="L79:N79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61"/>
  <sheetViews>
    <sheetView workbookViewId="0"/>
  </sheetViews>
  <sheetFormatPr defaultColWidth="9.109375" defaultRowHeight="13.2"/>
  <cols>
    <col min="1" max="1" width="19.6640625" style="384" customWidth="1"/>
    <col min="2" max="7" width="10.6640625" style="384" customWidth="1"/>
    <col min="8" max="16384" width="9.109375" style="384"/>
  </cols>
  <sheetData>
    <row r="1" spans="1:12" ht="21" customHeight="1">
      <c r="A1" s="410" t="s">
        <v>414</v>
      </c>
      <c r="B1" s="655" t="s">
        <v>453</v>
      </c>
      <c r="C1" s="655"/>
      <c r="D1" s="655"/>
      <c r="E1" s="655"/>
      <c r="F1" s="655"/>
      <c r="G1" s="655"/>
    </row>
    <row r="2" spans="1:12" ht="15" customHeight="1"/>
    <row r="3" spans="1:12" ht="20.399999999999999">
      <c r="A3" s="411" t="s">
        <v>415</v>
      </c>
    </row>
    <row r="4" spans="1:12" ht="12" customHeight="1">
      <c r="A4" s="385"/>
      <c r="B4" s="385"/>
      <c r="C4" s="385"/>
      <c r="D4" s="385" t="s">
        <v>467</v>
      </c>
      <c r="E4" s="385"/>
      <c r="F4" s="385"/>
      <c r="G4" s="385"/>
      <c r="H4" s="385"/>
      <c r="I4" s="385"/>
      <c r="J4" s="385"/>
      <c r="K4" s="385"/>
      <c r="L4" s="385"/>
    </row>
    <row r="5" spans="1:12" ht="15.6" customHeight="1">
      <c r="A5" s="412" t="s">
        <v>5</v>
      </c>
      <c r="B5" s="412" t="s">
        <v>416</v>
      </c>
      <c r="C5" s="412" t="s">
        <v>417</v>
      </c>
      <c r="D5" s="412" t="s">
        <v>418</v>
      </c>
      <c r="E5" s="412" t="s">
        <v>419</v>
      </c>
      <c r="F5" s="412" t="s">
        <v>420</v>
      </c>
      <c r="G5" s="412" t="s">
        <v>421</v>
      </c>
      <c r="H5" s="385"/>
      <c r="I5" s="385"/>
      <c r="J5" s="385"/>
      <c r="K5" s="385"/>
      <c r="L5" s="385"/>
    </row>
    <row r="6" spans="1:12" ht="15.6" customHeight="1">
      <c r="A6" s="413" t="s">
        <v>422</v>
      </c>
      <c r="B6" s="413" t="s">
        <v>166</v>
      </c>
      <c r="C6" s="413" t="s">
        <v>166</v>
      </c>
      <c r="D6" s="413" t="s">
        <v>423</v>
      </c>
      <c r="E6" s="413" t="s">
        <v>135</v>
      </c>
      <c r="F6" s="413" t="s">
        <v>424</v>
      </c>
      <c r="G6" s="413" t="s">
        <v>424</v>
      </c>
      <c r="H6" s="385"/>
      <c r="I6" s="385"/>
      <c r="J6" s="385"/>
      <c r="K6" s="385"/>
      <c r="L6" s="385"/>
    </row>
    <row r="7" spans="1:12" ht="15.9" customHeight="1">
      <c r="A7" s="414" t="s">
        <v>454</v>
      </c>
      <c r="B7" s="414" t="s">
        <v>468</v>
      </c>
      <c r="C7" s="414" t="s">
        <v>481</v>
      </c>
      <c r="D7" s="414" t="s">
        <v>493</v>
      </c>
      <c r="E7" s="414" t="s">
        <v>506</v>
      </c>
      <c r="F7" s="414" t="s">
        <v>519</v>
      </c>
      <c r="G7" s="414" t="s">
        <v>532</v>
      </c>
      <c r="H7" s="385"/>
      <c r="I7" s="385"/>
      <c r="J7" s="385"/>
      <c r="K7" s="385"/>
      <c r="L7" s="385"/>
    </row>
    <row r="8" spans="1:12" ht="15.9" customHeight="1">
      <c r="A8" s="414" t="s">
        <v>455</v>
      </c>
      <c r="B8" s="414" t="s">
        <v>469</v>
      </c>
      <c r="C8" s="414" t="s">
        <v>482</v>
      </c>
      <c r="D8" s="414" t="s">
        <v>494</v>
      </c>
      <c r="E8" s="414" t="s">
        <v>507</v>
      </c>
      <c r="F8" s="414" t="s">
        <v>520</v>
      </c>
      <c r="G8" s="414" t="s">
        <v>533</v>
      </c>
      <c r="H8" s="385"/>
      <c r="I8" s="385"/>
      <c r="J8" s="385"/>
      <c r="K8" s="385"/>
      <c r="L8" s="385"/>
    </row>
    <row r="9" spans="1:12" ht="15.9" customHeight="1">
      <c r="A9" s="414" t="s">
        <v>456</v>
      </c>
      <c r="B9" s="414" t="s">
        <v>470</v>
      </c>
      <c r="C9" s="414" t="s">
        <v>483</v>
      </c>
      <c r="D9" s="414" t="s">
        <v>495</v>
      </c>
      <c r="E9" s="414" t="s">
        <v>508</v>
      </c>
      <c r="F9" s="414" t="s">
        <v>521</v>
      </c>
      <c r="G9" s="414" t="s">
        <v>534</v>
      </c>
      <c r="H9" s="385"/>
      <c r="I9" s="385"/>
      <c r="J9" s="385"/>
      <c r="K9" s="385"/>
      <c r="L9" s="385"/>
    </row>
    <row r="10" spans="1:12" ht="15.9" customHeight="1">
      <c r="A10" s="414" t="s">
        <v>457</v>
      </c>
      <c r="B10" s="414" t="s">
        <v>471</v>
      </c>
      <c r="C10" s="414" t="s">
        <v>483</v>
      </c>
      <c r="D10" s="414" t="s">
        <v>496</v>
      </c>
      <c r="E10" s="414" t="s">
        <v>509</v>
      </c>
      <c r="F10" s="414" t="s">
        <v>522</v>
      </c>
      <c r="G10" s="414" t="s">
        <v>535</v>
      </c>
      <c r="H10" s="385"/>
      <c r="I10" s="385"/>
      <c r="J10" s="385"/>
      <c r="K10" s="385"/>
      <c r="L10" s="385"/>
    </row>
    <row r="11" spans="1:12" ht="15.9" customHeight="1">
      <c r="A11" s="414" t="s">
        <v>458</v>
      </c>
      <c r="B11" s="414" t="s">
        <v>472</v>
      </c>
      <c r="C11" s="414" t="s">
        <v>484</v>
      </c>
      <c r="D11" s="414" t="s">
        <v>497</v>
      </c>
      <c r="E11" s="414" t="s">
        <v>510</v>
      </c>
      <c r="F11" s="414" t="s">
        <v>523</v>
      </c>
      <c r="G11" s="414" t="s">
        <v>536</v>
      </c>
      <c r="H11" s="385"/>
      <c r="I11" s="385"/>
      <c r="J11" s="385"/>
      <c r="K11" s="385"/>
      <c r="L11" s="385"/>
    </row>
    <row r="12" spans="1:12" ht="15.9" customHeight="1">
      <c r="A12" s="414" t="s">
        <v>459</v>
      </c>
      <c r="B12" s="414" t="s">
        <v>473</v>
      </c>
      <c r="C12" s="414" t="s">
        <v>485</v>
      </c>
      <c r="D12" s="414" t="s">
        <v>498</v>
      </c>
      <c r="E12" s="414" t="s">
        <v>511</v>
      </c>
      <c r="F12" s="414" t="s">
        <v>524</v>
      </c>
      <c r="G12" s="414" t="s">
        <v>537</v>
      </c>
      <c r="H12" s="385"/>
      <c r="I12" s="385"/>
      <c r="J12" s="385"/>
      <c r="K12" s="385"/>
      <c r="L12" s="385"/>
    </row>
    <row r="13" spans="1:12" ht="15.9" customHeight="1">
      <c r="A13" s="414" t="s">
        <v>460</v>
      </c>
      <c r="B13" s="414" t="s">
        <v>474</v>
      </c>
      <c r="C13" s="414" t="s">
        <v>486</v>
      </c>
      <c r="D13" s="414" t="s">
        <v>499</v>
      </c>
      <c r="E13" s="414" t="s">
        <v>512</v>
      </c>
      <c r="F13" s="414" t="s">
        <v>525</v>
      </c>
      <c r="G13" s="414" t="s">
        <v>538</v>
      </c>
      <c r="H13" s="385"/>
      <c r="I13" s="385"/>
      <c r="J13" s="385"/>
      <c r="K13" s="385"/>
      <c r="L13" s="385"/>
    </row>
    <row r="14" spans="1:12" ht="15.9" customHeight="1">
      <c r="A14" s="414" t="s">
        <v>461</v>
      </c>
      <c r="B14" s="414" t="s">
        <v>475</v>
      </c>
      <c r="C14" s="414" t="s">
        <v>487</v>
      </c>
      <c r="D14" s="414" t="s">
        <v>500</v>
      </c>
      <c r="E14" s="414" t="s">
        <v>513</v>
      </c>
      <c r="F14" s="414" t="s">
        <v>526</v>
      </c>
      <c r="G14" s="414" t="s">
        <v>539</v>
      </c>
      <c r="H14" s="385"/>
      <c r="I14" s="385"/>
      <c r="J14" s="385"/>
      <c r="K14" s="385"/>
      <c r="L14" s="385"/>
    </row>
    <row r="15" spans="1:12" ht="15.9" customHeight="1">
      <c r="A15" s="414" t="s">
        <v>462</v>
      </c>
      <c r="B15" s="414" t="s">
        <v>476</v>
      </c>
      <c r="C15" s="414" t="s">
        <v>488</v>
      </c>
      <c r="D15" s="414" t="s">
        <v>501</v>
      </c>
      <c r="E15" s="414" t="s">
        <v>514</v>
      </c>
      <c r="F15" s="414" t="s">
        <v>527</v>
      </c>
      <c r="G15" s="414" t="s">
        <v>540</v>
      </c>
      <c r="H15" s="385"/>
      <c r="I15" s="385"/>
      <c r="J15" s="385"/>
      <c r="K15" s="385"/>
      <c r="L15" s="385"/>
    </row>
    <row r="16" spans="1:12" ht="15.9" customHeight="1">
      <c r="A16" s="414" t="s">
        <v>463</v>
      </c>
      <c r="B16" s="414" t="s">
        <v>477</v>
      </c>
      <c r="C16" s="414" t="s">
        <v>489</v>
      </c>
      <c r="D16" s="414" t="s">
        <v>502</v>
      </c>
      <c r="E16" s="414" t="s">
        <v>515</v>
      </c>
      <c r="F16" s="414" t="s">
        <v>528</v>
      </c>
      <c r="G16" s="414" t="s">
        <v>541</v>
      </c>
      <c r="H16" s="385"/>
      <c r="I16" s="385"/>
      <c r="J16" s="385"/>
      <c r="K16" s="385"/>
      <c r="L16" s="385"/>
    </row>
    <row r="17" spans="1:12" ht="15.9" customHeight="1">
      <c r="A17" s="414" t="s">
        <v>464</v>
      </c>
      <c r="B17" s="414" t="s">
        <v>478</v>
      </c>
      <c r="C17" s="414" t="s">
        <v>490</v>
      </c>
      <c r="D17" s="414" t="s">
        <v>503</v>
      </c>
      <c r="E17" s="414" t="s">
        <v>516</v>
      </c>
      <c r="F17" s="414" t="s">
        <v>529</v>
      </c>
      <c r="G17" s="414" t="s">
        <v>542</v>
      </c>
      <c r="H17" s="385"/>
      <c r="I17" s="385"/>
      <c r="J17" s="385"/>
      <c r="K17" s="385"/>
      <c r="L17" s="385"/>
    </row>
    <row r="18" spans="1:12" ht="15.9" customHeight="1">
      <c r="A18" s="414" t="s">
        <v>465</v>
      </c>
      <c r="B18" s="414" t="s">
        <v>479</v>
      </c>
      <c r="C18" s="414" t="s">
        <v>491</v>
      </c>
      <c r="D18" s="414" t="s">
        <v>504</v>
      </c>
      <c r="E18" s="414" t="s">
        <v>517</v>
      </c>
      <c r="F18" s="414" t="s">
        <v>530</v>
      </c>
      <c r="G18" s="414" t="s">
        <v>542</v>
      </c>
      <c r="H18" s="385"/>
      <c r="I18" s="385"/>
      <c r="J18" s="385"/>
      <c r="K18" s="385"/>
      <c r="L18" s="385"/>
    </row>
    <row r="19" spans="1:12" ht="15.9" customHeight="1">
      <c r="A19" s="414" t="s">
        <v>466</v>
      </c>
      <c r="B19" s="414" t="s">
        <v>480</v>
      </c>
      <c r="C19" s="414" t="s">
        <v>492</v>
      </c>
      <c r="D19" s="414" t="s">
        <v>505</v>
      </c>
      <c r="E19" s="414" t="s">
        <v>518</v>
      </c>
      <c r="F19" s="414" t="s">
        <v>531</v>
      </c>
      <c r="G19" s="414" t="s">
        <v>543</v>
      </c>
      <c r="H19" s="385"/>
      <c r="I19" s="385"/>
      <c r="J19" s="385"/>
      <c r="K19" s="385"/>
      <c r="L19" s="385"/>
    </row>
    <row r="20" spans="1:12" ht="15.6">
      <c r="A20" s="385"/>
      <c r="B20" s="385"/>
      <c r="C20" s="385"/>
      <c r="D20" s="385"/>
      <c r="E20" s="385"/>
      <c r="F20" s="385"/>
      <c r="G20" s="385"/>
      <c r="H20" s="385"/>
      <c r="I20" s="385"/>
      <c r="J20" s="385"/>
      <c r="K20" s="385"/>
      <c r="L20" s="385"/>
    </row>
    <row r="21" spans="1:12" ht="16.2">
      <c r="A21" s="385"/>
      <c r="B21" s="385"/>
      <c r="C21" s="385"/>
      <c r="D21" s="656" t="s">
        <v>553</v>
      </c>
      <c r="E21" s="652"/>
      <c r="F21" s="652"/>
      <c r="G21" s="653"/>
      <c r="H21" s="385"/>
      <c r="I21" s="385"/>
      <c r="J21" s="385"/>
      <c r="K21" s="385"/>
      <c r="L21" s="385"/>
    </row>
    <row r="22" spans="1:12" ht="17.25" customHeight="1">
      <c r="A22" s="385"/>
      <c r="B22" s="654" t="s">
        <v>425</v>
      </c>
      <c r="C22" s="654"/>
      <c r="D22" s="654" t="s">
        <v>426</v>
      </c>
      <c r="E22" s="654"/>
      <c r="F22" s="654" t="s">
        <v>427</v>
      </c>
      <c r="G22" s="654"/>
      <c r="H22" s="385"/>
      <c r="I22" s="385"/>
      <c r="J22" s="385"/>
      <c r="K22" s="385"/>
      <c r="L22" s="385"/>
    </row>
    <row r="23" spans="1:12" ht="15.6">
      <c r="A23" s="416" t="s">
        <v>428</v>
      </c>
      <c r="B23" s="650" t="s">
        <v>544</v>
      </c>
      <c r="C23" s="650"/>
      <c r="D23" s="650" t="s">
        <v>547</v>
      </c>
      <c r="E23" s="650"/>
      <c r="F23" s="650" t="s">
        <v>550</v>
      </c>
      <c r="G23" s="650"/>
      <c r="H23" s="385"/>
      <c r="I23" s="385"/>
      <c r="J23" s="385"/>
      <c r="K23" s="385"/>
      <c r="L23" s="385"/>
    </row>
    <row r="24" spans="1:12" ht="18" customHeight="1">
      <c r="A24" s="416" t="s">
        <v>429</v>
      </c>
      <c r="B24" s="650" t="s">
        <v>545</v>
      </c>
      <c r="C24" s="650"/>
      <c r="D24" s="650" t="s">
        <v>548</v>
      </c>
      <c r="E24" s="650"/>
      <c r="F24" s="650" t="s">
        <v>551</v>
      </c>
      <c r="G24" s="650"/>
      <c r="H24" s="385"/>
      <c r="I24" s="385"/>
      <c r="J24" s="385"/>
      <c r="K24" s="385"/>
      <c r="L24" s="385"/>
    </row>
    <row r="25" spans="1:12" ht="15.6">
      <c r="A25" s="416" t="s">
        <v>430</v>
      </c>
      <c r="B25" s="650" t="s">
        <v>546</v>
      </c>
      <c r="C25" s="650"/>
      <c r="D25" s="650" t="s">
        <v>549</v>
      </c>
      <c r="E25" s="650"/>
      <c r="F25" s="650" t="s">
        <v>552</v>
      </c>
      <c r="G25" s="650"/>
      <c r="H25" s="385"/>
      <c r="I25" s="385"/>
      <c r="J25" s="385"/>
      <c r="K25" s="385"/>
      <c r="L25" s="385"/>
    </row>
    <row r="26" spans="1:12" ht="15.6">
      <c r="A26" s="385"/>
      <c r="B26" s="385"/>
      <c r="C26" s="385"/>
      <c r="D26" s="385"/>
      <c r="E26" s="385"/>
      <c r="F26" s="385"/>
      <c r="G26" s="385"/>
      <c r="H26" s="385"/>
      <c r="I26" s="385"/>
      <c r="J26" s="385"/>
      <c r="K26" s="385"/>
      <c r="L26" s="385"/>
    </row>
    <row r="27" spans="1:12" ht="20.399999999999999">
      <c r="A27" s="411" t="s">
        <v>431</v>
      </c>
      <c r="B27" s="385"/>
      <c r="C27" s="385"/>
      <c r="D27" s="385"/>
      <c r="E27" s="385"/>
      <c r="F27" s="385"/>
      <c r="G27" s="385"/>
      <c r="H27" s="385"/>
      <c r="I27" s="385"/>
      <c r="J27" s="385"/>
      <c r="K27" s="385"/>
      <c r="L27" s="385"/>
    </row>
    <row r="28" spans="1:12" ht="15.6">
      <c r="A28" s="385"/>
      <c r="B28" s="385"/>
      <c r="C28" s="385"/>
      <c r="D28" s="385"/>
      <c r="E28" s="651" t="s">
        <v>432</v>
      </c>
      <c r="F28" s="652"/>
      <c r="G28" s="653"/>
      <c r="H28" s="385"/>
      <c r="I28" s="385"/>
      <c r="J28" s="385"/>
      <c r="K28" s="385"/>
      <c r="L28" s="385"/>
    </row>
    <row r="29" spans="1:12" ht="15.6">
      <c r="A29" s="385"/>
      <c r="B29" s="654" t="s">
        <v>433</v>
      </c>
      <c r="C29" s="654"/>
      <c r="D29" s="415" t="s">
        <v>434</v>
      </c>
      <c r="E29" s="415" t="s">
        <v>435</v>
      </c>
      <c r="F29" s="654" t="s">
        <v>436</v>
      </c>
      <c r="G29" s="654"/>
      <c r="H29" s="385"/>
      <c r="I29" s="385"/>
      <c r="J29" s="385"/>
      <c r="K29" s="385"/>
      <c r="L29" s="385"/>
    </row>
    <row r="30" spans="1:12" ht="15.6">
      <c r="A30" s="416" t="s">
        <v>437</v>
      </c>
      <c r="B30" s="650" t="s">
        <v>554</v>
      </c>
      <c r="C30" s="650"/>
      <c r="D30" s="414" t="s">
        <v>557</v>
      </c>
      <c r="E30" s="414" t="s">
        <v>438</v>
      </c>
      <c r="F30" s="650" t="s">
        <v>560</v>
      </c>
      <c r="G30" s="650"/>
      <c r="H30" s="385"/>
      <c r="I30" s="385"/>
      <c r="J30" s="385"/>
      <c r="K30" s="385"/>
      <c r="L30" s="385"/>
    </row>
    <row r="31" spans="1:12" ht="15.6">
      <c r="A31" s="416" t="s">
        <v>439</v>
      </c>
      <c r="B31" s="650" t="s">
        <v>555</v>
      </c>
      <c r="C31" s="650"/>
      <c r="D31" s="414" t="s">
        <v>558</v>
      </c>
      <c r="E31" s="414" t="s">
        <v>440</v>
      </c>
      <c r="F31" s="650" t="s">
        <v>561</v>
      </c>
      <c r="G31" s="650"/>
      <c r="H31" s="385"/>
      <c r="I31" s="385"/>
      <c r="J31" s="385"/>
      <c r="K31" s="385"/>
      <c r="L31" s="385"/>
    </row>
    <row r="32" spans="1:12" ht="15.6">
      <c r="A32" s="416" t="s">
        <v>441</v>
      </c>
      <c r="B32" s="650" t="s">
        <v>556</v>
      </c>
      <c r="C32" s="650"/>
      <c r="D32" s="414" t="s">
        <v>559</v>
      </c>
      <c r="E32" s="414" t="s">
        <v>442</v>
      </c>
      <c r="F32" s="650" t="s">
        <v>562</v>
      </c>
      <c r="G32" s="650"/>
      <c r="H32" s="385"/>
      <c r="I32" s="385"/>
      <c r="J32" s="385"/>
      <c r="K32" s="385"/>
      <c r="L32" s="385"/>
    </row>
    <row r="33" spans="1:12" ht="15.6">
      <c r="A33" s="385"/>
      <c r="B33" s="385"/>
      <c r="C33" s="385"/>
      <c r="D33" s="385"/>
      <c r="E33" s="385"/>
      <c r="F33" s="385"/>
      <c r="G33" s="385"/>
      <c r="H33" s="385"/>
      <c r="I33" s="385"/>
      <c r="J33" s="385"/>
      <c r="K33" s="385"/>
      <c r="L33" s="385"/>
    </row>
    <row r="34" spans="1:12" ht="15.6">
      <c r="A34" s="385"/>
      <c r="B34" s="385"/>
      <c r="C34" s="385"/>
      <c r="D34" s="385"/>
      <c r="E34" s="651" t="s">
        <v>443</v>
      </c>
      <c r="F34" s="652"/>
      <c r="G34" s="653"/>
      <c r="H34" s="385"/>
      <c r="I34" s="385"/>
      <c r="J34" s="385"/>
      <c r="K34" s="385"/>
      <c r="L34" s="385"/>
    </row>
    <row r="35" spans="1:12" ht="15.6">
      <c r="A35" s="385"/>
      <c r="B35" s="654" t="s">
        <v>444</v>
      </c>
      <c r="C35" s="654"/>
      <c r="D35" s="415" t="s">
        <v>435</v>
      </c>
      <c r="E35" s="415" t="s">
        <v>445</v>
      </c>
      <c r="F35" s="415" t="s">
        <v>100</v>
      </c>
      <c r="G35" s="415" t="s">
        <v>446</v>
      </c>
      <c r="H35" s="385"/>
      <c r="I35" s="385"/>
      <c r="J35" s="385"/>
      <c r="K35" s="385"/>
      <c r="L35" s="385"/>
    </row>
    <row r="36" spans="1:12" ht="15.6">
      <c r="A36" s="416" t="s">
        <v>437</v>
      </c>
      <c r="B36" s="646" t="s">
        <v>563</v>
      </c>
      <c r="C36" s="647"/>
      <c r="D36" s="417" t="s">
        <v>565</v>
      </c>
      <c r="E36" s="417" t="s">
        <v>447</v>
      </c>
      <c r="F36" s="418" t="s">
        <v>448</v>
      </c>
      <c r="G36" s="414" t="s">
        <v>568</v>
      </c>
      <c r="H36" s="385"/>
      <c r="I36" s="385"/>
      <c r="J36" s="385"/>
      <c r="K36" s="385"/>
      <c r="L36" s="385"/>
    </row>
    <row r="37" spans="1:12" ht="15.6">
      <c r="A37" s="416" t="s">
        <v>439</v>
      </c>
      <c r="B37" s="646" t="s">
        <v>564</v>
      </c>
      <c r="C37" s="647"/>
      <c r="D37" s="417" t="s">
        <v>566</v>
      </c>
      <c r="E37" s="417" t="s">
        <v>447</v>
      </c>
      <c r="F37" s="418" t="s">
        <v>449</v>
      </c>
      <c r="G37" s="419" t="s">
        <v>569</v>
      </c>
      <c r="H37" s="385"/>
      <c r="I37" s="385"/>
      <c r="J37" s="385"/>
      <c r="K37" s="385"/>
      <c r="L37" s="385"/>
    </row>
    <row r="38" spans="1:12" ht="15.6">
      <c r="A38" s="416" t="s">
        <v>441</v>
      </c>
      <c r="B38" s="646" t="s">
        <v>564</v>
      </c>
      <c r="C38" s="647"/>
      <c r="D38" s="417" t="s">
        <v>567</v>
      </c>
      <c r="E38" s="417" t="s">
        <v>447</v>
      </c>
      <c r="F38" s="418" t="s">
        <v>450</v>
      </c>
      <c r="G38" s="414" t="s">
        <v>570</v>
      </c>
      <c r="H38" s="385"/>
      <c r="I38" s="385"/>
      <c r="J38" s="385"/>
      <c r="K38" s="385"/>
      <c r="L38" s="385"/>
    </row>
    <row r="39" spans="1:12" ht="15.6">
      <c r="A39" s="385"/>
      <c r="B39" s="385"/>
      <c r="C39" s="385"/>
      <c r="D39" s="385"/>
      <c r="E39" s="385"/>
      <c r="F39" s="385"/>
      <c r="G39" s="385"/>
      <c r="H39" s="385"/>
      <c r="I39" s="385"/>
      <c r="J39" s="385"/>
      <c r="K39" s="385"/>
      <c r="L39" s="385"/>
    </row>
    <row r="40" spans="1:12" ht="15.6">
      <c r="A40" s="420" t="s">
        <v>451</v>
      </c>
      <c r="B40" s="648" t="s">
        <v>571</v>
      </c>
      <c r="C40" s="648"/>
      <c r="D40" s="649" t="s">
        <v>452</v>
      </c>
      <c r="E40" s="649"/>
      <c r="F40" s="648" t="s">
        <v>572</v>
      </c>
      <c r="G40" s="648"/>
      <c r="H40" s="385"/>
      <c r="I40" s="385"/>
      <c r="J40" s="385"/>
      <c r="K40" s="385"/>
      <c r="L40" s="385"/>
    </row>
    <row r="41" spans="1:12" ht="15.6">
      <c r="A41" s="385"/>
      <c r="B41" s="385"/>
      <c r="C41" s="385"/>
      <c r="D41" s="385"/>
      <c r="E41" s="385"/>
      <c r="F41" s="385"/>
      <c r="G41" s="385"/>
      <c r="H41" s="385"/>
      <c r="I41" s="385"/>
      <c r="J41" s="385"/>
      <c r="K41" s="385"/>
      <c r="L41" s="385"/>
    </row>
    <row r="42" spans="1:12" ht="15.6">
      <c r="A42" s="385"/>
      <c r="B42" s="385"/>
      <c r="C42" s="385"/>
      <c r="D42" s="385"/>
      <c r="E42" s="385"/>
      <c r="F42" s="385"/>
      <c r="G42" s="385"/>
      <c r="H42" s="385"/>
      <c r="I42" s="385"/>
      <c r="J42" s="385"/>
      <c r="K42" s="385"/>
      <c r="L42" s="385"/>
    </row>
    <row r="43" spans="1:12" ht="15.6">
      <c r="A43" s="385"/>
      <c r="B43" s="385"/>
      <c r="C43" s="385"/>
      <c r="D43" s="385"/>
      <c r="E43" s="385"/>
      <c r="F43" s="385"/>
      <c r="G43" s="385"/>
      <c r="H43" s="385"/>
      <c r="I43" s="385"/>
      <c r="J43" s="385"/>
      <c r="K43" s="385"/>
      <c r="L43" s="385"/>
    </row>
    <row r="44" spans="1:12" ht="15.6">
      <c r="A44" s="385"/>
      <c r="B44" s="385"/>
      <c r="C44" s="385"/>
      <c r="D44" s="385"/>
      <c r="E44" s="385"/>
      <c r="F44" s="385"/>
      <c r="G44" s="385"/>
      <c r="H44" s="385"/>
      <c r="I44" s="385"/>
      <c r="J44" s="385"/>
      <c r="K44" s="385"/>
      <c r="L44" s="385"/>
    </row>
    <row r="45" spans="1:12" ht="15.6">
      <c r="A45" s="385"/>
      <c r="B45" s="385"/>
      <c r="C45" s="385"/>
      <c r="D45" s="385"/>
      <c r="E45" s="385"/>
      <c r="F45" s="385"/>
      <c r="G45" s="385"/>
      <c r="H45" s="385"/>
      <c r="I45" s="385"/>
      <c r="J45" s="385"/>
      <c r="K45" s="385"/>
      <c r="L45" s="385"/>
    </row>
    <row r="46" spans="1:12" ht="15.6">
      <c r="A46" s="385"/>
      <c r="B46" s="385"/>
      <c r="C46" s="385"/>
      <c r="D46" s="385"/>
      <c r="E46" s="385"/>
      <c r="F46" s="385"/>
      <c r="G46" s="385"/>
      <c r="H46" s="385"/>
      <c r="I46" s="385"/>
      <c r="J46" s="385"/>
      <c r="K46" s="385"/>
      <c r="L46" s="385"/>
    </row>
    <row r="47" spans="1:12" ht="15.6">
      <c r="A47" s="385"/>
      <c r="B47" s="385"/>
      <c r="C47" s="385"/>
      <c r="D47" s="385"/>
      <c r="E47" s="385"/>
      <c r="F47" s="385"/>
      <c r="G47" s="385"/>
      <c r="H47" s="385"/>
      <c r="I47" s="385"/>
      <c r="J47" s="385"/>
      <c r="K47" s="385"/>
      <c r="L47" s="385"/>
    </row>
    <row r="48" spans="1:12" ht="15.6">
      <c r="A48" s="385"/>
      <c r="B48" s="385"/>
      <c r="C48" s="385"/>
      <c r="D48" s="385"/>
      <c r="E48" s="385"/>
      <c r="F48" s="385"/>
      <c r="G48" s="385"/>
      <c r="H48" s="385"/>
      <c r="I48" s="385"/>
      <c r="J48" s="385"/>
      <c r="K48" s="385"/>
      <c r="L48" s="385"/>
    </row>
    <row r="49" spans="1:12" ht="15.6">
      <c r="A49" s="385"/>
      <c r="B49" s="385"/>
      <c r="C49" s="385"/>
      <c r="D49" s="385"/>
      <c r="E49" s="385"/>
      <c r="F49" s="385"/>
      <c r="G49" s="385"/>
      <c r="H49" s="385"/>
      <c r="I49" s="385"/>
      <c r="J49" s="385"/>
      <c r="K49" s="385"/>
      <c r="L49" s="385"/>
    </row>
    <row r="50" spans="1:12" ht="15.6">
      <c r="A50" s="385"/>
      <c r="B50" s="385"/>
      <c r="C50" s="385"/>
      <c r="D50" s="385"/>
      <c r="E50" s="385"/>
      <c r="F50" s="385"/>
      <c r="G50" s="385"/>
      <c r="H50" s="385"/>
      <c r="I50" s="385"/>
      <c r="J50" s="385"/>
      <c r="K50" s="385"/>
      <c r="L50" s="385"/>
    </row>
    <row r="51" spans="1:12" ht="15.6">
      <c r="A51" s="385"/>
      <c r="B51" s="385"/>
      <c r="C51" s="385"/>
      <c r="D51" s="385"/>
      <c r="E51" s="385"/>
      <c r="F51" s="385"/>
      <c r="G51" s="385"/>
      <c r="H51" s="385"/>
      <c r="I51" s="385"/>
      <c r="J51" s="385"/>
      <c r="K51" s="385"/>
      <c r="L51" s="385"/>
    </row>
    <row r="52" spans="1:12" ht="15.6">
      <c r="A52" s="385"/>
      <c r="B52" s="385"/>
      <c r="C52" s="385"/>
      <c r="D52" s="385"/>
      <c r="E52" s="385"/>
      <c r="F52" s="385"/>
      <c r="G52" s="385"/>
      <c r="H52" s="385"/>
      <c r="I52" s="385"/>
      <c r="J52" s="385"/>
      <c r="K52" s="385"/>
      <c r="L52" s="385"/>
    </row>
    <row r="53" spans="1:12" ht="15.6">
      <c r="A53" s="385"/>
      <c r="B53" s="385"/>
      <c r="C53" s="385"/>
      <c r="D53" s="385"/>
      <c r="E53" s="385"/>
      <c r="F53" s="385"/>
      <c r="G53" s="385"/>
      <c r="H53" s="385"/>
      <c r="I53" s="385"/>
      <c r="J53" s="385"/>
      <c r="K53" s="385"/>
      <c r="L53" s="385"/>
    </row>
    <row r="54" spans="1:12" ht="15.6">
      <c r="A54" s="385"/>
      <c r="B54" s="385"/>
      <c r="C54" s="385"/>
      <c r="D54" s="385"/>
      <c r="E54" s="385"/>
      <c r="F54" s="385"/>
      <c r="G54" s="385"/>
      <c r="H54" s="385"/>
      <c r="I54" s="385"/>
      <c r="J54" s="385"/>
      <c r="K54" s="385"/>
      <c r="L54" s="385"/>
    </row>
    <row r="55" spans="1:12" ht="15.6">
      <c r="A55" s="385"/>
      <c r="B55" s="385"/>
      <c r="C55" s="385"/>
      <c r="D55" s="385"/>
      <c r="E55" s="385"/>
      <c r="F55" s="385"/>
      <c r="G55" s="385"/>
      <c r="H55" s="385"/>
      <c r="I55" s="385"/>
      <c r="J55" s="385"/>
      <c r="K55" s="385"/>
      <c r="L55" s="385"/>
    </row>
    <row r="56" spans="1:12" ht="15.6">
      <c r="A56" s="385"/>
      <c r="B56" s="385"/>
      <c r="C56" s="385"/>
      <c r="D56" s="385"/>
      <c r="E56" s="385"/>
      <c r="F56" s="385"/>
      <c r="G56" s="385"/>
      <c r="H56" s="385"/>
      <c r="I56" s="385"/>
      <c r="J56" s="385"/>
      <c r="K56" s="385"/>
      <c r="L56" s="385"/>
    </row>
    <row r="57" spans="1:12" ht="15.6">
      <c r="A57" s="385"/>
      <c r="B57" s="385"/>
      <c r="C57" s="385"/>
      <c r="D57" s="385"/>
      <c r="E57" s="385"/>
      <c r="F57" s="385"/>
      <c r="G57" s="385"/>
      <c r="H57" s="385"/>
      <c r="I57" s="385"/>
      <c r="J57" s="385"/>
      <c r="K57" s="385"/>
      <c r="L57" s="385"/>
    </row>
    <row r="58" spans="1:12" ht="15.6">
      <c r="A58" s="385"/>
      <c r="B58" s="385"/>
      <c r="C58" s="385"/>
      <c r="D58" s="385"/>
      <c r="E58" s="385"/>
      <c r="F58" s="385"/>
      <c r="G58" s="385"/>
      <c r="H58" s="385"/>
      <c r="I58" s="385"/>
      <c r="J58" s="385"/>
      <c r="K58" s="385"/>
      <c r="L58" s="385"/>
    </row>
    <row r="59" spans="1:12" ht="15.6">
      <c r="A59" s="385"/>
      <c r="B59" s="385"/>
      <c r="C59" s="385"/>
      <c r="D59" s="385"/>
      <c r="E59" s="385"/>
      <c r="F59" s="385"/>
      <c r="G59" s="385"/>
      <c r="H59" s="385"/>
      <c r="I59" s="385"/>
      <c r="J59" s="385"/>
      <c r="K59" s="385"/>
      <c r="L59" s="385"/>
    </row>
    <row r="60" spans="1:12" ht="15.6">
      <c r="A60" s="385"/>
      <c r="B60" s="385"/>
      <c r="C60" s="385"/>
      <c r="D60" s="385"/>
      <c r="E60" s="385"/>
      <c r="F60" s="385"/>
      <c r="G60" s="385"/>
      <c r="H60" s="385"/>
      <c r="I60" s="385"/>
      <c r="J60" s="385"/>
      <c r="K60" s="385"/>
      <c r="L60" s="385"/>
    </row>
    <row r="61" spans="1:12" ht="15.6">
      <c r="A61" s="385"/>
      <c r="B61" s="385"/>
      <c r="C61" s="385"/>
      <c r="D61" s="385"/>
      <c r="E61" s="385"/>
      <c r="F61" s="385"/>
      <c r="G61" s="385"/>
      <c r="H61" s="385"/>
      <c r="I61" s="385"/>
      <c r="J61" s="385"/>
      <c r="K61" s="385"/>
      <c r="L61" s="385"/>
    </row>
  </sheetData>
  <mergeCells count="31">
    <mergeCell ref="B23:C23"/>
    <mergeCell ref="D23:E23"/>
    <mergeCell ref="F23:G23"/>
    <mergeCell ref="B1:G1"/>
    <mergeCell ref="D21:G21"/>
    <mergeCell ref="B22:C22"/>
    <mergeCell ref="D22:E22"/>
    <mergeCell ref="F22:G22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3"/>
  <sheetViews>
    <sheetView workbookViewId="0">
      <selection activeCell="O29" sqref="O29"/>
    </sheetView>
  </sheetViews>
  <sheetFormatPr defaultColWidth="9.109375" defaultRowHeight="13.2"/>
  <cols>
    <col min="1" max="1" width="9.5546875" style="384" customWidth="1"/>
    <col min="2" max="11" width="7.6640625" style="384" customWidth="1"/>
    <col min="12" max="16384" width="9.109375" style="384"/>
  </cols>
  <sheetData>
    <row r="1" spans="1:12" ht="20.399999999999999">
      <c r="A1" s="659" t="s">
        <v>712</v>
      </c>
      <c r="B1" s="659"/>
      <c r="C1" s="659"/>
      <c r="D1" s="659"/>
      <c r="E1" s="659"/>
      <c r="F1" s="659"/>
      <c r="G1" s="659"/>
      <c r="H1" s="659"/>
      <c r="I1" s="659"/>
      <c r="J1" s="659"/>
      <c r="K1" s="659"/>
      <c r="L1" s="385"/>
    </row>
    <row r="2" spans="1:12" ht="30" customHeight="1">
      <c r="A2" s="385"/>
      <c r="B2" s="385"/>
      <c r="C2" s="385"/>
      <c r="D2" s="385"/>
      <c r="E2" s="385"/>
      <c r="F2" s="385"/>
      <c r="G2" s="385"/>
      <c r="H2" s="385"/>
      <c r="I2" s="385"/>
      <c r="J2" s="385"/>
      <c r="K2" s="385"/>
      <c r="L2" s="385"/>
    </row>
    <row r="3" spans="1:12" ht="18">
      <c r="A3" s="399" t="s">
        <v>414</v>
      </c>
      <c r="B3" s="427" t="s">
        <v>453</v>
      </c>
      <c r="C3" s="385"/>
      <c r="D3" s="385"/>
      <c r="E3" s="385"/>
      <c r="F3" s="385"/>
      <c r="G3" s="385"/>
      <c r="H3" s="385"/>
      <c r="I3" s="385"/>
      <c r="J3" s="385"/>
      <c r="K3" s="385"/>
      <c r="L3" s="385"/>
    </row>
    <row r="4" spans="1:12" ht="12" customHeight="1">
      <c r="A4" s="385"/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</row>
    <row r="5" spans="1:12" ht="18">
      <c r="A5" s="428" t="s">
        <v>713</v>
      </c>
      <c r="B5" s="394"/>
      <c r="C5" s="394"/>
      <c r="D5" s="394"/>
      <c r="E5" s="394"/>
      <c r="F5" s="385"/>
      <c r="G5" s="385"/>
      <c r="H5" s="385"/>
      <c r="I5" s="385"/>
      <c r="J5" s="385"/>
      <c r="K5" s="385"/>
      <c r="L5" s="385"/>
    </row>
    <row r="6" spans="1:12" ht="17.25" customHeight="1">
      <c r="A6" s="385"/>
      <c r="B6" s="385"/>
      <c r="C6" s="385"/>
      <c r="D6" s="385"/>
      <c r="E6" s="385"/>
      <c r="F6" s="385"/>
      <c r="G6" s="385"/>
      <c r="H6" s="385"/>
      <c r="I6" s="385"/>
      <c r="J6" s="385"/>
      <c r="K6" s="385"/>
      <c r="L6" s="385"/>
    </row>
    <row r="7" spans="1:12" ht="15.6">
      <c r="A7" s="385"/>
      <c r="B7" s="429" t="s">
        <v>714</v>
      </c>
      <c r="C7" s="430">
        <v>0</v>
      </c>
      <c r="D7" s="429" t="s">
        <v>714</v>
      </c>
      <c r="E7" s="431" t="s">
        <v>715</v>
      </c>
      <c r="F7" s="429" t="s">
        <v>714</v>
      </c>
      <c r="G7" s="431" t="s">
        <v>716</v>
      </c>
      <c r="H7" s="429" t="s">
        <v>717</v>
      </c>
      <c r="I7" s="431">
        <v>0</v>
      </c>
      <c r="J7" s="429" t="s">
        <v>717</v>
      </c>
      <c r="K7" s="431">
        <v>7.0000000000000001E-3</v>
      </c>
      <c r="L7" s="385"/>
    </row>
    <row r="8" spans="1:12" ht="15.6">
      <c r="A8" s="414" t="s">
        <v>718</v>
      </c>
      <c r="B8" s="650">
        <v>8</v>
      </c>
      <c r="C8" s="650"/>
      <c r="D8" s="650">
        <v>26</v>
      </c>
      <c r="E8" s="650"/>
      <c r="F8" s="650">
        <v>10</v>
      </c>
      <c r="G8" s="650"/>
      <c r="H8" s="650" t="s">
        <v>733</v>
      </c>
      <c r="I8" s="650"/>
      <c r="J8" s="650" t="s">
        <v>734</v>
      </c>
      <c r="K8" s="650"/>
      <c r="L8" s="385"/>
    </row>
    <row r="9" spans="1:12" ht="15.6">
      <c r="A9" s="414" t="s">
        <v>719</v>
      </c>
      <c r="B9" s="650">
        <v>20</v>
      </c>
      <c r="C9" s="650"/>
      <c r="D9" s="650">
        <v>38</v>
      </c>
      <c r="E9" s="650"/>
      <c r="F9" s="650">
        <v>2</v>
      </c>
      <c r="G9" s="650"/>
      <c r="H9" s="650" t="s">
        <v>735</v>
      </c>
      <c r="I9" s="650"/>
      <c r="J9" s="650" t="s">
        <v>736</v>
      </c>
      <c r="K9" s="650"/>
      <c r="L9" s="385"/>
    </row>
    <row r="10" spans="1:12" ht="15.6">
      <c r="A10" s="414" t="s">
        <v>720</v>
      </c>
      <c r="B10" s="650">
        <v>14</v>
      </c>
      <c r="C10" s="650"/>
      <c r="D10" s="650">
        <v>32</v>
      </c>
      <c r="E10" s="650"/>
      <c r="F10" s="650">
        <v>4</v>
      </c>
      <c r="G10" s="650"/>
      <c r="H10" s="650" t="s">
        <v>737</v>
      </c>
      <c r="I10" s="650"/>
      <c r="J10" s="650" t="s">
        <v>738</v>
      </c>
      <c r="K10" s="650"/>
      <c r="L10" s="385"/>
    </row>
    <row r="11" spans="1:12" ht="26.25" customHeight="1">
      <c r="A11" s="385"/>
      <c r="B11" s="385"/>
      <c r="C11" s="385"/>
      <c r="D11" s="385"/>
      <c r="E11" s="385"/>
      <c r="F11" s="385"/>
      <c r="G11" s="385"/>
      <c r="H11" s="385"/>
      <c r="I11" s="385"/>
      <c r="J11" s="385"/>
      <c r="K11" s="385"/>
      <c r="L11" s="385"/>
    </row>
    <row r="12" spans="1:12" ht="18">
      <c r="A12" s="428" t="s">
        <v>721</v>
      </c>
      <c r="B12" s="385"/>
      <c r="C12" s="385"/>
      <c r="D12" s="385"/>
      <c r="E12" s="385"/>
      <c r="F12" s="385"/>
      <c r="G12" s="385"/>
      <c r="H12" s="385"/>
      <c r="I12" s="385"/>
      <c r="J12" s="385"/>
      <c r="K12" s="385"/>
      <c r="L12" s="385"/>
    </row>
    <row r="13" spans="1:12" ht="15.6">
      <c r="A13" s="385"/>
      <c r="B13" s="385"/>
      <c r="C13" s="385"/>
      <c r="D13" s="385"/>
      <c r="E13" s="385"/>
      <c r="F13" s="385"/>
      <c r="G13" s="385"/>
      <c r="H13" s="385"/>
      <c r="I13" s="385"/>
      <c r="J13" s="385"/>
      <c r="K13" s="385"/>
      <c r="L13" s="385"/>
    </row>
    <row r="14" spans="1:12" ht="15.6">
      <c r="A14" s="385"/>
      <c r="B14" s="657" t="s">
        <v>722</v>
      </c>
      <c r="C14" s="646"/>
      <c r="D14" s="658" t="s">
        <v>739</v>
      </c>
      <c r="E14" s="650"/>
      <c r="F14" s="657" t="s">
        <v>723</v>
      </c>
      <c r="G14" s="646"/>
      <c r="H14" s="658" t="s">
        <v>744</v>
      </c>
      <c r="I14" s="650"/>
      <c r="J14" s="385"/>
      <c r="K14" s="385"/>
      <c r="L14" s="385"/>
    </row>
    <row r="15" spans="1:12" ht="15.6">
      <c r="A15" s="385"/>
      <c r="B15" s="657" t="s">
        <v>724</v>
      </c>
      <c r="C15" s="646"/>
      <c r="D15" s="658" t="s">
        <v>740</v>
      </c>
      <c r="E15" s="650"/>
      <c r="F15" s="657" t="s">
        <v>725</v>
      </c>
      <c r="G15" s="646"/>
      <c r="H15" s="658" t="s">
        <v>745</v>
      </c>
      <c r="I15" s="650"/>
      <c r="J15" s="385"/>
      <c r="K15" s="385"/>
      <c r="L15" s="385"/>
    </row>
    <row r="16" spans="1:12" ht="15.6">
      <c r="A16" s="385"/>
      <c r="B16" s="657" t="s">
        <v>726</v>
      </c>
      <c r="C16" s="646"/>
      <c r="D16" s="658" t="s">
        <v>741</v>
      </c>
      <c r="E16" s="650"/>
      <c r="F16" s="657" t="s">
        <v>727</v>
      </c>
      <c r="G16" s="646"/>
      <c r="H16" s="658" t="s">
        <v>746</v>
      </c>
      <c r="I16" s="650"/>
      <c r="J16" s="385"/>
      <c r="K16" s="385"/>
      <c r="L16" s="385"/>
    </row>
    <row r="17" spans="1:12" ht="15.6">
      <c r="A17" s="385"/>
      <c r="B17" s="657" t="s">
        <v>728</v>
      </c>
      <c r="C17" s="646"/>
      <c r="D17" s="658" t="s">
        <v>742</v>
      </c>
      <c r="E17" s="650"/>
      <c r="F17" s="657" t="s">
        <v>729</v>
      </c>
      <c r="G17" s="646"/>
      <c r="H17" s="658" t="s">
        <v>747</v>
      </c>
      <c r="I17" s="650"/>
      <c r="J17" s="385"/>
      <c r="K17" s="385"/>
      <c r="L17" s="385"/>
    </row>
    <row r="18" spans="1:12" ht="15.6">
      <c r="A18" s="385"/>
      <c r="B18" s="657" t="s">
        <v>730</v>
      </c>
      <c r="C18" s="646"/>
      <c r="D18" s="658" t="s">
        <v>743</v>
      </c>
      <c r="E18" s="650"/>
      <c r="F18" s="657" t="s">
        <v>731</v>
      </c>
      <c r="G18" s="646"/>
      <c r="H18" s="658" t="s">
        <v>748</v>
      </c>
      <c r="I18" s="650"/>
      <c r="J18" s="385"/>
      <c r="K18" s="385"/>
      <c r="L18" s="385"/>
    </row>
    <row r="19" spans="1:12" ht="27" customHeight="1">
      <c r="A19" s="385"/>
      <c r="B19" s="385"/>
      <c r="C19" s="385"/>
      <c r="D19" s="385"/>
      <c r="E19" s="385"/>
      <c r="F19" s="385"/>
      <c r="G19" s="385"/>
      <c r="H19" s="385"/>
      <c r="I19" s="385"/>
      <c r="J19" s="385"/>
      <c r="K19" s="385"/>
      <c r="L19" s="385"/>
    </row>
    <row r="20" spans="1:12" ht="18">
      <c r="A20" s="428" t="s">
        <v>732</v>
      </c>
      <c r="B20" s="385"/>
      <c r="C20" s="385"/>
      <c r="D20" s="385"/>
      <c r="E20" s="385"/>
      <c r="F20" s="385"/>
      <c r="G20" s="385"/>
      <c r="H20" s="385"/>
      <c r="I20" s="385"/>
      <c r="J20" s="385"/>
      <c r="K20" s="385"/>
      <c r="L20" s="385"/>
    </row>
    <row r="21" spans="1:12" ht="15.6">
      <c r="A21" s="385"/>
      <c r="B21" s="385"/>
      <c r="C21" s="385"/>
      <c r="D21" s="385"/>
      <c r="E21" s="385"/>
      <c r="F21" s="385"/>
      <c r="G21" s="385"/>
      <c r="H21" s="385"/>
      <c r="I21" s="385"/>
      <c r="J21" s="385"/>
      <c r="K21" s="385"/>
      <c r="L21" s="385"/>
    </row>
    <row r="22" spans="1:12" ht="18">
      <c r="A22" s="385"/>
      <c r="B22" s="428" t="s">
        <v>749</v>
      </c>
      <c r="C22" s="385"/>
      <c r="D22" s="385"/>
      <c r="E22" s="385"/>
      <c r="F22" s="385"/>
      <c r="G22" s="385"/>
      <c r="H22" s="385"/>
      <c r="I22" s="385"/>
      <c r="J22" s="385"/>
      <c r="K22" s="385"/>
      <c r="L22" s="385"/>
    </row>
    <row r="23" spans="1:12" ht="15.6">
      <c r="A23" s="385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</row>
    <row r="24" spans="1:12" ht="15.6">
      <c r="A24" s="385"/>
      <c r="B24" s="385"/>
      <c r="C24" s="385"/>
      <c r="D24" s="385"/>
      <c r="E24" s="385"/>
      <c r="F24" s="385"/>
      <c r="G24" s="385"/>
      <c r="H24" s="385"/>
      <c r="I24" s="385"/>
      <c r="J24" s="385"/>
      <c r="K24" s="385"/>
      <c r="L24" s="385"/>
    </row>
    <row r="25" spans="1:12" ht="15.6">
      <c r="A25" s="385"/>
      <c r="B25" s="385"/>
      <c r="C25" s="385"/>
      <c r="D25" s="385"/>
      <c r="E25" s="385"/>
      <c r="F25" s="385"/>
      <c r="G25" s="385"/>
      <c r="H25" s="385"/>
      <c r="I25" s="385"/>
      <c r="J25" s="385"/>
      <c r="K25" s="385"/>
      <c r="L25" s="385"/>
    </row>
    <row r="26" spans="1:12" ht="15.6">
      <c r="A26" s="385"/>
      <c r="B26" s="385"/>
      <c r="C26" s="385"/>
      <c r="D26" s="385"/>
      <c r="E26" s="385"/>
      <c r="F26" s="385"/>
      <c r="G26" s="385"/>
      <c r="H26" s="385"/>
      <c r="I26" s="385"/>
      <c r="J26" s="385"/>
      <c r="K26" s="385"/>
      <c r="L26" s="385"/>
    </row>
    <row r="27" spans="1:12" ht="15.6">
      <c r="A27" s="385"/>
      <c r="B27" s="385"/>
      <c r="C27" s="385"/>
      <c r="D27" s="385"/>
      <c r="E27" s="385"/>
      <c r="F27" s="385"/>
      <c r="G27" s="385"/>
      <c r="H27" s="385"/>
      <c r="I27" s="385"/>
      <c r="J27" s="385"/>
      <c r="K27" s="385"/>
      <c r="L27" s="385"/>
    </row>
    <row r="28" spans="1:12" ht="15.6">
      <c r="A28" s="385"/>
      <c r="B28" s="385"/>
      <c r="C28" s="385"/>
      <c r="D28" s="385"/>
      <c r="E28" s="385"/>
      <c r="F28" s="385"/>
      <c r="G28" s="385"/>
      <c r="H28" s="385"/>
      <c r="I28" s="385"/>
      <c r="J28" s="385"/>
      <c r="K28" s="385"/>
      <c r="L28" s="385"/>
    </row>
    <row r="29" spans="1:12" ht="15.6">
      <c r="A29" s="385"/>
      <c r="B29" s="385"/>
      <c r="C29" s="385"/>
      <c r="D29" s="385"/>
      <c r="E29" s="385"/>
      <c r="F29" s="385"/>
      <c r="G29" s="385"/>
      <c r="H29" s="385"/>
      <c r="I29" s="385"/>
      <c r="J29" s="385"/>
      <c r="K29" s="385"/>
      <c r="L29" s="385"/>
    </row>
    <row r="30" spans="1:12" ht="15.6">
      <c r="A30" s="385"/>
      <c r="B30" s="385"/>
      <c r="C30" s="385"/>
      <c r="D30" s="385"/>
      <c r="E30" s="385"/>
      <c r="F30" s="385"/>
      <c r="G30" s="385"/>
      <c r="H30" s="385"/>
      <c r="I30" s="385"/>
      <c r="J30" s="385"/>
      <c r="K30" s="385"/>
      <c r="L30" s="385"/>
    </row>
    <row r="31" spans="1:12" ht="15.6">
      <c r="A31" s="385"/>
      <c r="B31" s="385"/>
      <c r="C31" s="385"/>
      <c r="D31" s="385"/>
      <c r="E31" s="385"/>
      <c r="F31" s="385"/>
      <c r="G31" s="385"/>
      <c r="H31" s="385"/>
      <c r="I31" s="385"/>
      <c r="J31" s="385"/>
      <c r="K31" s="385"/>
      <c r="L31" s="385"/>
    </row>
    <row r="32" spans="1:12" ht="15.6">
      <c r="A32" s="385"/>
      <c r="B32" s="385"/>
      <c r="C32" s="385"/>
      <c r="D32" s="385"/>
      <c r="E32" s="385"/>
      <c r="F32" s="385"/>
      <c r="G32" s="385"/>
      <c r="H32" s="385"/>
      <c r="I32" s="385"/>
      <c r="J32" s="385"/>
      <c r="K32" s="385"/>
      <c r="L32" s="385"/>
    </row>
    <row r="33" spans="1:12" ht="15.6">
      <c r="A33" s="385"/>
      <c r="B33" s="385"/>
      <c r="C33" s="385"/>
      <c r="D33" s="385"/>
      <c r="E33" s="385"/>
      <c r="F33" s="385"/>
      <c r="G33" s="385"/>
      <c r="H33" s="385"/>
      <c r="I33" s="385"/>
      <c r="J33" s="385"/>
      <c r="K33" s="385"/>
      <c r="L33" s="385"/>
    </row>
  </sheetData>
  <mergeCells count="36">
    <mergeCell ref="A1:K1"/>
    <mergeCell ref="B8:C8"/>
    <mergeCell ref="D8:E8"/>
    <mergeCell ref="F8:G8"/>
    <mergeCell ref="H8:I8"/>
    <mergeCell ref="J8:K8"/>
    <mergeCell ref="B10:C10"/>
    <mergeCell ref="D10:E10"/>
    <mergeCell ref="F10:G10"/>
    <mergeCell ref="H10:I10"/>
    <mergeCell ref="J10:K10"/>
    <mergeCell ref="B9:C9"/>
    <mergeCell ref="D9:E9"/>
    <mergeCell ref="F9:G9"/>
    <mergeCell ref="H9:I9"/>
    <mergeCell ref="J9:K9"/>
    <mergeCell ref="B14:C14"/>
    <mergeCell ref="D14:E14"/>
    <mergeCell ref="F14:G14"/>
    <mergeCell ref="H14:I14"/>
    <mergeCell ref="B15:C15"/>
    <mergeCell ref="D15:E15"/>
    <mergeCell ref="F15:G15"/>
    <mergeCell ref="H15:I15"/>
    <mergeCell ref="B18:C18"/>
    <mergeCell ref="D18:E18"/>
    <mergeCell ref="F18:G18"/>
    <mergeCell ref="H18:I18"/>
    <mergeCell ref="B16:C16"/>
    <mergeCell ref="D16:E16"/>
    <mergeCell ref="F16:G16"/>
    <mergeCell ref="H16:I16"/>
    <mergeCell ref="B17:C17"/>
    <mergeCell ref="D17:E17"/>
    <mergeCell ref="F17:G17"/>
    <mergeCell ref="H17:I17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syncVertical="1" syncRef="A1" transitionEvaluation="1"/>
  <dimension ref="A1:N120"/>
  <sheetViews>
    <sheetView showGridLines="0" zoomScaleNormal="100" workbookViewId="0">
      <selection activeCell="L15" sqref="L15"/>
    </sheetView>
  </sheetViews>
  <sheetFormatPr defaultColWidth="12.5546875" defaultRowHeight="15.6"/>
  <cols>
    <col min="1" max="13" width="7" style="457" customWidth="1"/>
    <col min="14" max="14" width="7.109375" style="457" customWidth="1"/>
    <col min="15" max="16384" width="12.5546875" style="457"/>
  </cols>
  <sheetData>
    <row r="1" spans="1:14" ht="17.100000000000001" customHeight="1">
      <c r="A1" s="450" t="s">
        <v>269</v>
      </c>
      <c r="B1" s="451"/>
      <c r="C1" s="451"/>
      <c r="D1" s="451"/>
      <c r="E1" s="451"/>
      <c r="F1" s="451"/>
      <c r="G1" s="451"/>
      <c r="H1" s="451"/>
      <c r="I1" s="451"/>
      <c r="J1" s="452" t="s">
        <v>605</v>
      </c>
      <c r="K1" s="453"/>
      <c r="L1" s="454" t="s">
        <v>606</v>
      </c>
      <c r="M1" s="455"/>
      <c r="N1" s="456"/>
    </row>
    <row r="2" spans="1:14" ht="17.100000000000001" customHeight="1">
      <c r="A2" s="458" t="s">
        <v>607</v>
      </c>
      <c r="B2" s="459"/>
      <c r="C2" s="459"/>
      <c r="D2" s="459"/>
      <c r="E2" s="459"/>
      <c r="F2" s="459"/>
      <c r="G2" s="459"/>
      <c r="H2" s="459"/>
      <c r="I2" s="459"/>
      <c r="J2" s="460" t="s">
        <v>608</v>
      </c>
      <c r="K2" s="461"/>
      <c r="L2" s="462" t="s">
        <v>609</v>
      </c>
      <c r="M2" s="463"/>
      <c r="N2" s="456"/>
    </row>
    <row r="3" spans="1:14" ht="15.9" customHeight="1">
      <c r="A3" s="464"/>
      <c r="B3" s="465"/>
      <c r="C3" s="465"/>
      <c r="D3" s="465"/>
      <c r="E3" s="465"/>
      <c r="F3" s="465"/>
      <c r="G3" s="465"/>
      <c r="H3" s="465"/>
      <c r="I3" s="465"/>
      <c r="J3" s="460" t="s">
        <v>610</v>
      </c>
      <c r="K3" s="461"/>
      <c r="L3" s="466" t="s">
        <v>611</v>
      </c>
      <c r="M3" s="463"/>
      <c r="N3" s="456"/>
    </row>
    <row r="4" spans="1:14" ht="15.9" customHeight="1">
      <c r="A4" s="467"/>
      <c r="B4" s="465"/>
      <c r="C4" s="465"/>
      <c r="D4" s="465"/>
      <c r="E4" s="465"/>
      <c r="F4" s="465"/>
      <c r="G4" s="465"/>
      <c r="H4" s="465"/>
      <c r="I4" s="465"/>
      <c r="J4" s="460" t="s">
        <v>612</v>
      </c>
      <c r="K4" s="461"/>
      <c r="L4" s="466" t="s">
        <v>613</v>
      </c>
      <c r="M4" s="463"/>
      <c r="N4" s="456"/>
    </row>
    <row r="5" spans="1:14" ht="15.9" customHeight="1">
      <c r="A5" s="464"/>
      <c r="B5" s="465"/>
      <c r="C5" s="465"/>
      <c r="D5" s="465"/>
      <c r="E5" s="465"/>
      <c r="F5" s="465"/>
      <c r="G5" s="465"/>
      <c r="H5" s="465"/>
      <c r="I5" s="465"/>
      <c r="J5" s="460" t="s">
        <v>614</v>
      </c>
      <c r="K5" s="461"/>
      <c r="L5" s="462">
        <v>2</v>
      </c>
      <c r="M5" s="463"/>
      <c r="N5" s="456"/>
    </row>
    <row r="6" spans="1:14" ht="15.9" customHeight="1">
      <c r="A6" s="468" t="s">
        <v>615</v>
      </c>
      <c r="B6" s="465"/>
      <c r="C6" s="465"/>
      <c r="D6" s="465"/>
      <c r="E6" s="465"/>
      <c r="F6" s="465"/>
      <c r="G6" s="465"/>
      <c r="H6" s="465"/>
      <c r="I6" s="465"/>
      <c r="J6" s="460" t="s">
        <v>616</v>
      </c>
      <c r="K6" s="461"/>
      <c r="L6" s="462" t="s">
        <v>617</v>
      </c>
      <c r="M6" s="463"/>
      <c r="N6" s="456"/>
    </row>
    <row r="7" spans="1:14" ht="15.9" customHeight="1" thickBot="1">
      <c r="A7" s="469" t="s">
        <v>618</v>
      </c>
      <c r="B7" s="470"/>
      <c r="C7" s="470"/>
      <c r="D7" s="470"/>
      <c r="E7" s="470"/>
      <c r="F7" s="470"/>
      <c r="G7" s="470"/>
      <c r="H7" s="470"/>
      <c r="I7" s="470"/>
      <c r="J7" s="471" t="s">
        <v>619</v>
      </c>
      <c r="K7" s="472"/>
      <c r="L7" s="473" t="s">
        <v>620</v>
      </c>
      <c r="M7" s="474"/>
      <c r="N7" s="456"/>
    </row>
    <row r="8" spans="1:14" ht="15.9" customHeight="1">
      <c r="A8" s="475"/>
      <c r="B8" s="465"/>
      <c r="C8" s="465"/>
      <c r="D8" s="465"/>
      <c r="E8" s="465"/>
      <c r="F8" s="465"/>
      <c r="G8" s="465"/>
      <c r="H8" s="465"/>
      <c r="I8" s="465"/>
      <c r="J8" s="465"/>
      <c r="K8" s="476"/>
      <c r="L8" s="477"/>
      <c r="M8" s="478"/>
      <c r="N8" s="465"/>
    </row>
    <row r="9" spans="1:14" ht="12" customHeight="1">
      <c r="A9" s="479"/>
      <c r="B9" s="480" t="s">
        <v>621</v>
      </c>
      <c r="C9" s="481" t="s">
        <v>175</v>
      </c>
      <c r="D9" s="482"/>
      <c r="E9" s="482"/>
      <c r="F9" s="482"/>
      <c r="G9" s="482"/>
      <c r="H9" s="482"/>
      <c r="I9" s="482"/>
      <c r="J9" s="482"/>
      <c r="K9" s="483"/>
      <c r="L9" s="479"/>
      <c r="M9" s="482"/>
      <c r="N9" s="465"/>
    </row>
    <row r="10" spans="1:14" ht="12" customHeight="1">
      <c r="A10" s="479"/>
      <c r="B10" s="480" t="s">
        <v>622</v>
      </c>
      <c r="C10" s="484" t="s">
        <v>175</v>
      </c>
      <c r="D10" s="479"/>
      <c r="E10" s="479"/>
      <c r="F10" s="479"/>
      <c r="G10" s="479"/>
      <c r="H10" s="479"/>
      <c r="I10" s="479"/>
      <c r="J10" s="479"/>
      <c r="K10" s="479"/>
      <c r="L10" s="479"/>
      <c r="M10" s="479"/>
      <c r="N10" s="477"/>
    </row>
    <row r="11" spans="1:14" ht="16.2" thickBot="1">
      <c r="A11" s="477"/>
      <c r="B11" s="477"/>
      <c r="C11" s="477"/>
      <c r="D11" s="477"/>
      <c r="E11" s="477"/>
      <c r="F11" s="477"/>
      <c r="G11" s="477"/>
      <c r="H11" s="477"/>
      <c r="I11" s="477"/>
      <c r="J11" s="477"/>
      <c r="K11" s="477"/>
      <c r="L11" s="477"/>
      <c r="M11" s="477"/>
      <c r="N11" s="477"/>
    </row>
    <row r="12" spans="1:14" ht="20.100000000000001" customHeight="1" thickBot="1">
      <c r="A12" s="485" t="s">
        <v>623</v>
      </c>
      <c r="B12" s="486"/>
      <c r="C12" s="486"/>
      <c r="D12" s="486"/>
      <c r="E12" s="486"/>
      <c r="F12" s="486"/>
      <c r="G12" s="486"/>
      <c r="H12" s="486"/>
      <c r="I12" s="486"/>
      <c r="J12" s="486"/>
      <c r="K12" s="486"/>
      <c r="L12" s="486"/>
      <c r="M12" s="487"/>
      <c r="N12" s="456"/>
    </row>
    <row r="13" spans="1:14" ht="12.9" customHeight="1" thickTop="1">
      <c r="A13" s="488"/>
      <c r="B13" s="480" t="s">
        <v>624</v>
      </c>
      <c r="C13" s="489">
        <v>500</v>
      </c>
      <c r="D13" s="479"/>
      <c r="E13" s="480" t="s">
        <v>625</v>
      </c>
      <c r="F13" s="489" t="s">
        <v>756</v>
      </c>
      <c r="G13" s="479"/>
      <c r="H13" s="480" t="s">
        <v>626</v>
      </c>
      <c r="I13" s="489" t="s">
        <v>711</v>
      </c>
      <c r="J13" s="479"/>
      <c r="K13" s="479"/>
      <c r="L13" s="480" t="s">
        <v>627</v>
      </c>
      <c r="M13" s="490">
        <v>1200</v>
      </c>
      <c r="N13" s="456"/>
    </row>
    <row r="14" spans="1:14" ht="12.9" customHeight="1">
      <c r="A14" s="488"/>
      <c r="B14" s="480" t="s">
        <v>628</v>
      </c>
      <c r="C14" s="489" t="s">
        <v>194</v>
      </c>
      <c r="D14" s="479"/>
      <c r="E14" s="480" t="s">
        <v>629</v>
      </c>
      <c r="F14" s="491" t="s">
        <v>670</v>
      </c>
      <c r="G14" s="479"/>
      <c r="H14" s="480" t="s">
        <v>630</v>
      </c>
      <c r="I14" s="489" t="s">
        <v>757</v>
      </c>
      <c r="J14" s="479"/>
      <c r="K14" s="479"/>
      <c r="L14" s="480" t="s">
        <v>585</v>
      </c>
      <c r="M14" s="490">
        <v>1190</v>
      </c>
      <c r="N14" s="456"/>
    </row>
    <row r="15" spans="1:14" ht="12.9" customHeight="1">
      <c r="A15" s="488"/>
      <c r="B15" s="480" t="s">
        <v>631</v>
      </c>
      <c r="C15" s="489" t="s">
        <v>193</v>
      </c>
      <c r="D15" s="479"/>
      <c r="E15" s="480" t="s">
        <v>632</v>
      </c>
      <c r="F15" s="492" t="s">
        <v>750</v>
      </c>
      <c r="G15" s="479"/>
      <c r="H15" s="480" t="s">
        <v>633</v>
      </c>
      <c r="I15" s="491" t="s">
        <v>175</v>
      </c>
      <c r="J15" s="479"/>
      <c r="K15" s="479"/>
      <c r="L15" s="480" t="s">
        <v>634</v>
      </c>
      <c r="M15" s="490" t="s">
        <v>363</v>
      </c>
      <c r="N15" s="456"/>
    </row>
    <row r="16" spans="1:14" ht="12.9" customHeight="1">
      <c r="A16" s="488"/>
      <c r="B16" s="480" t="s">
        <v>635</v>
      </c>
      <c r="C16" s="489" t="s">
        <v>710</v>
      </c>
      <c r="D16" s="479"/>
      <c r="E16" s="480" t="s">
        <v>636</v>
      </c>
      <c r="F16" s="489" t="s">
        <v>447</v>
      </c>
      <c r="G16" s="479"/>
      <c r="H16" s="493" t="s">
        <v>637</v>
      </c>
      <c r="I16" s="494" t="s">
        <v>363</v>
      </c>
      <c r="J16" s="479"/>
      <c r="K16" s="479"/>
      <c r="L16" s="480" t="s">
        <v>638</v>
      </c>
      <c r="M16" s="490" t="s">
        <v>639</v>
      </c>
      <c r="N16" s="456"/>
    </row>
    <row r="17" spans="1:14" ht="12.9" customHeight="1">
      <c r="A17" s="488"/>
      <c r="B17" s="480" t="s">
        <v>640</v>
      </c>
      <c r="C17" s="481" t="s">
        <v>384</v>
      </c>
      <c r="D17" s="479"/>
      <c r="E17" s="480"/>
      <c r="F17" s="491"/>
      <c r="G17" s="479"/>
      <c r="H17" s="480" t="s">
        <v>641</v>
      </c>
      <c r="I17" s="494" t="s">
        <v>175</v>
      </c>
      <c r="J17" s="479"/>
      <c r="K17" s="479"/>
      <c r="L17" s="480"/>
      <c r="M17" s="495"/>
      <c r="N17" s="456"/>
    </row>
    <row r="18" spans="1:14" ht="12.9" customHeight="1" thickBot="1">
      <c r="A18" s="496"/>
      <c r="B18" s="497" t="s">
        <v>642</v>
      </c>
      <c r="C18" s="498" t="s">
        <v>175</v>
      </c>
      <c r="D18" s="499"/>
      <c r="E18" s="497" t="s">
        <v>643</v>
      </c>
      <c r="F18" s="498" t="s">
        <v>175</v>
      </c>
      <c r="G18" s="500"/>
      <c r="H18" s="497" t="s">
        <v>644</v>
      </c>
      <c r="I18" s="498" t="s">
        <v>175</v>
      </c>
      <c r="J18" s="499"/>
      <c r="K18" s="499"/>
      <c r="L18" s="499"/>
      <c r="M18" s="501"/>
      <c r="N18" s="456"/>
    </row>
    <row r="19" spans="1:14" ht="16.2" thickBot="1">
      <c r="A19" s="456"/>
      <c r="B19" s="456"/>
      <c r="C19" s="456"/>
      <c r="D19" s="456"/>
      <c r="E19" s="456"/>
      <c r="F19" s="456"/>
      <c r="G19" s="456"/>
      <c r="H19" s="456"/>
      <c r="I19" s="456"/>
      <c r="J19" s="456"/>
      <c r="K19" s="456"/>
      <c r="L19" s="456"/>
      <c r="M19" s="456"/>
      <c r="N19" s="456"/>
    </row>
    <row r="20" spans="1:14" ht="20.100000000000001" customHeight="1" thickBot="1">
      <c r="A20" s="485"/>
      <c r="B20" s="486"/>
      <c r="C20" s="486"/>
      <c r="D20" s="486"/>
      <c r="E20" s="486"/>
      <c r="F20" s="486"/>
      <c r="G20" s="486"/>
      <c r="H20" s="486"/>
      <c r="I20" s="486"/>
      <c r="J20" s="486"/>
      <c r="K20" s="486"/>
      <c r="L20" s="486"/>
      <c r="M20" s="487"/>
    </row>
    <row r="21" spans="1:14" ht="15.9" customHeight="1" thickTop="1">
      <c r="A21" s="502" t="s">
        <v>645</v>
      </c>
      <c r="B21" s="503"/>
      <c r="C21" s="477"/>
      <c r="D21" s="504"/>
      <c r="E21" s="505" t="s">
        <v>646</v>
      </c>
      <c r="F21" s="506"/>
      <c r="G21" s="506"/>
      <c r="H21" s="507"/>
      <c r="I21" s="508" t="s">
        <v>647</v>
      </c>
      <c r="J21" s="506"/>
      <c r="K21" s="506"/>
      <c r="L21" s="477"/>
      <c r="M21" s="509"/>
    </row>
    <row r="22" spans="1:14" ht="15.9" customHeight="1">
      <c r="A22" s="510"/>
      <c r="B22" s="479"/>
      <c r="C22" s="480" t="s">
        <v>648</v>
      </c>
      <c r="D22" s="511" t="s">
        <v>758</v>
      </c>
      <c r="E22" s="480"/>
      <c r="G22" s="493" t="s">
        <v>649</v>
      </c>
      <c r="H22" s="512">
        <v>2207</v>
      </c>
      <c r="I22" s="480"/>
      <c r="J22" s="479"/>
      <c r="K22" s="480" t="s">
        <v>650</v>
      </c>
      <c r="L22" s="479" t="s">
        <v>651</v>
      </c>
      <c r="M22" s="495"/>
    </row>
    <row r="23" spans="1:14" ht="15.9" customHeight="1">
      <c r="A23" s="510"/>
      <c r="B23" s="480"/>
      <c r="C23" s="483"/>
      <c r="D23" s="513"/>
      <c r="E23" s="480"/>
      <c r="G23" s="480" t="s">
        <v>652</v>
      </c>
      <c r="H23" s="511">
        <v>130</v>
      </c>
      <c r="I23" s="479"/>
      <c r="J23" s="479"/>
      <c r="K23" s="480" t="s">
        <v>653</v>
      </c>
      <c r="L23" s="479" t="s">
        <v>651</v>
      </c>
      <c r="M23" s="495"/>
    </row>
    <row r="24" spans="1:14" ht="15.9" customHeight="1">
      <c r="A24" s="488"/>
      <c r="B24" s="480"/>
      <c r="C24" s="479"/>
      <c r="D24" s="513"/>
      <c r="E24" s="480"/>
      <c r="G24" s="493" t="s">
        <v>654</v>
      </c>
      <c r="H24" s="511">
        <v>215</v>
      </c>
      <c r="I24" s="479"/>
      <c r="J24" s="480"/>
      <c r="K24" s="479"/>
      <c r="L24" s="479"/>
      <c r="M24" s="495"/>
    </row>
    <row r="25" spans="1:14" ht="15.9" customHeight="1" thickBot="1">
      <c r="A25" s="496"/>
      <c r="B25" s="497"/>
      <c r="C25" s="499"/>
      <c r="D25" s="514"/>
      <c r="E25" s="497"/>
      <c r="F25" s="497"/>
      <c r="G25" s="497"/>
      <c r="H25" s="515"/>
      <c r="I25" s="499"/>
      <c r="J25" s="497"/>
      <c r="K25" s="499"/>
      <c r="L25" s="499"/>
      <c r="M25" s="501"/>
    </row>
    <row r="26" spans="1:14" ht="18.899999999999999" customHeight="1" thickBot="1">
      <c r="A26" s="475"/>
      <c r="B26" s="475"/>
      <c r="C26" s="475"/>
      <c r="D26" s="456"/>
      <c r="E26" s="456"/>
      <c r="F26" s="456"/>
      <c r="G26" s="456"/>
      <c r="H26" s="456"/>
      <c r="I26" s="456"/>
      <c r="J26" s="456"/>
      <c r="K26" s="456"/>
      <c r="L26" s="456"/>
      <c r="M26" s="456"/>
      <c r="N26" s="456"/>
    </row>
    <row r="27" spans="1:14" ht="20.100000000000001" customHeight="1" thickBot="1">
      <c r="A27" s="516"/>
      <c r="B27" s="517"/>
      <c r="C27" s="517"/>
      <c r="D27" s="517"/>
      <c r="E27" s="517"/>
      <c r="F27" s="517"/>
      <c r="G27" s="518"/>
      <c r="H27" s="517"/>
      <c r="I27" s="517"/>
      <c r="J27" s="517"/>
      <c r="K27" s="517"/>
      <c r="L27" s="517"/>
      <c r="M27" s="519"/>
    </row>
    <row r="28" spans="1:14" ht="15.9" customHeight="1" thickTop="1">
      <c r="A28" s="520" t="s">
        <v>655</v>
      </c>
      <c r="B28" s="503"/>
      <c r="C28" s="477"/>
      <c r="D28" s="477"/>
      <c r="E28" s="506"/>
      <c r="F28" s="506"/>
      <c r="G28" s="521"/>
      <c r="H28" s="505" t="s">
        <v>656</v>
      </c>
      <c r="I28" s="506"/>
      <c r="J28" s="506"/>
      <c r="K28" s="505"/>
      <c r="L28" s="506"/>
      <c r="M28" s="509"/>
    </row>
    <row r="29" spans="1:14" ht="15.9" customHeight="1">
      <c r="A29" s="488"/>
      <c r="B29" s="480"/>
      <c r="C29" s="480" t="s">
        <v>657</v>
      </c>
      <c r="D29" s="522">
        <v>95.3</v>
      </c>
      <c r="E29" s="480"/>
      <c r="F29" s="480"/>
      <c r="G29" s="521"/>
      <c r="H29" s="493"/>
      <c r="I29" s="480"/>
      <c r="J29" s="480" t="s">
        <v>657</v>
      </c>
      <c r="K29" s="522">
        <v>80.599999999999994</v>
      </c>
      <c r="L29" s="479"/>
      <c r="M29" s="495"/>
    </row>
    <row r="30" spans="1:14" ht="15.9" customHeight="1">
      <c r="A30" s="523"/>
      <c r="B30" s="479"/>
      <c r="C30" s="480" t="s">
        <v>658</v>
      </c>
      <c r="D30" s="522">
        <v>94.8</v>
      </c>
      <c r="E30" s="480"/>
      <c r="F30" s="480"/>
      <c r="G30" s="521"/>
      <c r="H30" s="480"/>
      <c r="I30" s="479"/>
      <c r="J30" s="480" t="s">
        <v>658</v>
      </c>
      <c r="K30" s="522">
        <v>77.7</v>
      </c>
      <c r="L30" s="479"/>
      <c r="M30" s="495"/>
    </row>
    <row r="31" spans="1:14" ht="15.9" customHeight="1">
      <c r="A31" s="488"/>
      <c r="B31" s="480"/>
      <c r="C31" s="480" t="s">
        <v>659</v>
      </c>
      <c r="D31" s="522">
        <v>93.4</v>
      </c>
      <c r="E31" s="480"/>
      <c r="F31" s="480"/>
      <c r="G31" s="521"/>
      <c r="H31" s="480"/>
      <c r="I31" s="479"/>
      <c r="J31" s="480" t="s">
        <v>659</v>
      </c>
      <c r="K31" s="522">
        <v>69.900000000000006</v>
      </c>
      <c r="L31" s="480"/>
      <c r="M31" s="495"/>
    </row>
    <row r="32" spans="1:14" ht="15.9" customHeight="1" thickBot="1">
      <c r="A32" s="496"/>
      <c r="B32" s="497"/>
      <c r="C32" s="499"/>
      <c r="D32" s="499"/>
      <c r="E32" s="497"/>
      <c r="F32" s="497"/>
      <c r="G32" s="524"/>
      <c r="H32" s="497"/>
      <c r="I32" s="499"/>
      <c r="J32" s="497"/>
      <c r="K32" s="499"/>
      <c r="L32" s="497"/>
      <c r="M32" s="501"/>
    </row>
    <row r="33" spans="1:14" ht="20.100000000000001" customHeight="1" thickBot="1">
      <c r="A33" s="525"/>
      <c r="B33" s="525"/>
      <c r="C33" s="525"/>
      <c r="D33" s="525"/>
      <c r="E33" s="525"/>
      <c r="F33" s="525"/>
      <c r="G33" s="525"/>
      <c r="H33" s="525"/>
      <c r="I33" s="525"/>
      <c r="J33" s="525"/>
      <c r="K33" s="525"/>
      <c r="L33" s="525"/>
      <c r="M33" s="525"/>
      <c r="N33" s="525"/>
    </row>
    <row r="34" spans="1:14" ht="20.100000000000001" customHeight="1" thickBot="1">
      <c r="A34" s="526"/>
      <c r="B34" s="527"/>
      <c r="C34" s="527"/>
      <c r="D34" s="527"/>
      <c r="E34" s="527"/>
      <c r="F34" s="527"/>
      <c r="G34" s="527"/>
      <c r="H34" s="527"/>
      <c r="I34" s="527"/>
      <c r="J34" s="527"/>
      <c r="K34" s="527"/>
      <c r="L34" s="527"/>
      <c r="M34" s="528"/>
    </row>
    <row r="35" spans="1:14" ht="15.9" customHeight="1" thickTop="1">
      <c r="A35" s="529" t="s">
        <v>660</v>
      </c>
      <c r="B35" s="483"/>
      <c r="C35" s="483"/>
      <c r="D35" s="483"/>
      <c r="E35" s="483"/>
      <c r="F35" s="483"/>
      <c r="G35" s="483"/>
      <c r="H35" s="483"/>
      <c r="I35" s="483"/>
      <c r="J35" s="483"/>
      <c r="K35" s="483"/>
      <c r="L35" s="483"/>
      <c r="M35" s="530"/>
    </row>
    <row r="36" spans="1:14" ht="15.9" customHeight="1">
      <c r="A36" s="523" t="s">
        <v>661</v>
      </c>
      <c r="B36" s="483"/>
      <c r="C36" s="483"/>
      <c r="D36" s="483"/>
      <c r="E36" s="483"/>
      <c r="F36" s="483"/>
      <c r="G36" s="483"/>
      <c r="H36" s="483"/>
      <c r="I36" s="483"/>
      <c r="J36" s="483"/>
      <c r="K36" s="483"/>
      <c r="L36" s="483"/>
      <c r="M36" s="530"/>
    </row>
    <row r="37" spans="1:14" ht="15.9" customHeight="1">
      <c r="A37" s="531" t="s">
        <v>662</v>
      </c>
      <c r="B37" s="483"/>
      <c r="C37" s="483"/>
      <c r="D37" s="483"/>
      <c r="E37" s="532"/>
      <c r="F37" s="483"/>
      <c r="G37" s="483"/>
      <c r="H37" s="483"/>
      <c r="I37" s="483"/>
      <c r="J37" s="483"/>
      <c r="K37" s="483"/>
      <c r="L37" s="483"/>
      <c r="M37" s="530"/>
    </row>
    <row r="38" spans="1:14" ht="15.9" customHeight="1">
      <c r="A38" s="533" t="s">
        <v>663</v>
      </c>
      <c r="B38" s="483"/>
      <c r="C38" s="483"/>
      <c r="D38" s="483"/>
      <c r="E38" s="483"/>
      <c r="F38" s="483"/>
      <c r="G38" s="483"/>
      <c r="H38" s="483"/>
      <c r="I38" s="483"/>
      <c r="J38" s="483"/>
      <c r="K38" s="483"/>
      <c r="L38" s="483"/>
      <c r="M38" s="530"/>
    </row>
    <row r="39" spans="1:14" ht="15.9" customHeight="1">
      <c r="A39" s="534" t="s">
        <v>664</v>
      </c>
      <c r="B39" s="483"/>
      <c r="C39" s="483"/>
      <c r="D39" s="483"/>
      <c r="E39" s="483"/>
      <c r="F39" s="483"/>
      <c r="G39" s="483"/>
      <c r="H39" s="483"/>
      <c r="I39" s="483"/>
      <c r="J39" s="483"/>
      <c r="K39" s="483"/>
      <c r="L39" s="483"/>
      <c r="M39" s="530"/>
    </row>
    <row r="40" spans="1:14" ht="15.9" customHeight="1" thickBot="1">
      <c r="A40" s="535" t="s">
        <v>665</v>
      </c>
      <c r="B40" s="536"/>
      <c r="C40" s="536"/>
      <c r="D40" s="536"/>
      <c r="E40" s="536"/>
      <c r="F40" s="536"/>
      <c r="G40" s="536"/>
      <c r="H40" s="536"/>
      <c r="I40" s="536"/>
      <c r="J40" s="536"/>
      <c r="K40" s="536"/>
      <c r="L40" s="536"/>
      <c r="M40" s="537"/>
    </row>
    <row r="41" spans="1:14" ht="15.9" customHeight="1"/>
    <row r="42" spans="1:14" ht="18.600000000000001">
      <c r="A42" s="538"/>
      <c r="B42" s="538"/>
      <c r="C42" s="538"/>
      <c r="D42" s="538"/>
      <c r="E42" s="538"/>
      <c r="F42" s="538"/>
      <c r="G42" s="538"/>
      <c r="H42" s="456"/>
      <c r="I42" s="456"/>
      <c r="J42" s="539" t="s">
        <v>666</v>
      </c>
      <c r="K42" s="660" t="s">
        <v>667</v>
      </c>
      <c r="L42" s="660"/>
      <c r="M42" s="660"/>
      <c r="N42" s="538"/>
    </row>
    <row r="43" spans="1:14" ht="7.5" customHeight="1">
      <c r="H43" s="456"/>
      <c r="I43" s="456"/>
      <c r="J43" s="456"/>
      <c r="K43" s="456"/>
      <c r="L43" s="456"/>
      <c r="M43" s="456"/>
    </row>
    <row r="44" spans="1:14" ht="16.8">
      <c r="H44" s="456"/>
      <c r="I44" s="456"/>
      <c r="J44" s="539" t="s">
        <v>668</v>
      </c>
      <c r="K44" s="661">
        <v>43608</v>
      </c>
      <c r="L44" s="661"/>
      <c r="M44" s="661"/>
    </row>
    <row r="59" spans="1:5">
      <c r="A59" s="457" t="s">
        <v>175</v>
      </c>
      <c r="B59" s="457" t="s">
        <v>669</v>
      </c>
      <c r="D59" s="457">
        <v>1</v>
      </c>
      <c r="E59" s="540" t="s">
        <v>175</v>
      </c>
    </row>
    <row r="60" spans="1:5">
      <c r="A60" s="457" t="s">
        <v>670</v>
      </c>
      <c r="B60" s="457" t="s">
        <v>671</v>
      </c>
      <c r="D60" s="457">
        <v>1.1499999999999999</v>
      </c>
      <c r="E60" s="540" t="s">
        <v>184</v>
      </c>
    </row>
    <row r="61" spans="1:5">
      <c r="A61" s="457" t="s">
        <v>672</v>
      </c>
      <c r="B61" s="457" t="s">
        <v>673</v>
      </c>
      <c r="E61" s="540" t="s">
        <v>320</v>
      </c>
    </row>
    <row r="62" spans="1:5">
      <c r="B62" s="457" t="s">
        <v>674</v>
      </c>
    </row>
    <row r="63" spans="1:5">
      <c r="B63" s="457" t="s">
        <v>675</v>
      </c>
    </row>
    <row r="64" spans="1:5">
      <c r="B64" s="457" t="s">
        <v>676</v>
      </c>
    </row>
    <row r="65" spans="2:2">
      <c r="B65" s="457" t="s">
        <v>677</v>
      </c>
    </row>
    <row r="66" spans="2:2">
      <c r="B66" s="457" t="s">
        <v>678</v>
      </c>
    </row>
    <row r="67" spans="2:2">
      <c r="B67" s="457" t="s">
        <v>679</v>
      </c>
    </row>
    <row r="68" spans="2:2">
      <c r="B68" s="457" t="s">
        <v>680</v>
      </c>
    </row>
    <row r="69" spans="2:2">
      <c r="B69" s="457" t="s">
        <v>681</v>
      </c>
    </row>
    <row r="70" spans="2:2">
      <c r="B70" s="457" t="s">
        <v>682</v>
      </c>
    </row>
    <row r="71" spans="2:2">
      <c r="B71" s="457" t="s">
        <v>683</v>
      </c>
    </row>
    <row r="72" spans="2:2">
      <c r="B72" s="457" t="s">
        <v>684</v>
      </c>
    </row>
    <row r="73" spans="2:2">
      <c r="B73" s="457" t="s">
        <v>685</v>
      </c>
    </row>
    <row r="74" spans="2:2">
      <c r="B74" s="457" t="s">
        <v>686</v>
      </c>
    </row>
    <row r="75" spans="2:2">
      <c r="B75" s="457" t="s">
        <v>687</v>
      </c>
    </row>
    <row r="76" spans="2:2">
      <c r="B76" s="457" t="s">
        <v>688</v>
      </c>
    </row>
    <row r="77" spans="2:2">
      <c r="B77" s="457" t="s">
        <v>689</v>
      </c>
    </row>
    <row r="78" spans="2:2">
      <c r="B78" s="457" t="s">
        <v>690</v>
      </c>
    </row>
    <row r="79" spans="2:2">
      <c r="B79" s="457" t="s">
        <v>691</v>
      </c>
    </row>
    <row r="80" spans="2:2">
      <c r="B80" s="457">
        <v>6312</v>
      </c>
    </row>
    <row r="81" spans="2:2">
      <c r="B81" s="457" t="s">
        <v>692</v>
      </c>
    </row>
    <row r="82" spans="2:2">
      <c r="B82" s="457" t="s">
        <v>693</v>
      </c>
    </row>
    <row r="83" spans="2:2">
      <c r="B83" s="457" t="s">
        <v>694</v>
      </c>
    </row>
    <row r="84" spans="2:2">
      <c r="B84" s="457" t="s">
        <v>695</v>
      </c>
    </row>
    <row r="85" spans="2:2">
      <c r="B85" s="457">
        <v>6313</v>
      </c>
    </row>
    <row r="86" spans="2:2">
      <c r="B86" s="457" t="s">
        <v>696</v>
      </c>
    </row>
    <row r="87" spans="2:2">
      <c r="B87" s="457" t="s">
        <v>697</v>
      </c>
    </row>
    <row r="88" spans="2:2">
      <c r="B88" s="457" t="s">
        <v>698</v>
      </c>
    </row>
    <row r="89" spans="2:2">
      <c r="B89" s="457">
        <v>6314</v>
      </c>
    </row>
    <row r="90" spans="2:2">
      <c r="B90" s="457" t="s">
        <v>699</v>
      </c>
    </row>
    <row r="91" spans="2:2">
      <c r="B91" s="457">
        <v>6317</v>
      </c>
    </row>
    <row r="92" spans="2:2">
      <c r="B92" s="457" t="s">
        <v>700</v>
      </c>
    </row>
    <row r="93" spans="2:2">
      <c r="B93" s="457">
        <v>6318</v>
      </c>
    </row>
    <row r="94" spans="2:2">
      <c r="B94" s="457" t="s">
        <v>701</v>
      </c>
    </row>
    <row r="95" spans="2:2">
      <c r="B95" s="457" t="s">
        <v>702</v>
      </c>
    </row>
    <row r="96" spans="2:2">
      <c r="B96" s="457" t="s">
        <v>703</v>
      </c>
    </row>
    <row r="97" spans="2:2">
      <c r="B97" s="457">
        <v>6320</v>
      </c>
    </row>
    <row r="98" spans="2:2">
      <c r="B98" s="457" t="s">
        <v>704</v>
      </c>
    </row>
    <row r="99" spans="2:2">
      <c r="B99" s="457" t="s">
        <v>705</v>
      </c>
    </row>
    <row r="100" spans="2:2">
      <c r="B100" s="457" t="s">
        <v>706</v>
      </c>
    </row>
    <row r="101" spans="2:2">
      <c r="B101" s="457" t="s">
        <v>707</v>
      </c>
    </row>
    <row r="102" spans="2:2">
      <c r="B102" s="457" t="s">
        <v>707</v>
      </c>
    </row>
    <row r="118" spans="2:2">
      <c r="B118" s="457" t="s">
        <v>708</v>
      </c>
    </row>
    <row r="120" spans="2:2">
      <c r="B120" s="457" t="s">
        <v>709</v>
      </c>
    </row>
  </sheetData>
  <mergeCells count="2">
    <mergeCell ref="K42:M42"/>
    <mergeCell ref="K44:M44"/>
  </mergeCells>
  <printOptions horizontalCentered="1" gridLinesSet="0"/>
  <pageMargins left="0.5" right="0.5" top="0.5" bottom="0.5" header="0.5" footer="0.5"/>
  <pageSetup orientation="portrait" horizontalDpi="4294967292" r:id="rId1"/>
  <headerFooter alignWithMargins="0">
    <oddFooter>&amp;L&amp;"Univers (WN),Regular"&amp;7N:\ELECTRIC\PERFORMA&amp;C&amp;"Univers (WN),Regular"&amp;7&amp;F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67"/>
  <sheetViews>
    <sheetView workbookViewId="0">
      <selection activeCell="H44" sqref="H44"/>
    </sheetView>
  </sheetViews>
  <sheetFormatPr defaultColWidth="9.109375" defaultRowHeight="13.2"/>
  <cols>
    <col min="1" max="6" width="16.6640625" style="384" customWidth="1"/>
    <col min="7" max="16384" width="9.109375" style="384"/>
  </cols>
  <sheetData>
    <row r="1" spans="1:6" ht="18.899999999999999" customHeight="1">
      <c r="A1" s="386"/>
      <c r="B1" s="387"/>
      <c r="C1" s="387"/>
      <c r="D1" s="387"/>
      <c r="E1" s="387"/>
      <c r="F1" s="388"/>
    </row>
    <row r="2" spans="1:6" ht="26.1" customHeight="1">
      <c r="A2" s="389" t="s">
        <v>269</v>
      </c>
      <c r="B2" s="390"/>
      <c r="C2" s="390"/>
      <c r="D2" s="390"/>
      <c r="E2" s="390"/>
      <c r="F2" s="391"/>
    </row>
    <row r="3" spans="1:6" ht="18.899999999999999" customHeight="1">
      <c r="A3" s="392" t="s">
        <v>573</v>
      </c>
      <c r="B3" s="390"/>
      <c r="C3" s="390"/>
      <c r="D3" s="390"/>
      <c r="E3" s="390"/>
      <c r="F3" s="391"/>
    </row>
    <row r="4" spans="1:6" ht="18.899999999999999" customHeight="1">
      <c r="A4" s="393"/>
      <c r="B4" s="394"/>
      <c r="C4" s="394"/>
      <c r="D4" s="394"/>
      <c r="E4" s="394"/>
      <c r="F4" s="395"/>
    </row>
    <row r="5" spans="1:6" ht="18.899999999999999" customHeight="1">
      <c r="A5" s="393"/>
      <c r="B5" s="394"/>
      <c r="C5" s="394"/>
      <c r="D5" s="394"/>
      <c r="E5" s="394"/>
      <c r="F5" s="395"/>
    </row>
    <row r="6" spans="1:6" ht="18.899999999999999" customHeight="1">
      <c r="A6" s="396" t="s">
        <v>574</v>
      </c>
      <c r="B6" s="662" t="str">
        <f>'Performance Data Sheet'!C17</f>
        <v>5006FTAL11E-A</v>
      </c>
      <c r="C6" s="663"/>
      <c r="D6" s="664"/>
      <c r="E6" s="396" t="s">
        <v>575</v>
      </c>
      <c r="F6" s="397" t="str">
        <f>'Performance Data Sheet'!I14</f>
        <v>121/70</v>
      </c>
    </row>
    <row r="7" spans="1:6" ht="18.899999999999999" customHeight="1">
      <c r="A7" s="396" t="s">
        <v>576</v>
      </c>
      <c r="B7" s="397" t="str">
        <f>'Performance Data Sheet'!F14</f>
        <v>TEFC</v>
      </c>
      <c r="C7" s="396" t="s">
        <v>577</v>
      </c>
      <c r="D7" s="397" t="str">
        <f>'Performance Data Sheet'!F13 &amp; " V"</f>
        <v>2300/4000 V</v>
      </c>
      <c r="E7" s="396" t="s">
        <v>578</v>
      </c>
      <c r="F7" s="397" t="str">
        <f>'Performance Data Sheet'!C14</f>
        <v>5811US</v>
      </c>
    </row>
    <row r="8" spans="1:6" ht="18.899999999999999" customHeight="1">
      <c r="A8" s="396" t="s">
        <v>579</v>
      </c>
      <c r="B8" s="397">
        <v>6</v>
      </c>
      <c r="C8" s="396" t="s">
        <v>580</v>
      </c>
      <c r="D8" s="397" t="s">
        <v>581</v>
      </c>
      <c r="E8" s="396" t="s">
        <v>582</v>
      </c>
      <c r="F8" s="397" t="str">
        <f>'Performance Data Sheet'!M15</f>
        <v>F</v>
      </c>
    </row>
    <row r="9" spans="1:6" ht="18.899999999999999" customHeight="1">
      <c r="A9" s="396" t="s">
        <v>583</v>
      </c>
      <c r="B9" s="397">
        <f>'Performance Data Sheet'!C13</f>
        <v>500</v>
      </c>
      <c r="C9" s="396" t="s">
        <v>584</v>
      </c>
      <c r="D9" s="397" t="s">
        <v>594</v>
      </c>
      <c r="E9" s="396" t="s">
        <v>2</v>
      </c>
      <c r="F9" s="398">
        <f>'Performance Data Sheet'!K44</f>
        <v>43608</v>
      </c>
    </row>
    <row r="10" spans="1:6" ht="18.899999999999999" customHeight="1">
      <c r="A10" s="396" t="s">
        <v>585</v>
      </c>
      <c r="B10" s="397">
        <f>'Performance Data Sheet'!M14</f>
        <v>1190</v>
      </c>
      <c r="C10" s="396" t="s">
        <v>406</v>
      </c>
      <c r="D10" s="397" t="s">
        <v>595</v>
      </c>
      <c r="E10" s="396" t="s">
        <v>1</v>
      </c>
      <c r="F10" s="397" t="s">
        <v>379</v>
      </c>
    </row>
    <row r="11" spans="1:6" ht="18.899999999999999" customHeight="1">
      <c r="A11" s="393"/>
      <c r="B11" s="394"/>
      <c r="C11" s="394"/>
      <c r="D11" s="394"/>
      <c r="E11" s="394"/>
      <c r="F11" s="395"/>
    </row>
    <row r="12" spans="1:6" ht="18.899999999999999" customHeight="1">
      <c r="A12" s="393"/>
      <c r="B12" s="399" t="s">
        <v>586</v>
      </c>
      <c r="C12" s="400" t="str">
        <f>'Performance Data Sheet'!D22 &amp; " A"</f>
        <v>682/394 A</v>
      </c>
      <c r="D12" s="399" t="s">
        <v>405</v>
      </c>
      <c r="E12" s="400" t="s">
        <v>409</v>
      </c>
      <c r="F12" s="395"/>
    </row>
    <row r="13" spans="1:6" ht="18.899999999999999" customHeight="1">
      <c r="A13" s="393"/>
      <c r="B13" s="399" t="s">
        <v>587</v>
      </c>
      <c r="C13" s="401">
        <f>'Performance Data Sheet'!H23/100</f>
        <v>1.3</v>
      </c>
      <c r="D13" s="399" t="s">
        <v>588</v>
      </c>
      <c r="E13" s="400" t="s">
        <v>596</v>
      </c>
      <c r="F13" s="395"/>
    </row>
    <row r="14" spans="1:6" ht="18.899999999999999" customHeight="1">
      <c r="A14" s="393"/>
      <c r="B14" s="399" t="s">
        <v>589</v>
      </c>
      <c r="C14" s="401">
        <v>2.15</v>
      </c>
      <c r="D14" s="399" t="s">
        <v>407</v>
      </c>
      <c r="E14" s="400" t="s">
        <v>412</v>
      </c>
      <c r="F14" s="395"/>
    </row>
    <row r="15" spans="1:6" ht="18.899999999999999" customHeight="1">
      <c r="A15" s="393"/>
      <c r="B15" s="399" t="s">
        <v>408</v>
      </c>
      <c r="C15" s="400" t="str">
        <f>'Performance Data Sheet'!H22 &amp; " lb-ft"</f>
        <v>2207 lb-ft</v>
      </c>
      <c r="D15" s="394"/>
      <c r="E15" s="394"/>
      <c r="F15" s="395"/>
    </row>
    <row r="16" spans="1:6" ht="18.899999999999999" customHeight="1">
      <c r="A16" s="393"/>
      <c r="B16" s="394"/>
      <c r="C16" s="394"/>
      <c r="D16" s="394"/>
      <c r="E16" s="394"/>
      <c r="F16" s="395"/>
    </row>
    <row r="17" spans="1:6" ht="18.899999999999999" customHeight="1">
      <c r="A17" s="393"/>
      <c r="B17" s="394"/>
      <c r="C17" s="394"/>
      <c r="D17" s="394"/>
      <c r="E17" s="394"/>
      <c r="F17" s="395"/>
    </row>
    <row r="18" spans="1:6" ht="18.899999999999999" customHeight="1">
      <c r="A18" s="393"/>
      <c r="B18" s="394"/>
      <c r="C18" s="394"/>
      <c r="D18" s="394"/>
      <c r="E18" s="394"/>
      <c r="F18" s="395"/>
    </row>
    <row r="19" spans="1:6" ht="18.899999999999999" customHeight="1">
      <c r="A19" s="393"/>
      <c r="B19" s="394"/>
      <c r="C19" s="394"/>
      <c r="D19" s="394"/>
      <c r="E19" s="394"/>
      <c r="F19" s="395"/>
    </row>
    <row r="20" spans="1:6" ht="18.899999999999999" customHeight="1">
      <c r="A20" s="393"/>
      <c r="B20" s="394"/>
      <c r="C20" s="394"/>
      <c r="D20" s="394"/>
      <c r="E20" s="394"/>
      <c r="F20" s="395"/>
    </row>
    <row r="21" spans="1:6" ht="18.899999999999999" customHeight="1">
      <c r="A21" s="393"/>
      <c r="B21" s="394"/>
      <c r="C21" s="394"/>
      <c r="D21" s="394"/>
      <c r="E21" s="394"/>
      <c r="F21" s="395"/>
    </row>
    <row r="22" spans="1:6" ht="18.899999999999999" customHeight="1">
      <c r="A22" s="393"/>
      <c r="B22" s="394"/>
      <c r="C22" s="394"/>
      <c r="D22" s="394"/>
      <c r="E22" s="394"/>
      <c r="F22" s="395"/>
    </row>
    <row r="23" spans="1:6" ht="18.899999999999999" customHeight="1">
      <c r="A23" s="393"/>
      <c r="B23" s="394"/>
      <c r="C23" s="394"/>
      <c r="D23" s="394"/>
      <c r="E23" s="394"/>
      <c r="F23" s="395"/>
    </row>
    <row r="24" spans="1:6" ht="18.899999999999999" customHeight="1">
      <c r="A24" s="393"/>
      <c r="B24" s="394"/>
      <c r="C24" s="394"/>
      <c r="D24" s="394"/>
      <c r="E24" s="394"/>
      <c r="F24" s="395"/>
    </row>
    <row r="25" spans="1:6" ht="18.899999999999999" customHeight="1">
      <c r="A25" s="393"/>
      <c r="B25" s="394"/>
      <c r="C25" s="394"/>
      <c r="D25" s="394"/>
      <c r="E25" s="394"/>
      <c r="F25" s="395"/>
    </row>
    <row r="26" spans="1:6" ht="18.899999999999999" customHeight="1">
      <c r="A26" s="393"/>
      <c r="B26" s="394"/>
      <c r="C26" s="394"/>
      <c r="D26" s="394"/>
      <c r="E26" s="394"/>
      <c r="F26" s="395"/>
    </row>
    <row r="27" spans="1:6" ht="18.899999999999999" customHeight="1">
      <c r="A27" s="393"/>
      <c r="B27" s="394"/>
      <c r="C27" s="394"/>
      <c r="D27" s="394"/>
      <c r="E27" s="394"/>
      <c r="F27" s="395"/>
    </row>
    <row r="28" spans="1:6" ht="18.899999999999999" customHeight="1">
      <c r="A28" s="393"/>
      <c r="B28" s="394"/>
      <c r="C28" s="394"/>
      <c r="D28" s="394"/>
      <c r="E28" s="394"/>
      <c r="F28" s="395"/>
    </row>
    <row r="29" spans="1:6" ht="18.899999999999999" customHeight="1">
      <c r="A29" s="393"/>
      <c r="B29" s="394"/>
      <c r="C29" s="394"/>
      <c r="D29" s="394"/>
      <c r="E29" s="394"/>
      <c r="F29" s="395"/>
    </row>
    <row r="30" spans="1:6" ht="18.899999999999999" customHeight="1">
      <c r="A30" s="393"/>
      <c r="B30" s="394"/>
      <c r="C30" s="394"/>
      <c r="D30" s="394"/>
      <c r="E30" s="394"/>
      <c r="F30" s="395"/>
    </row>
    <row r="31" spans="1:6" ht="18.899999999999999" customHeight="1">
      <c r="A31" s="393"/>
      <c r="B31" s="394"/>
      <c r="C31" s="394"/>
      <c r="D31" s="394"/>
      <c r="E31" s="394"/>
      <c r="F31" s="395"/>
    </row>
    <row r="32" spans="1:6" ht="18.899999999999999" customHeight="1">
      <c r="A32" s="393"/>
      <c r="B32" s="394"/>
      <c r="C32" s="394"/>
      <c r="D32" s="394"/>
      <c r="E32" s="394"/>
      <c r="F32" s="395"/>
    </row>
    <row r="33" spans="1:6" ht="18.899999999999999" customHeight="1">
      <c r="A33" s="393"/>
      <c r="B33" s="394"/>
      <c r="C33" s="394"/>
      <c r="D33" s="394"/>
      <c r="E33" s="394"/>
      <c r="F33" s="395"/>
    </row>
    <row r="34" spans="1:6" ht="18.899999999999999" customHeight="1">
      <c r="A34" s="393"/>
      <c r="B34" s="394"/>
      <c r="C34" s="394"/>
      <c r="D34" s="394"/>
      <c r="E34" s="394"/>
      <c r="F34" s="395"/>
    </row>
    <row r="35" spans="1:6" ht="18.899999999999999" customHeight="1">
      <c r="A35" s="393"/>
      <c r="B35" s="394"/>
      <c r="C35" s="394"/>
      <c r="D35" s="394"/>
      <c r="E35" s="394"/>
      <c r="F35" s="395"/>
    </row>
    <row r="36" spans="1:6" ht="18.899999999999999" customHeight="1">
      <c r="A36" s="393"/>
      <c r="B36" s="394"/>
      <c r="C36" s="394"/>
      <c r="D36" s="394"/>
      <c r="E36" s="394"/>
      <c r="F36" s="395"/>
    </row>
    <row r="37" spans="1:6" ht="18.899999999999999" customHeight="1">
      <c r="A37" s="393"/>
      <c r="B37" s="394"/>
      <c r="C37" s="394"/>
      <c r="D37" s="394"/>
      <c r="E37" s="394"/>
      <c r="F37" s="395"/>
    </row>
    <row r="38" spans="1:6" ht="18.899999999999999" customHeight="1">
      <c r="A38" s="393"/>
      <c r="B38" s="394"/>
      <c r="C38" s="394"/>
      <c r="D38" s="394"/>
      <c r="E38" s="394"/>
      <c r="F38" s="395"/>
    </row>
    <row r="39" spans="1:6" ht="18.899999999999999" customHeight="1">
      <c r="A39" s="402" t="s">
        <v>590</v>
      </c>
      <c r="B39" s="403" t="s">
        <v>370</v>
      </c>
      <c r="C39" s="541" t="str">
        <f>'Performance Data Sheet'!C10</f>
        <v>-</v>
      </c>
      <c r="D39" s="394"/>
      <c r="E39" s="399" t="s">
        <v>591</v>
      </c>
      <c r="F39" s="404" t="str">
        <f>F10</f>
        <v>RF6500USS</v>
      </c>
    </row>
    <row r="40" spans="1:6" ht="18.899999999999999" customHeight="1">
      <c r="A40" s="393"/>
      <c r="B40" s="403"/>
      <c r="C40" s="403"/>
      <c r="D40" s="394"/>
      <c r="E40" s="394"/>
      <c r="F40" s="395"/>
    </row>
    <row r="41" spans="1:6" ht="18.899999999999999" customHeight="1">
      <c r="A41" s="393"/>
      <c r="B41" s="403"/>
      <c r="C41" s="403"/>
      <c r="D41" s="394"/>
      <c r="E41" s="394"/>
      <c r="F41" s="395"/>
    </row>
    <row r="42" spans="1:6" ht="18.899999999999999" customHeight="1">
      <c r="A42" s="393"/>
      <c r="B42" s="394"/>
      <c r="C42" s="394"/>
      <c r="D42" s="394"/>
      <c r="E42" s="394"/>
      <c r="F42" s="395"/>
    </row>
    <row r="43" spans="1:6" ht="18.899999999999999" customHeight="1">
      <c r="A43" s="405"/>
      <c r="B43" s="403"/>
      <c r="C43" s="406" t="s">
        <v>592</v>
      </c>
      <c r="D43" s="407" t="str">
        <f>'Performance Data Sheet'!K42</f>
        <v>Zichao Xie</v>
      </c>
      <c r="E43" s="406" t="s">
        <v>593</v>
      </c>
      <c r="F43" s="407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12" ht="15" customHeight="1"/>
    <row r="50" spans="1:12" ht="15" customHeight="1"/>
    <row r="51" spans="1:12" ht="15" customHeight="1"/>
    <row r="52" spans="1:12" ht="15" customHeight="1"/>
    <row r="53" spans="1:12" ht="15" customHeight="1">
      <c r="D53" s="363" t="s">
        <v>404</v>
      </c>
      <c r="E53" s="363"/>
      <c r="F53" s="363"/>
      <c r="G53" s="363"/>
      <c r="H53" s="363"/>
      <c r="I53" s="363"/>
      <c r="J53" s="363"/>
      <c r="K53" s="363"/>
      <c r="L53" s="363"/>
    </row>
    <row r="54" spans="1:12" ht="15" customHeight="1">
      <c r="A54" s="371">
        <v>100</v>
      </c>
      <c r="B54" s="363">
        <v>0</v>
      </c>
      <c r="C54" s="363">
        <v>0.32744124531745911</v>
      </c>
      <c r="D54" s="363">
        <v>100</v>
      </c>
      <c r="E54" s="363"/>
      <c r="F54" s="363"/>
      <c r="G54" s="363"/>
      <c r="H54" s="363"/>
      <c r="I54" s="363"/>
      <c r="J54" s="363"/>
      <c r="K54" s="363"/>
      <c r="L54" s="363"/>
    </row>
    <row r="55" spans="1:12" ht="15" customHeight="1">
      <c r="A55" s="371">
        <v>99.000000022351742</v>
      </c>
      <c r="B55" s="363">
        <v>116.68075123961226</v>
      </c>
      <c r="C55" s="363">
        <v>128.57435607910156</v>
      </c>
      <c r="D55" s="363">
        <v>98</v>
      </c>
      <c r="E55" s="363"/>
      <c r="F55" s="363"/>
      <c r="G55" s="363"/>
      <c r="H55" s="363"/>
      <c r="I55" s="363"/>
      <c r="J55" s="363"/>
      <c r="K55" s="363"/>
      <c r="L55" s="363"/>
    </row>
    <row r="56" spans="1:12" ht="15" customHeight="1">
      <c r="A56" s="371">
        <v>94.999999925494194</v>
      </c>
      <c r="B56" s="363">
        <v>215</v>
      </c>
      <c r="C56" s="363">
        <v>368.00668334960938</v>
      </c>
      <c r="D56" s="363">
        <v>87</v>
      </c>
      <c r="E56" s="363"/>
      <c r="F56" s="363"/>
      <c r="G56" s="363"/>
      <c r="H56" s="363"/>
      <c r="I56" s="363"/>
      <c r="J56" s="363"/>
      <c r="K56" s="363"/>
      <c r="L56" s="363"/>
    </row>
    <row r="57" spans="1:12">
      <c r="A57" s="371">
        <v>89.999999850988388</v>
      </c>
      <c r="B57" s="363">
        <v>148.66614220716752</v>
      </c>
      <c r="C57" s="363">
        <v>430.56842041015625</v>
      </c>
      <c r="D57" s="363">
        <v>74</v>
      </c>
      <c r="E57" s="363"/>
      <c r="F57" s="363"/>
      <c r="G57" s="363"/>
      <c r="H57" s="363"/>
      <c r="I57" s="363"/>
      <c r="J57" s="363"/>
      <c r="K57" s="363"/>
      <c r="L57" s="363"/>
    </row>
    <row r="58" spans="1:12">
      <c r="A58" s="371">
        <v>84.999999403953552</v>
      </c>
      <c r="B58" s="363">
        <v>122.13802044054131</v>
      </c>
      <c r="C58" s="363">
        <v>450.33721923828125</v>
      </c>
      <c r="D58" s="363">
        <v>61</v>
      </c>
      <c r="E58" s="363"/>
      <c r="F58" s="363"/>
      <c r="G58" s="363"/>
      <c r="H58" s="363"/>
      <c r="I58" s="363"/>
      <c r="J58" s="363"/>
      <c r="K58" s="363"/>
      <c r="L58" s="363"/>
    </row>
    <row r="59" spans="1:12">
      <c r="A59" s="371">
        <v>79.999999701976776</v>
      </c>
      <c r="B59" s="363">
        <v>113.312102298822</v>
      </c>
      <c r="C59" s="363">
        <v>461.86068725585938</v>
      </c>
      <c r="D59" s="363">
        <v>50</v>
      </c>
      <c r="E59" s="363"/>
      <c r="F59" s="363"/>
      <c r="G59" s="363"/>
      <c r="H59" s="363"/>
      <c r="I59" s="363"/>
      <c r="J59" s="363"/>
      <c r="K59" s="363"/>
      <c r="L59" s="363"/>
    </row>
    <row r="60" spans="1:12">
      <c r="A60" s="371">
        <v>69.999998807907104</v>
      </c>
      <c r="B60" s="363">
        <v>110.03264268136778</v>
      </c>
      <c r="C60" s="363">
        <v>478.75155639648438</v>
      </c>
      <c r="D60" s="363">
        <v>33</v>
      </c>
      <c r="E60" s="363"/>
      <c r="F60" s="363"/>
      <c r="G60" s="363"/>
      <c r="H60" s="363"/>
      <c r="I60" s="363"/>
      <c r="J60" s="363"/>
      <c r="K60" s="363"/>
      <c r="L60" s="363"/>
    </row>
    <row r="61" spans="1:12">
      <c r="A61" s="371">
        <v>59.999999403953552</v>
      </c>
      <c r="B61" s="363">
        <v>110</v>
      </c>
      <c r="C61" s="363">
        <v>493.22357177734375</v>
      </c>
      <c r="D61" s="363">
        <v>22</v>
      </c>
      <c r="E61" s="363"/>
      <c r="F61" s="363"/>
      <c r="G61" s="363"/>
      <c r="H61" s="363"/>
      <c r="I61" s="363"/>
      <c r="J61" s="363"/>
      <c r="K61" s="363"/>
      <c r="L61" s="363"/>
    </row>
    <row r="62" spans="1:12">
      <c r="A62" s="371">
        <v>50</v>
      </c>
      <c r="B62" s="363">
        <v>110.49624971532761</v>
      </c>
      <c r="C62" s="363">
        <v>507.1236572265625</v>
      </c>
      <c r="D62" s="363">
        <v>14</v>
      </c>
      <c r="E62" s="363"/>
      <c r="F62" s="363"/>
      <c r="G62" s="363"/>
      <c r="H62" s="363"/>
      <c r="I62" s="363"/>
      <c r="J62" s="363"/>
      <c r="K62" s="363"/>
      <c r="L62" s="363"/>
    </row>
    <row r="63" spans="1:12">
      <c r="A63" s="371">
        <v>39.999997615814209</v>
      </c>
      <c r="B63" s="363">
        <v>111.60128428329072</v>
      </c>
      <c r="C63" s="363">
        <v>519.90557861328125</v>
      </c>
      <c r="D63" s="363">
        <v>7.9999995231628418</v>
      </c>
      <c r="E63" s="363"/>
      <c r="F63" s="363"/>
      <c r="G63" s="363"/>
      <c r="H63" s="363"/>
      <c r="I63" s="363"/>
      <c r="J63" s="363"/>
      <c r="K63" s="363"/>
      <c r="L63" s="363"/>
    </row>
    <row r="64" spans="1:12">
      <c r="A64" s="371">
        <v>30.000001192092896</v>
      </c>
      <c r="B64" s="363">
        <v>113.55298957614457</v>
      </c>
      <c r="C64" s="363">
        <v>531.86322021484375</v>
      </c>
      <c r="D64" s="363">
        <v>5.9999995231628418</v>
      </c>
      <c r="E64" s="363"/>
      <c r="F64" s="363"/>
      <c r="G64" s="363"/>
      <c r="H64" s="363"/>
      <c r="I64" s="363"/>
      <c r="J64" s="363"/>
      <c r="K64" s="363"/>
      <c r="L64" s="363"/>
    </row>
    <row r="65" spans="1:12">
      <c r="A65" s="371">
        <v>19.999998807907104</v>
      </c>
      <c r="B65" s="363">
        <v>116.82707387017962</v>
      </c>
      <c r="C65" s="363">
        <v>543.22674560546875</v>
      </c>
      <c r="D65" s="363">
        <v>8.0000009536743164</v>
      </c>
      <c r="E65" s="363"/>
      <c r="F65" s="363"/>
      <c r="G65" s="363"/>
      <c r="H65" s="363"/>
      <c r="I65" s="363"/>
      <c r="J65" s="363"/>
      <c r="K65" s="363"/>
      <c r="L65" s="363"/>
    </row>
    <row r="66" spans="1:12">
      <c r="A66" s="371">
        <v>10.000002384185791</v>
      </c>
      <c r="B66" s="363">
        <v>121.96402113592156</v>
      </c>
      <c r="C66" s="363">
        <v>553.47607421875</v>
      </c>
      <c r="D66" s="363">
        <v>14.999996185302734</v>
      </c>
      <c r="E66" s="363"/>
      <c r="F66" s="363"/>
      <c r="G66" s="363"/>
      <c r="H66" s="363"/>
      <c r="I66" s="363"/>
      <c r="J66" s="363"/>
      <c r="K66" s="363"/>
      <c r="L66" s="363"/>
    </row>
    <row r="67" spans="1:12">
      <c r="A67" s="372">
        <v>0</v>
      </c>
      <c r="B67" s="363">
        <v>130</v>
      </c>
      <c r="C67" s="363">
        <v>562.85711669921875</v>
      </c>
      <c r="D67" s="363">
        <v>30</v>
      </c>
      <c r="E67" s="363"/>
      <c r="F67" s="363"/>
      <c r="G67" s="363"/>
      <c r="H67" s="363"/>
      <c r="I67" s="363"/>
      <c r="J67" s="363"/>
      <c r="K67" s="363"/>
      <c r="L67" s="363"/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81"/>
  <sheetViews>
    <sheetView workbookViewId="0">
      <selection activeCell="L64" sqref="L64"/>
    </sheetView>
  </sheetViews>
  <sheetFormatPr defaultColWidth="9.109375" defaultRowHeight="13.2"/>
  <cols>
    <col min="1" max="6" width="16.6640625" style="384" customWidth="1"/>
    <col min="7" max="16384" width="9.109375" style="384"/>
  </cols>
  <sheetData>
    <row r="1" spans="1:6" ht="18.899999999999999" customHeight="1">
      <c r="A1" s="386"/>
      <c r="B1" s="387"/>
      <c r="C1" s="387"/>
      <c r="D1" s="387"/>
      <c r="E1" s="387"/>
      <c r="F1" s="388"/>
    </row>
    <row r="2" spans="1:6" ht="26.1" customHeight="1">
      <c r="A2" s="389" t="s">
        <v>269</v>
      </c>
      <c r="B2" s="390"/>
      <c r="C2" s="390"/>
      <c r="D2" s="390"/>
      <c r="E2" s="390"/>
      <c r="F2" s="391"/>
    </row>
    <row r="3" spans="1:6" ht="18.899999999999999" customHeight="1">
      <c r="A3" s="665" t="s">
        <v>597</v>
      </c>
      <c r="B3" s="666"/>
      <c r="C3" s="666"/>
      <c r="D3" s="666"/>
      <c r="E3" s="666"/>
      <c r="F3" s="667"/>
    </row>
    <row r="4" spans="1:6" ht="18.899999999999999" customHeight="1">
      <c r="A4" s="668" t="s">
        <v>598</v>
      </c>
      <c r="B4" s="669"/>
      <c r="C4" s="669"/>
      <c r="D4" s="669"/>
      <c r="E4" s="669"/>
      <c r="F4" s="670"/>
    </row>
    <row r="5" spans="1:6" ht="18.899999999999999" customHeight="1">
      <c r="A5" s="393"/>
      <c r="B5" s="394"/>
      <c r="C5" s="394"/>
      <c r="D5" s="394"/>
      <c r="E5" s="394"/>
      <c r="F5" s="395"/>
    </row>
    <row r="6" spans="1:6" ht="18.899999999999999" customHeight="1">
      <c r="A6" s="396" t="s">
        <v>574</v>
      </c>
      <c r="B6" s="662" t="str">
        <f>'Performance Data Sheet'!C17</f>
        <v>5006FTAL11E-A</v>
      </c>
      <c r="C6" s="663"/>
      <c r="D6" s="664"/>
      <c r="E6" s="396" t="s">
        <v>575</v>
      </c>
      <c r="F6" s="397" t="str">
        <f>'Performance Data Sheet'!I14</f>
        <v>121/70</v>
      </c>
    </row>
    <row r="7" spans="1:6" ht="18.899999999999999" customHeight="1">
      <c r="A7" s="396" t="s">
        <v>576</v>
      </c>
      <c r="B7" s="397" t="str">
        <f>'Performance Data Sheet'!F14</f>
        <v>TEFC</v>
      </c>
      <c r="C7" s="396" t="s">
        <v>577</v>
      </c>
      <c r="D7" s="397" t="str">
        <f>'Performance Data Sheet'!F13 &amp; " V"</f>
        <v>2300/4000 V</v>
      </c>
      <c r="E7" s="396" t="s">
        <v>578</v>
      </c>
      <c r="F7" s="397" t="str">
        <f>'Performance Data Sheet'!C14</f>
        <v>5811US</v>
      </c>
    </row>
    <row r="8" spans="1:6" ht="18.899999999999999" customHeight="1">
      <c r="A8" s="396" t="s">
        <v>579</v>
      </c>
      <c r="B8" s="397">
        <v>6</v>
      </c>
      <c r="C8" s="396" t="s">
        <v>580</v>
      </c>
      <c r="D8" s="397" t="s">
        <v>581</v>
      </c>
      <c r="E8" s="396" t="s">
        <v>582</v>
      </c>
      <c r="F8" s="397" t="str">
        <f>'Performance Data Sheet'!M15</f>
        <v>F</v>
      </c>
    </row>
    <row r="9" spans="1:6" ht="18.899999999999999" customHeight="1">
      <c r="A9" s="396" t="s">
        <v>583</v>
      </c>
      <c r="B9" s="397">
        <f>'Performance Data Sheet'!C13</f>
        <v>500</v>
      </c>
      <c r="C9" s="396" t="s">
        <v>584</v>
      </c>
      <c r="D9" s="397" t="s">
        <v>594</v>
      </c>
      <c r="E9" s="396" t="s">
        <v>2</v>
      </c>
      <c r="F9" s="398">
        <f>'Performance Data Sheet'!K44</f>
        <v>43608</v>
      </c>
    </row>
    <row r="10" spans="1:6" ht="18.899999999999999" customHeight="1">
      <c r="A10" s="396" t="s">
        <v>585</v>
      </c>
      <c r="B10" s="397">
        <f>'Performance Data Sheet'!M14</f>
        <v>1190</v>
      </c>
      <c r="C10" s="396" t="s">
        <v>406</v>
      </c>
      <c r="D10" s="397" t="s">
        <v>595</v>
      </c>
      <c r="E10" s="396" t="s">
        <v>1</v>
      </c>
      <c r="F10" s="397" t="s">
        <v>379</v>
      </c>
    </row>
    <row r="11" spans="1:6" ht="18.899999999999999" customHeight="1">
      <c r="A11" s="393"/>
      <c r="B11" s="394"/>
      <c r="C11" s="394"/>
      <c r="D11" s="394"/>
      <c r="E11" s="394"/>
      <c r="F11" s="395"/>
    </row>
    <row r="12" spans="1:6" ht="18.899999999999999" customHeight="1">
      <c r="A12" s="393"/>
      <c r="B12" s="399"/>
      <c r="C12" s="400" t="str">
        <f>'Performance Data Sheet'!D22 &amp; " A"</f>
        <v>682/394 A</v>
      </c>
      <c r="D12" s="399"/>
      <c r="E12" s="400"/>
      <c r="F12" s="395"/>
    </row>
    <row r="13" spans="1:6" ht="18.899999999999999" customHeight="1">
      <c r="A13" s="393"/>
      <c r="B13" s="399"/>
      <c r="C13" s="401">
        <f>'Performance Data Sheet'!H23/100</f>
        <v>1.3</v>
      </c>
      <c r="D13" s="399"/>
      <c r="E13" s="400"/>
      <c r="F13" s="395"/>
    </row>
    <row r="14" spans="1:6" ht="18.899999999999999" customHeight="1">
      <c r="A14" s="393"/>
      <c r="B14" s="399"/>
      <c r="C14" s="401"/>
      <c r="D14" s="399"/>
      <c r="E14" s="400"/>
      <c r="F14" s="395"/>
    </row>
    <row r="15" spans="1:6" ht="18.899999999999999" customHeight="1">
      <c r="A15" s="393"/>
      <c r="B15" s="399"/>
      <c r="C15" s="400" t="str">
        <f>'Performance Data Sheet'!H22 &amp; " lb-ft"</f>
        <v>2207 lb-ft</v>
      </c>
      <c r="D15" s="394"/>
      <c r="E15" s="394"/>
      <c r="F15" s="395"/>
    </row>
    <row r="16" spans="1:6" ht="18.899999999999999" customHeight="1">
      <c r="A16" s="393"/>
      <c r="B16" s="394"/>
      <c r="C16" s="394"/>
      <c r="D16" s="394"/>
      <c r="E16" s="394"/>
      <c r="F16" s="395"/>
    </row>
    <row r="17" spans="1:6" ht="18.899999999999999" customHeight="1">
      <c r="A17" s="393"/>
      <c r="B17" s="394"/>
      <c r="C17" s="394"/>
      <c r="D17" s="394"/>
      <c r="E17" s="394"/>
      <c r="F17" s="395"/>
    </row>
    <row r="18" spans="1:6" ht="18.899999999999999" customHeight="1">
      <c r="A18" s="393"/>
      <c r="B18" s="394"/>
      <c r="C18" s="394"/>
      <c r="D18" s="394"/>
      <c r="E18" s="394"/>
      <c r="F18" s="395"/>
    </row>
    <row r="19" spans="1:6" ht="18.899999999999999" customHeight="1">
      <c r="A19" s="393"/>
      <c r="B19" s="394"/>
      <c r="C19" s="394"/>
      <c r="D19" s="394"/>
      <c r="E19" s="394"/>
      <c r="F19" s="395"/>
    </row>
    <row r="20" spans="1:6" ht="18.899999999999999" customHeight="1">
      <c r="A20" s="393"/>
      <c r="B20" s="394"/>
      <c r="C20" s="394"/>
      <c r="D20" s="394"/>
      <c r="E20" s="394"/>
      <c r="F20" s="395"/>
    </row>
    <row r="21" spans="1:6" ht="18.899999999999999" customHeight="1">
      <c r="A21" s="393"/>
      <c r="B21" s="394"/>
      <c r="C21" s="394"/>
      <c r="D21" s="394"/>
      <c r="E21" s="394"/>
      <c r="F21" s="395"/>
    </row>
    <row r="22" spans="1:6" ht="18.899999999999999" customHeight="1">
      <c r="A22" s="393"/>
      <c r="B22" s="394"/>
      <c r="C22" s="394"/>
      <c r="D22" s="394"/>
      <c r="E22" s="394"/>
      <c r="F22" s="395"/>
    </row>
    <row r="23" spans="1:6" ht="18.899999999999999" customHeight="1">
      <c r="A23" s="393"/>
      <c r="B23" s="394"/>
      <c r="C23" s="394"/>
      <c r="D23" s="394"/>
      <c r="E23" s="394"/>
      <c r="F23" s="395"/>
    </row>
    <row r="24" spans="1:6" ht="18.899999999999999" customHeight="1">
      <c r="A24" s="393"/>
      <c r="B24" s="394"/>
      <c r="C24" s="394"/>
      <c r="D24" s="394"/>
      <c r="E24" s="394"/>
      <c r="F24" s="395"/>
    </row>
    <row r="25" spans="1:6" ht="18.899999999999999" customHeight="1">
      <c r="A25" s="393"/>
      <c r="B25" s="394"/>
      <c r="C25" s="394"/>
      <c r="D25" s="394"/>
      <c r="E25" s="394"/>
      <c r="F25" s="395"/>
    </row>
    <row r="26" spans="1:6" ht="18.899999999999999" customHeight="1">
      <c r="A26" s="393"/>
      <c r="B26" s="394"/>
      <c r="C26" s="394"/>
      <c r="D26" s="394"/>
      <c r="E26" s="394"/>
      <c r="F26" s="395"/>
    </row>
    <row r="27" spans="1:6" ht="18.899999999999999" customHeight="1">
      <c r="A27" s="393"/>
      <c r="B27" s="394"/>
      <c r="C27" s="394"/>
      <c r="D27" s="394"/>
      <c r="E27" s="394"/>
      <c r="F27" s="395"/>
    </row>
    <row r="28" spans="1:6" ht="18.899999999999999" customHeight="1">
      <c r="A28" s="393"/>
      <c r="B28" s="394"/>
      <c r="C28" s="394"/>
      <c r="D28" s="394"/>
      <c r="E28" s="394"/>
      <c r="F28" s="395"/>
    </row>
    <row r="29" spans="1:6" ht="18.899999999999999" customHeight="1">
      <c r="A29" s="393"/>
      <c r="B29" s="394"/>
      <c r="C29" s="394"/>
      <c r="D29" s="394"/>
      <c r="E29" s="394"/>
      <c r="F29" s="395"/>
    </row>
    <row r="30" spans="1:6" ht="18.899999999999999" customHeight="1">
      <c r="A30" s="393"/>
      <c r="B30" s="394"/>
      <c r="C30" s="394"/>
      <c r="D30" s="394"/>
      <c r="E30" s="394"/>
      <c r="F30" s="395"/>
    </row>
    <row r="31" spans="1:6" ht="18.899999999999999" customHeight="1">
      <c r="A31" s="393"/>
      <c r="B31" s="394"/>
      <c r="C31" s="394"/>
      <c r="D31" s="394"/>
      <c r="E31" s="394"/>
      <c r="F31" s="395"/>
    </row>
    <row r="32" spans="1:6" ht="18.899999999999999" customHeight="1">
      <c r="A32" s="393"/>
      <c r="B32" s="394"/>
      <c r="C32" s="394"/>
      <c r="D32" s="394"/>
      <c r="E32" s="394"/>
      <c r="F32" s="395"/>
    </row>
    <row r="33" spans="1:6" ht="18.899999999999999" customHeight="1">
      <c r="A33" s="393"/>
      <c r="B33" s="394"/>
      <c r="C33" s="394"/>
      <c r="D33" s="394"/>
      <c r="E33" s="394"/>
      <c r="F33" s="395"/>
    </row>
    <row r="34" spans="1:6" ht="18.899999999999999" customHeight="1">
      <c r="A34" s="393"/>
      <c r="B34" s="394"/>
      <c r="C34" s="394"/>
      <c r="D34" s="394"/>
      <c r="E34" s="394"/>
      <c r="F34" s="395"/>
    </row>
    <row r="35" spans="1:6" ht="18.899999999999999" customHeight="1">
      <c r="A35" s="393"/>
      <c r="B35" s="394"/>
      <c r="C35" s="394"/>
      <c r="D35" s="394"/>
      <c r="E35" s="394"/>
      <c r="F35" s="395"/>
    </row>
    <row r="36" spans="1:6" ht="18.899999999999999" customHeight="1">
      <c r="A36" s="393"/>
      <c r="B36" s="394"/>
      <c r="C36" s="394"/>
      <c r="D36" s="394"/>
      <c r="E36" s="394"/>
      <c r="F36" s="395"/>
    </row>
    <row r="37" spans="1:6" ht="18.899999999999999" customHeight="1">
      <c r="A37" s="393"/>
      <c r="B37" s="394"/>
      <c r="C37" s="394"/>
      <c r="D37" s="394"/>
      <c r="E37" s="394"/>
      <c r="F37" s="395"/>
    </row>
    <row r="38" spans="1:6" ht="18.899999999999999" customHeight="1">
      <c r="A38" s="393"/>
      <c r="B38" s="394"/>
      <c r="C38" s="394"/>
      <c r="D38" s="394"/>
      <c r="E38" s="394"/>
      <c r="F38" s="395"/>
    </row>
    <row r="39" spans="1:6" ht="18.899999999999999" customHeight="1">
      <c r="A39" s="402" t="s">
        <v>590</v>
      </c>
      <c r="B39" s="403" t="s">
        <v>370</v>
      </c>
      <c r="C39" s="541" t="str">
        <f>'Performance Data Sheet'!C10</f>
        <v>-</v>
      </c>
      <c r="D39" s="394"/>
      <c r="E39" s="399" t="s">
        <v>591</v>
      </c>
      <c r="F39" s="404" t="str">
        <f>F10</f>
        <v>RF6500USS</v>
      </c>
    </row>
    <row r="40" spans="1:6" ht="18.899999999999999" customHeight="1">
      <c r="A40" s="393"/>
      <c r="B40" s="403"/>
      <c r="C40" s="403"/>
      <c r="D40" s="394"/>
      <c r="E40" s="394"/>
      <c r="F40" s="395"/>
    </row>
    <row r="41" spans="1:6" ht="18.899999999999999" customHeight="1">
      <c r="A41" s="393"/>
      <c r="B41" s="403"/>
      <c r="C41" s="403"/>
      <c r="D41" s="394"/>
      <c r="E41" s="394"/>
      <c r="F41" s="395"/>
    </row>
    <row r="42" spans="1:6" ht="18.899999999999999" customHeight="1">
      <c r="A42" s="393"/>
      <c r="B42" s="394"/>
      <c r="C42" s="394"/>
      <c r="D42" s="394"/>
      <c r="E42" s="394"/>
      <c r="F42" s="395"/>
    </row>
    <row r="43" spans="1:6" ht="18.899999999999999" customHeight="1">
      <c r="A43" s="405"/>
      <c r="B43" s="403"/>
      <c r="C43" s="406" t="s">
        <v>592</v>
      </c>
      <c r="D43" s="407" t="str">
        <f>'Performance Data Sheet'!K42</f>
        <v>Zichao Xie</v>
      </c>
      <c r="E43" s="406" t="s">
        <v>593</v>
      </c>
      <c r="F43" s="407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21" t="e">
        <f>5252.1*B50/D53</f>
        <v>#DIV/0!</v>
      </c>
      <c r="G50" s="421"/>
    </row>
    <row r="51" spans="6:9" ht="15" customHeight="1"/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22"/>
    </row>
    <row r="63" spans="6:9">
      <c r="I63" s="384" t="s">
        <v>39</v>
      </c>
    </row>
    <row r="66" spans="1:6">
      <c r="D66" s="421" t="e">
        <f>D65/D64</f>
        <v>#DIV/0!</v>
      </c>
    </row>
    <row r="67" spans="1:6">
      <c r="A67" s="423" t="s">
        <v>401</v>
      </c>
      <c r="B67" s="423" t="s">
        <v>599</v>
      </c>
      <c r="C67" s="423" t="s">
        <v>600</v>
      </c>
      <c r="E67" s="423" t="s">
        <v>601</v>
      </c>
      <c r="F67" s="423" t="s">
        <v>602</v>
      </c>
    </row>
    <row r="68" spans="1:6">
      <c r="A68" s="424">
        <v>562.85714285714289</v>
      </c>
      <c r="B68" s="425">
        <v>27.554234095982146</v>
      </c>
      <c r="C68" s="425">
        <v>11.065511703491211</v>
      </c>
      <c r="E68" s="424">
        <f>A68</f>
        <v>562.85714285714289</v>
      </c>
      <c r="F68" s="425">
        <v>1E-4</v>
      </c>
    </row>
    <row r="69" spans="1:6">
      <c r="A69" s="424">
        <v>488.57885714285715</v>
      </c>
      <c r="B69" s="425">
        <f>((A68/A69)^2)*B68</f>
        <v>36.569192348344011</v>
      </c>
      <c r="C69" s="425">
        <f>((A68/A69)^2)*C68</f>
        <v>14.68583102358223</v>
      </c>
      <c r="E69" s="424">
        <v>558.14285714285711</v>
      </c>
      <c r="F69" s="425">
        <v>0.93999999761581421</v>
      </c>
    </row>
    <row r="70" spans="1:6">
      <c r="A70" s="424">
        <v>414.27828571428574</v>
      </c>
      <c r="B70" s="425">
        <f>((A68/A70)^2)*B68</f>
        <v>50.862811949933352</v>
      </c>
      <c r="C70" s="425">
        <f>((A68/A70)^2)*C68</f>
        <v>20.426009263909421</v>
      </c>
      <c r="E70" s="424">
        <v>548.28571428571433</v>
      </c>
      <c r="F70" s="425">
        <v>1.840999960899353</v>
      </c>
    </row>
    <row r="71" spans="1:6">
      <c r="A71" s="424">
        <v>340</v>
      </c>
      <c r="B71" s="425">
        <f>((A68/A71)^2)*B68</f>
        <v>75.513895277944442</v>
      </c>
      <c r="C71" s="425">
        <f>((A68/A71)^2)*C68</f>
        <v>30.3256439305692</v>
      </c>
      <c r="E71" s="424">
        <v>537.57142857142856</v>
      </c>
      <c r="F71" s="425">
        <v>2.7400000095367432</v>
      </c>
    </row>
    <row r="72" spans="1:6">
      <c r="A72" s="424">
        <f>A71-100</f>
        <v>240</v>
      </c>
      <c r="B72" s="425">
        <f>((A68/A72)^2)*B68</f>
        <v>151.55219260643017</v>
      </c>
      <c r="C72" s="425"/>
      <c r="E72" s="424">
        <v>525.85714285714289</v>
      </c>
      <c r="F72" s="425">
        <v>3.6610000133514404</v>
      </c>
    </row>
    <row r="73" spans="1:6">
      <c r="A73" s="424">
        <f>A72-100</f>
        <v>140</v>
      </c>
      <c r="B73" s="425">
        <f>((A68/A73)^2)*B68</f>
        <v>445.3778721495089</v>
      </c>
      <c r="C73" s="425"/>
      <c r="E73" s="424">
        <v>513.57142857142856</v>
      </c>
      <c r="F73" s="425">
        <v>4.6339998245239258</v>
      </c>
    </row>
    <row r="74" spans="1:6">
      <c r="A74" s="424">
        <v>215</v>
      </c>
      <c r="B74" s="425">
        <f>((A68/A74)^2)*B68</f>
        <v>188.84599879135484</v>
      </c>
      <c r="C74" s="425">
        <f>((A68/A74)^2)*C68</f>
        <v>75.838711484560292</v>
      </c>
      <c r="E74" s="424">
        <v>500.14285714285717</v>
      </c>
      <c r="F74" s="425">
        <v>5.6889996528625488</v>
      </c>
    </row>
    <row r="75" spans="1:6">
      <c r="A75" s="426">
        <v>180</v>
      </c>
      <c r="B75" s="425">
        <f>((A68/A75)^2)*B69</f>
        <v>357.57464999921461</v>
      </c>
      <c r="C75" s="425">
        <f>((A68/A75)^2)*C68</f>
        <v>108.19890241894443</v>
      </c>
      <c r="E75" s="424">
        <v>486</v>
      </c>
      <c r="F75" s="425">
        <v>6.8679995536804199</v>
      </c>
    </row>
    <row r="76" spans="1:6">
      <c r="A76" s="426">
        <v>145</v>
      </c>
      <c r="B76" s="425">
        <f>((A68/A76)^2)*B68</f>
        <v>415.19173812748522</v>
      </c>
      <c r="C76" s="425">
        <f>((A68/A76)^2)*C68</f>
        <v>166.73695307366467</v>
      </c>
      <c r="E76" s="424">
        <v>470.28571428571428</v>
      </c>
      <c r="F76" s="425">
        <v>8.2539997100830078</v>
      </c>
    </row>
    <row r="77" spans="1:6">
      <c r="A77" s="426">
        <v>125</v>
      </c>
      <c r="B77" s="425"/>
      <c r="C77" s="424">
        <f>CEILING(C76*2,100)</f>
        <v>400</v>
      </c>
      <c r="E77" s="424">
        <v>456.14285714285717</v>
      </c>
      <c r="F77" s="425">
        <v>9.0359992980957031</v>
      </c>
    </row>
    <row r="78" spans="1:6">
      <c r="A78" s="426">
        <v>125</v>
      </c>
      <c r="B78" s="425"/>
      <c r="C78" s="424">
        <f>2*C77</f>
        <v>800</v>
      </c>
      <c r="E78" s="424">
        <v>440.42857142857144</v>
      </c>
      <c r="F78" s="425">
        <v>9.7519989013671875</v>
      </c>
    </row>
    <row r="79" spans="1:6">
      <c r="A79" s="426">
        <v>125</v>
      </c>
      <c r="B79" s="426"/>
      <c r="C79" s="426">
        <v>10000</v>
      </c>
      <c r="E79" s="424">
        <v>399.28571428571428</v>
      </c>
      <c r="F79" s="425">
        <v>10.231998443603516</v>
      </c>
    </row>
    <row r="80" spans="1:6">
      <c r="E80" s="424">
        <f>A74</f>
        <v>215</v>
      </c>
      <c r="F80" s="425">
        <v>10.762998580932617</v>
      </c>
    </row>
    <row r="81" spans="5:6">
      <c r="E81" s="424">
        <f>A77</f>
        <v>125</v>
      </c>
      <c r="F81" s="425">
        <v>11.043998718261719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67"/>
  <sheetViews>
    <sheetView workbookViewId="0">
      <selection activeCell="G15" sqref="G15"/>
    </sheetView>
  </sheetViews>
  <sheetFormatPr defaultColWidth="9.109375" defaultRowHeight="13.2"/>
  <cols>
    <col min="1" max="6" width="16.6640625" style="384" customWidth="1"/>
    <col min="7" max="16384" width="9.109375" style="384"/>
  </cols>
  <sheetData>
    <row r="1" spans="1:6" ht="18.899999999999999" customHeight="1">
      <c r="A1" s="386"/>
      <c r="B1" s="387"/>
      <c r="C1" s="387"/>
      <c r="D1" s="387"/>
      <c r="E1" s="387"/>
      <c r="F1" s="388"/>
    </row>
    <row r="2" spans="1:6" ht="26.1" customHeight="1">
      <c r="A2" s="389" t="s">
        <v>269</v>
      </c>
      <c r="B2" s="390"/>
      <c r="C2" s="390"/>
      <c r="D2" s="390"/>
      <c r="E2" s="390"/>
      <c r="F2" s="391"/>
    </row>
    <row r="3" spans="1:6" ht="18.899999999999999" customHeight="1">
      <c r="A3" s="392" t="s">
        <v>603</v>
      </c>
      <c r="B3" s="390"/>
      <c r="C3" s="390"/>
      <c r="D3" s="390"/>
      <c r="E3" s="390"/>
      <c r="F3" s="391"/>
    </row>
    <row r="4" spans="1:6" ht="18.899999999999999" customHeight="1">
      <c r="A4" s="668" t="s">
        <v>598</v>
      </c>
      <c r="B4" s="669"/>
      <c r="C4" s="669"/>
      <c r="D4" s="669"/>
      <c r="E4" s="669"/>
      <c r="F4" s="670"/>
    </row>
    <row r="5" spans="1:6" ht="18.899999999999999" customHeight="1">
      <c r="A5" s="393"/>
      <c r="B5" s="394"/>
      <c r="C5" s="394"/>
      <c r="D5" s="394"/>
      <c r="E5" s="394"/>
      <c r="F5" s="395"/>
    </row>
    <row r="6" spans="1:6" ht="18.899999999999999" customHeight="1">
      <c r="A6" s="396" t="s">
        <v>574</v>
      </c>
      <c r="B6" s="662" t="str">
        <f>'Performance Data Sheet'!C17</f>
        <v>5006FTAL11E-A</v>
      </c>
      <c r="C6" s="663"/>
      <c r="D6" s="664"/>
      <c r="E6" s="396" t="s">
        <v>575</v>
      </c>
      <c r="F6" s="397">
        <v>70</v>
      </c>
    </row>
    <row r="7" spans="1:6" ht="18.899999999999999" customHeight="1">
      <c r="A7" s="396" t="s">
        <v>576</v>
      </c>
      <c r="B7" s="397" t="str">
        <f>'Performance Data Sheet'!F14</f>
        <v>TEFC</v>
      </c>
      <c r="C7" s="396" t="s">
        <v>577</v>
      </c>
      <c r="D7" s="397" t="s">
        <v>761</v>
      </c>
      <c r="E7" s="396" t="s">
        <v>578</v>
      </c>
      <c r="F7" s="397" t="str">
        <f>'Performance Data Sheet'!C14</f>
        <v>5811US</v>
      </c>
    </row>
    <row r="8" spans="1:6" ht="18.899999999999999" customHeight="1">
      <c r="A8" s="396" t="s">
        <v>579</v>
      </c>
      <c r="B8" s="397">
        <v>6</v>
      </c>
      <c r="C8" s="396" t="s">
        <v>580</v>
      </c>
      <c r="D8" s="397" t="s">
        <v>581</v>
      </c>
      <c r="E8" s="396" t="s">
        <v>582</v>
      </c>
      <c r="F8" s="397" t="str">
        <f>'Performance Data Sheet'!M15</f>
        <v>F</v>
      </c>
    </row>
    <row r="9" spans="1:6" ht="18.899999999999999" customHeight="1">
      <c r="A9" s="396" t="s">
        <v>583</v>
      </c>
      <c r="B9" s="397">
        <f>'Performance Data Sheet'!C13</f>
        <v>500</v>
      </c>
      <c r="C9" s="396" t="s">
        <v>584</v>
      </c>
      <c r="D9" s="397" t="s">
        <v>594</v>
      </c>
      <c r="E9" s="396" t="s">
        <v>2</v>
      </c>
      <c r="F9" s="398">
        <f>'Performance Data Sheet'!K44</f>
        <v>43608</v>
      </c>
    </row>
    <row r="10" spans="1:6" ht="18.899999999999999" customHeight="1">
      <c r="A10" s="396" t="s">
        <v>585</v>
      </c>
      <c r="B10" s="397">
        <f>'Performance Data Sheet'!M14</f>
        <v>1190</v>
      </c>
      <c r="C10" s="396" t="s">
        <v>406</v>
      </c>
      <c r="D10" s="397" t="s">
        <v>595</v>
      </c>
      <c r="E10" s="396" t="s">
        <v>1</v>
      </c>
      <c r="F10" s="397" t="s">
        <v>379</v>
      </c>
    </row>
    <row r="11" spans="1:6" ht="18.899999999999999" customHeight="1">
      <c r="A11" s="393"/>
      <c r="B11" s="394"/>
      <c r="C11" s="394"/>
      <c r="D11" s="394"/>
      <c r="E11" s="394"/>
      <c r="F11" s="395"/>
    </row>
    <row r="12" spans="1:6" ht="18.899999999999999" customHeight="1">
      <c r="A12" s="393"/>
      <c r="B12" s="399" t="s">
        <v>586</v>
      </c>
      <c r="C12" s="400" t="s">
        <v>762</v>
      </c>
      <c r="D12" s="399" t="s">
        <v>405</v>
      </c>
      <c r="E12" s="400" t="s">
        <v>409</v>
      </c>
      <c r="F12" s="395"/>
    </row>
    <row r="13" spans="1:6" ht="18.899999999999999" customHeight="1">
      <c r="A13" s="393"/>
      <c r="B13" s="399" t="s">
        <v>587</v>
      </c>
      <c r="C13" s="401">
        <f>'Performance Data Sheet'!H23/100</f>
        <v>1.3</v>
      </c>
      <c r="D13" s="399" t="s">
        <v>588</v>
      </c>
      <c r="E13" s="400" t="s">
        <v>596</v>
      </c>
      <c r="F13" s="395"/>
    </row>
    <row r="14" spans="1:6" ht="18.899999999999999" customHeight="1">
      <c r="A14" s="393"/>
      <c r="B14" s="399" t="s">
        <v>589</v>
      </c>
      <c r="C14" s="401">
        <v>2.15</v>
      </c>
      <c r="D14" s="399" t="s">
        <v>407</v>
      </c>
      <c r="E14" s="400" t="s">
        <v>412</v>
      </c>
      <c r="F14" s="395"/>
    </row>
    <row r="15" spans="1:6" ht="18.899999999999999" customHeight="1">
      <c r="A15" s="393"/>
      <c r="B15" s="399" t="s">
        <v>408</v>
      </c>
      <c r="C15" s="400" t="str">
        <f>'Performance Data Sheet'!H22 &amp; " lb-ft"</f>
        <v>2207 lb-ft</v>
      </c>
      <c r="D15" s="394"/>
      <c r="E15" s="394"/>
      <c r="F15" s="395"/>
    </row>
    <row r="16" spans="1:6" ht="18.899999999999999" customHeight="1">
      <c r="A16" s="393"/>
      <c r="B16" s="394"/>
      <c r="C16" s="394"/>
      <c r="D16" s="394"/>
      <c r="E16" s="394"/>
      <c r="F16" s="395"/>
    </row>
    <row r="17" spans="1:8" ht="18.899999999999999" customHeight="1">
      <c r="A17" s="393"/>
      <c r="B17" s="394"/>
      <c r="C17" s="394"/>
      <c r="D17" s="394"/>
      <c r="E17" s="394"/>
      <c r="F17" s="395"/>
    </row>
    <row r="18" spans="1:8" ht="18.899999999999999" customHeight="1">
      <c r="A18" s="393"/>
      <c r="B18" s="394"/>
      <c r="C18" s="394"/>
      <c r="D18" s="394"/>
      <c r="E18" s="394"/>
      <c r="F18" s="395"/>
    </row>
    <row r="19" spans="1:8" ht="18.899999999999999" customHeight="1">
      <c r="A19" s="393"/>
      <c r="B19" s="394"/>
      <c r="C19" s="394"/>
      <c r="D19" s="394"/>
      <c r="E19" s="394"/>
      <c r="F19" s="395"/>
    </row>
    <row r="20" spans="1:8" ht="18.899999999999999" customHeight="1">
      <c r="A20" s="393"/>
      <c r="B20" s="394"/>
      <c r="C20" s="394"/>
      <c r="D20" s="394"/>
      <c r="E20" s="394"/>
      <c r="F20" s="395"/>
    </row>
    <row r="21" spans="1:8" ht="18.899999999999999" customHeight="1">
      <c r="A21" s="393"/>
      <c r="B21" s="394"/>
      <c r="C21" s="394"/>
      <c r="D21" s="394"/>
      <c r="E21" s="394"/>
      <c r="F21" s="395"/>
    </row>
    <row r="22" spans="1:8" ht="18.899999999999999" customHeight="1">
      <c r="A22" s="393"/>
      <c r="B22" s="394"/>
      <c r="C22" s="394"/>
      <c r="D22" s="394"/>
      <c r="E22" s="394"/>
      <c r="F22" s="395"/>
    </row>
    <row r="23" spans="1:8" ht="18.899999999999999" customHeight="1">
      <c r="A23" s="393"/>
      <c r="B23" s="394"/>
      <c r="C23" s="394"/>
      <c r="D23" s="394"/>
      <c r="E23" s="394"/>
      <c r="F23" s="395"/>
    </row>
    <row r="24" spans="1:8" ht="18.899999999999999" customHeight="1">
      <c r="A24" s="393"/>
      <c r="B24" s="394"/>
      <c r="C24" s="394"/>
      <c r="D24" s="394"/>
      <c r="E24" s="394"/>
      <c r="F24" s="395"/>
      <c r="H24" s="439"/>
    </row>
    <row r="25" spans="1:8" ht="18.899999999999999" customHeight="1">
      <c r="A25" s="393"/>
      <c r="B25" s="394"/>
      <c r="C25" s="394"/>
      <c r="D25" s="394"/>
      <c r="E25" s="394"/>
      <c r="F25" s="395"/>
    </row>
    <row r="26" spans="1:8" ht="18.899999999999999" customHeight="1">
      <c r="A26" s="393"/>
      <c r="B26" s="394"/>
      <c r="C26" s="394"/>
      <c r="D26" s="394"/>
      <c r="E26" s="394"/>
      <c r="F26" s="395"/>
    </row>
    <row r="27" spans="1:8" ht="18.899999999999999" customHeight="1">
      <c r="A27" s="393"/>
      <c r="B27" s="394"/>
      <c r="C27" s="394"/>
      <c r="D27" s="394"/>
      <c r="E27" s="394"/>
      <c r="F27" s="395"/>
    </row>
    <row r="28" spans="1:8" ht="18.899999999999999" customHeight="1">
      <c r="A28" s="393"/>
      <c r="B28" s="394"/>
      <c r="C28" s="394"/>
      <c r="D28" s="394"/>
      <c r="E28" s="394"/>
      <c r="F28" s="395"/>
    </row>
    <row r="29" spans="1:8" ht="18.899999999999999" customHeight="1">
      <c r="A29" s="393"/>
      <c r="B29" s="394"/>
      <c r="C29" s="394"/>
      <c r="D29" s="394"/>
      <c r="E29" s="394"/>
      <c r="F29" s="395"/>
    </row>
    <row r="30" spans="1:8" ht="18.899999999999999" customHeight="1">
      <c r="A30" s="393"/>
      <c r="B30" s="394"/>
      <c r="C30" s="394"/>
      <c r="D30" s="394"/>
      <c r="E30" s="394"/>
      <c r="F30" s="395"/>
    </row>
    <row r="31" spans="1:8" ht="18.899999999999999" customHeight="1">
      <c r="A31" s="393"/>
      <c r="B31" s="394"/>
      <c r="C31" s="394"/>
      <c r="D31" s="394"/>
      <c r="E31" s="394"/>
      <c r="F31" s="395"/>
    </row>
    <row r="32" spans="1:8" ht="18.899999999999999" customHeight="1">
      <c r="A32" s="393"/>
      <c r="B32" s="394"/>
      <c r="C32" s="394"/>
      <c r="D32" s="394"/>
      <c r="E32" s="394"/>
      <c r="F32" s="395"/>
    </row>
    <row r="33" spans="1:6" ht="18.899999999999999" customHeight="1">
      <c r="A33" s="393"/>
      <c r="B33" s="394"/>
      <c r="C33" s="394"/>
      <c r="D33" s="394"/>
      <c r="E33" s="394"/>
      <c r="F33" s="395"/>
    </row>
    <row r="34" spans="1:6" ht="18.899999999999999" customHeight="1">
      <c r="A34" s="393"/>
      <c r="B34" s="394"/>
      <c r="C34" s="394"/>
      <c r="D34" s="394"/>
      <c r="E34" s="394"/>
      <c r="F34" s="395"/>
    </row>
    <row r="35" spans="1:6" ht="18.899999999999999" customHeight="1">
      <c r="A35" s="393"/>
      <c r="B35" s="394"/>
      <c r="C35" s="394"/>
      <c r="D35" s="394"/>
      <c r="E35" s="394"/>
      <c r="F35" s="395"/>
    </row>
    <row r="36" spans="1:6" ht="18.899999999999999" customHeight="1">
      <c r="A36" s="393"/>
      <c r="B36" s="394"/>
      <c r="C36" s="394"/>
      <c r="D36" s="394"/>
      <c r="E36" s="394"/>
      <c r="F36" s="395"/>
    </row>
    <row r="37" spans="1:6" ht="18.899999999999999" customHeight="1">
      <c r="A37" s="393"/>
      <c r="B37" s="394"/>
      <c r="C37" s="394"/>
      <c r="D37" s="394"/>
      <c r="E37" s="394"/>
      <c r="F37" s="395"/>
    </row>
    <row r="38" spans="1:6" ht="18.899999999999999" customHeight="1">
      <c r="A38" s="393"/>
      <c r="B38" s="394"/>
      <c r="C38" s="394"/>
      <c r="D38" s="394"/>
      <c r="E38" s="394"/>
      <c r="F38" s="395"/>
    </row>
    <row r="39" spans="1:6" ht="18.899999999999999" customHeight="1">
      <c r="A39" s="402" t="s">
        <v>590</v>
      </c>
      <c r="B39" s="403" t="s">
        <v>370</v>
      </c>
      <c r="C39" s="541" t="str">
        <f>'Performance Data Sheet'!C10</f>
        <v>-</v>
      </c>
      <c r="D39" s="394"/>
      <c r="E39" s="399" t="s">
        <v>591</v>
      </c>
      <c r="F39" s="404" t="str">
        <f>F10</f>
        <v>RF6500USS</v>
      </c>
    </row>
    <row r="40" spans="1:6" ht="18.899999999999999" customHeight="1">
      <c r="A40" s="393"/>
      <c r="B40" s="403"/>
      <c r="C40" s="403"/>
      <c r="D40" s="394"/>
      <c r="E40" s="394"/>
      <c r="F40" s="395"/>
    </row>
    <row r="41" spans="1:6" ht="18.899999999999999" customHeight="1">
      <c r="A41" s="393"/>
      <c r="B41" s="403"/>
      <c r="C41" s="403"/>
      <c r="D41" s="394"/>
      <c r="E41" s="394"/>
      <c r="F41" s="395"/>
    </row>
    <row r="42" spans="1:6" ht="18.899999999999999" customHeight="1">
      <c r="A42" s="393"/>
      <c r="B42" s="394"/>
      <c r="C42" s="394"/>
      <c r="D42" s="394"/>
      <c r="E42" s="394"/>
      <c r="F42" s="395"/>
    </row>
    <row r="43" spans="1:6" ht="18.899999999999999" customHeight="1">
      <c r="A43" s="405"/>
      <c r="B43" s="403"/>
      <c r="C43" s="406" t="s">
        <v>592</v>
      </c>
      <c r="D43" s="407" t="str">
        <f>'Performance Data Sheet'!K42</f>
        <v>Zichao Xie</v>
      </c>
      <c r="E43" s="406" t="s">
        <v>593</v>
      </c>
      <c r="F43" s="407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440" t="s">
        <v>404</v>
      </c>
      <c r="B53" s="440" t="s">
        <v>142</v>
      </c>
      <c r="C53" s="440" t="s">
        <v>120</v>
      </c>
      <c r="D53" s="440" t="s">
        <v>135</v>
      </c>
      <c r="E53" s="440" t="s">
        <v>5</v>
      </c>
      <c r="F53" s="441" t="s">
        <v>604</v>
      </c>
    </row>
    <row r="54" spans="1:6" ht="15" customHeight="1">
      <c r="A54" s="442">
        <v>0</v>
      </c>
      <c r="B54" s="382"/>
      <c r="C54" s="443"/>
      <c r="D54" s="443">
        <v>23.642894243274355</v>
      </c>
      <c r="E54" s="443">
        <v>100</v>
      </c>
      <c r="F54" s="444">
        <f>7515/10000</f>
        <v>0.75149999999999995</v>
      </c>
    </row>
    <row r="55" spans="1:6" ht="15" customHeight="1">
      <c r="A55" s="445">
        <v>25</v>
      </c>
      <c r="B55" s="446">
        <v>88.687767028808594</v>
      </c>
      <c r="C55" s="379">
        <v>49.625484466552734</v>
      </c>
      <c r="D55" s="379">
        <v>30.607709884643555</v>
      </c>
      <c r="E55" s="379">
        <v>82.935984356232808</v>
      </c>
      <c r="F55" s="380">
        <v>10.523094478847607</v>
      </c>
    </row>
    <row r="56" spans="1:6" ht="15" customHeight="1">
      <c r="A56" s="445">
        <v>50</v>
      </c>
      <c r="B56" s="446">
        <v>93.42449951171875</v>
      </c>
      <c r="C56" s="379">
        <v>69.921836853027344</v>
      </c>
      <c r="D56" s="379">
        <v>41.243511199951172</v>
      </c>
      <c r="E56" s="379">
        <v>72.392025305415771</v>
      </c>
      <c r="F56" s="380">
        <v>19.979120386038709</v>
      </c>
    </row>
    <row r="57" spans="1:6">
      <c r="A57" s="445">
        <v>75</v>
      </c>
      <c r="B57" s="446">
        <v>94.831855773925781</v>
      </c>
      <c r="C57" s="379">
        <v>77.677749633789063</v>
      </c>
      <c r="D57" s="379">
        <v>54.861747741699219</v>
      </c>
      <c r="E57" s="379">
        <v>61.556053652469878</v>
      </c>
      <c r="F57" s="380">
        <v>29.523928328688175</v>
      </c>
    </row>
    <row r="58" spans="1:6">
      <c r="A58" s="445">
        <v>100</v>
      </c>
      <c r="B58" s="446">
        <v>95.33758544921875</v>
      </c>
      <c r="C58" s="379">
        <v>80.600059509277344</v>
      </c>
      <c r="D58" s="379">
        <v>70.122879028320313</v>
      </c>
      <c r="E58" s="379">
        <v>50.13778871860427</v>
      </c>
      <c r="F58" s="380">
        <v>39.156419190370549</v>
      </c>
    </row>
    <row r="59" spans="1:6" ht="13.8" thickBot="1">
      <c r="A59" s="447">
        <v>125</v>
      </c>
      <c r="B59" s="448">
        <v>95.443145751953125</v>
      </c>
      <c r="C59" s="449">
        <v>81.240478515625</v>
      </c>
      <c r="D59" s="449">
        <v>86.866447448730469</v>
      </c>
      <c r="E59" s="449">
        <v>38.349363898778762</v>
      </c>
      <c r="F59" s="381">
        <v>48.89139226546196</v>
      </c>
    </row>
    <row r="60" spans="1:6">
      <c r="A60" s="408"/>
      <c r="B60" s="383"/>
      <c r="C60" s="383"/>
    </row>
    <row r="61" spans="1:6">
      <c r="A61" s="408"/>
      <c r="B61" s="383"/>
      <c r="C61" s="383"/>
    </row>
    <row r="62" spans="1:6">
      <c r="A62" s="408"/>
      <c r="B62" s="383"/>
      <c r="C62" s="383"/>
    </row>
    <row r="63" spans="1:6">
      <c r="A63" s="408"/>
      <c r="B63" s="383"/>
      <c r="C63" s="383"/>
    </row>
    <row r="64" spans="1:6">
      <c r="A64" s="408"/>
      <c r="B64" s="383"/>
      <c r="C64" s="383"/>
    </row>
    <row r="65" spans="1:3">
      <c r="A65" s="408"/>
      <c r="B65" s="383"/>
      <c r="C65" s="383"/>
    </row>
    <row r="66" spans="1:3">
      <c r="A66" s="408"/>
      <c r="B66" s="383"/>
      <c r="C66" s="383"/>
    </row>
    <row r="67" spans="1:3">
      <c r="A67" s="409"/>
      <c r="B67" s="383"/>
      <c r="C67" s="383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F2424-A09B-4DB3-8835-63F0BC8ACCE3}">
  <sheetPr>
    <pageSetUpPr fitToPage="1"/>
  </sheetPr>
  <dimension ref="A1:H67"/>
  <sheetViews>
    <sheetView topLeftCell="A6" workbookViewId="0">
      <selection activeCell="H26" sqref="H26"/>
    </sheetView>
  </sheetViews>
  <sheetFormatPr defaultColWidth="9.109375" defaultRowHeight="13.2"/>
  <cols>
    <col min="1" max="6" width="16.6640625" style="384" customWidth="1"/>
    <col min="7" max="16384" width="9.109375" style="384"/>
  </cols>
  <sheetData>
    <row r="1" spans="1:6" ht="18.899999999999999" customHeight="1">
      <c r="A1" s="386"/>
      <c r="B1" s="387"/>
      <c r="C1" s="387"/>
      <c r="D1" s="387"/>
      <c r="E1" s="387"/>
      <c r="F1" s="388"/>
    </row>
    <row r="2" spans="1:6" ht="26.1" customHeight="1">
      <c r="A2" s="389" t="s">
        <v>269</v>
      </c>
      <c r="B2" s="390"/>
      <c r="C2" s="390"/>
      <c r="D2" s="390"/>
      <c r="E2" s="390"/>
      <c r="F2" s="391"/>
    </row>
    <row r="3" spans="1:6" ht="18.899999999999999" customHeight="1">
      <c r="A3" s="392" t="s">
        <v>603</v>
      </c>
      <c r="B3" s="390"/>
      <c r="C3" s="390"/>
      <c r="D3" s="390"/>
      <c r="E3" s="390"/>
      <c r="F3" s="391"/>
    </row>
    <row r="4" spans="1:6" ht="18.899999999999999" customHeight="1">
      <c r="A4" s="668" t="s">
        <v>598</v>
      </c>
      <c r="B4" s="669"/>
      <c r="C4" s="669"/>
      <c r="D4" s="669"/>
      <c r="E4" s="669"/>
      <c r="F4" s="670"/>
    </row>
    <row r="5" spans="1:6" ht="18.899999999999999" customHeight="1">
      <c r="A5" s="393"/>
      <c r="B5" s="394"/>
      <c r="C5" s="394"/>
      <c r="D5" s="394"/>
      <c r="E5" s="394"/>
      <c r="F5" s="395"/>
    </row>
    <row r="6" spans="1:6" ht="18.899999999999999" customHeight="1">
      <c r="A6" s="396" t="s">
        <v>574</v>
      </c>
      <c r="B6" s="662" t="str">
        <f>'Performance Data Sheet'!C17</f>
        <v>5006FTAL11E-A</v>
      </c>
      <c r="C6" s="663"/>
      <c r="D6" s="664"/>
      <c r="E6" s="396" t="s">
        <v>575</v>
      </c>
      <c r="F6" s="397">
        <v>121</v>
      </c>
    </row>
    <row r="7" spans="1:6" ht="18.899999999999999" customHeight="1">
      <c r="A7" s="396" t="s">
        <v>576</v>
      </c>
      <c r="B7" s="397" t="str">
        <f>'Performance Data Sheet'!F14</f>
        <v>TEFC</v>
      </c>
      <c r="C7" s="396" t="s">
        <v>577</v>
      </c>
      <c r="D7" s="397" t="s">
        <v>759</v>
      </c>
      <c r="E7" s="396" t="s">
        <v>578</v>
      </c>
      <c r="F7" s="397" t="str">
        <f>'Performance Data Sheet'!C14</f>
        <v>5811US</v>
      </c>
    </row>
    <row r="8" spans="1:6" ht="18.899999999999999" customHeight="1">
      <c r="A8" s="396" t="s">
        <v>579</v>
      </c>
      <c r="B8" s="397">
        <v>6</v>
      </c>
      <c r="C8" s="396" t="s">
        <v>580</v>
      </c>
      <c r="D8" s="397" t="s">
        <v>581</v>
      </c>
      <c r="E8" s="396" t="s">
        <v>582</v>
      </c>
      <c r="F8" s="397" t="str">
        <f>'Performance Data Sheet'!M15</f>
        <v>F</v>
      </c>
    </row>
    <row r="9" spans="1:6" ht="18.899999999999999" customHeight="1">
      <c r="A9" s="396" t="s">
        <v>583</v>
      </c>
      <c r="B9" s="397">
        <f>'Performance Data Sheet'!C13</f>
        <v>500</v>
      </c>
      <c r="C9" s="396" t="s">
        <v>584</v>
      </c>
      <c r="D9" s="397" t="s">
        <v>594</v>
      </c>
      <c r="E9" s="396" t="s">
        <v>2</v>
      </c>
      <c r="F9" s="398">
        <f>'Performance Data Sheet'!K44</f>
        <v>43608</v>
      </c>
    </row>
    <row r="10" spans="1:6" ht="18.899999999999999" customHeight="1">
      <c r="A10" s="396" t="s">
        <v>585</v>
      </c>
      <c r="B10" s="397">
        <f>'Performance Data Sheet'!M14</f>
        <v>1190</v>
      </c>
      <c r="C10" s="396" t="s">
        <v>406</v>
      </c>
      <c r="D10" s="397" t="s">
        <v>595</v>
      </c>
      <c r="E10" s="396" t="s">
        <v>1</v>
      </c>
      <c r="F10" s="397" t="s">
        <v>379</v>
      </c>
    </row>
    <row r="11" spans="1:6" ht="18.899999999999999" customHeight="1">
      <c r="A11" s="393"/>
      <c r="B11" s="394"/>
      <c r="C11" s="394"/>
      <c r="D11" s="394"/>
      <c r="E11" s="394"/>
      <c r="F11" s="395"/>
    </row>
    <row r="12" spans="1:6" ht="18.899999999999999" customHeight="1">
      <c r="A12" s="393"/>
      <c r="B12" s="399" t="s">
        <v>586</v>
      </c>
      <c r="C12" s="400" t="s">
        <v>760</v>
      </c>
      <c r="D12" s="399" t="s">
        <v>405</v>
      </c>
      <c r="E12" s="400" t="s">
        <v>409</v>
      </c>
      <c r="F12" s="395"/>
    </row>
    <row r="13" spans="1:6" ht="18.899999999999999" customHeight="1">
      <c r="A13" s="393"/>
      <c r="B13" s="399" t="s">
        <v>587</v>
      </c>
      <c r="C13" s="401">
        <f>'Performance Data Sheet'!H23/100</f>
        <v>1.3</v>
      </c>
      <c r="D13" s="399" t="s">
        <v>588</v>
      </c>
      <c r="E13" s="400" t="s">
        <v>596</v>
      </c>
      <c r="F13" s="395"/>
    </row>
    <row r="14" spans="1:6" ht="18.899999999999999" customHeight="1">
      <c r="A14" s="393"/>
      <c r="B14" s="399" t="s">
        <v>589</v>
      </c>
      <c r="C14" s="401">
        <v>2.15</v>
      </c>
      <c r="D14" s="399" t="s">
        <v>407</v>
      </c>
      <c r="E14" s="400" t="s">
        <v>412</v>
      </c>
      <c r="F14" s="395"/>
    </row>
    <row r="15" spans="1:6" ht="18.899999999999999" customHeight="1">
      <c r="A15" s="393"/>
      <c r="B15" s="399" t="s">
        <v>408</v>
      </c>
      <c r="C15" s="400" t="str">
        <f>'Performance Data Sheet'!H22 &amp; " lb-ft"</f>
        <v>2207 lb-ft</v>
      </c>
      <c r="D15" s="394"/>
      <c r="E15" s="394"/>
      <c r="F15" s="395"/>
    </row>
    <row r="16" spans="1:6" ht="18.899999999999999" customHeight="1">
      <c r="A16" s="393"/>
      <c r="B16" s="394"/>
      <c r="C16" s="394"/>
      <c r="D16" s="394"/>
      <c r="E16" s="394"/>
      <c r="F16" s="395"/>
    </row>
    <row r="17" spans="1:8" ht="18.899999999999999" customHeight="1">
      <c r="A17" s="393"/>
      <c r="B17" s="394"/>
      <c r="C17" s="394"/>
      <c r="D17" s="394"/>
      <c r="E17" s="394"/>
      <c r="F17" s="395"/>
    </row>
    <row r="18" spans="1:8" ht="18.899999999999999" customHeight="1">
      <c r="A18" s="393"/>
      <c r="B18" s="394"/>
      <c r="C18" s="394"/>
      <c r="D18" s="394"/>
      <c r="E18" s="394"/>
      <c r="F18" s="395"/>
    </row>
    <row r="19" spans="1:8" ht="18.899999999999999" customHeight="1">
      <c r="A19" s="393"/>
      <c r="B19" s="394"/>
      <c r="C19" s="394"/>
      <c r="D19" s="394"/>
      <c r="E19" s="394"/>
      <c r="F19" s="395"/>
    </row>
    <row r="20" spans="1:8" ht="18.899999999999999" customHeight="1">
      <c r="A20" s="393"/>
      <c r="B20" s="394"/>
      <c r="C20" s="394"/>
      <c r="D20" s="394"/>
      <c r="E20" s="394"/>
      <c r="F20" s="395"/>
    </row>
    <row r="21" spans="1:8" ht="18.899999999999999" customHeight="1">
      <c r="A21" s="393"/>
      <c r="B21" s="394"/>
      <c r="C21" s="394"/>
      <c r="D21" s="394"/>
      <c r="E21" s="394"/>
      <c r="F21" s="395"/>
    </row>
    <row r="22" spans="1:8" ht="18.899999999999999" customHeight="1">
      <c r="A22" s="393"/>
      <c r="B22" s="394"/>
      <c r="C22" s="394"/>
      <c r="D22" s="394"/>
      <c r="E22" s="394"/>
      <c r="F22" s="395"/>
    </row>
    <row r="23" spans="1:8" ht="18.899999999999999" customHeight="1">
      <c r="A23" s="393"/>
      <c r="B23" s="394"/>
      <c r="C23" s="394"/>
      <c r="D23" s="394"/>
      <c r="E23" s="394"/>
      <c r="F23" s="395"/>
    </row>
    <row r="24" spans="1:8" ht="18.899999999999999" customHeight="1">
      <c r="A24" s="393"/>
      <c r="B24" s="394"/>
      <c r="C24" s="394"/>
      <c r="D24" s="394"/>
      <c r="E24" s="394"/>
      <c r="F24" s="395"/>
      <c r="H24" s="439"/>
    </row>
    <row r="25" spans="1:8" ht="18.899999999999999" customHeight="1">
      <c r="A25" s="393"/>
      <c r="B25" s="394"/>
      <c r="C25" s="394"/>
      <c r="D25" s="394"/>
      <c r="E25" s="394"/>
      <c r="F25" s="395"/>
    </row>
    <row r="26" spans="1:8" ht="18.899999999999999" customHeight="1">
      <c r="A26" s="393"/>
      <c r="B26" s="394"/>
      <c r="C26" s="394"/>
      <c r="D26" s="394"/>
      <c r="E26" s="394"/>
      <c r="F26" s="395"/>
    </row>
    <row r="27" spans="1:8" ht="18.899999999999999" customHeight="1">
      <c r="A27" s="393"/>
      <c r="B27" s="394"/>
      <c r="C27" s="394"/>
      <c r="D27" s="394"/>
      <c r="E27" s="394"/>
      <c r="F27" s="395"/>
    </row>
    <row r="28" spans="1:8" ht="18.899999999999999" customHeight="1">
      <c r="A28" s="393"/>
      <c r="B28" s="394"/>
      <c r="C28" s="394"/>
      <c r="D28" s="394"/>
      <c r="E28" s="394"/>
      <c r="F28" s="395"/>
    </row>
    <row r="29" spans="1:8" ht="18.899999999999999" customHeight="1">
      <c r="A29" s="393"/>
      <c r="B29" s="394"/>
      <c r="C29" s="394"/>
      <c r="D29" s="394"/>
      <c r="E29" s="394"/>
      <c r="F29" s="395"/>
    </row>
    <row r="30" spans="1:8" ht="18.899999999999999" customHeight="1">
      <c r="A30" s="393"/>
      <c r="B30" s="394"/>
      <c r="C30" s="394"/>
      <c r="D30" s="394"/>
      <c r="E30" s="394"/>
      <c r="F30" s="395"/>
    </row>
    <row r="31" spans="1:8" ht="18.899999999999999" customHeight="1">
      <c r="A31" s="393"/>
      <c r="B31" s="394"/>
      <c r="C31" s="394"/>
      <c r="D31" s="394"/>
      <c r="E31" s="394"/>
      <c r="F31" s="395"/>
    </row>
    <row r="32" spans="1:8" ht="18.899999999999999" customHeight="1">
      <c r="A32" s="393"/>
      <c r="B32" s="394"/>
      <c r="C32" s="394"/>
      <c r="D32" s="394"/>
      <c r="E32" s="394"/>
      <c r="F32" s="395"/>
    </row>
    <row r="33" spans="1:6" ht="18.899999999999999" customHeight="1">
      <c r="A33" s="393"/>
      <c r="B33" s="394"/>
      <c r="C33" s="394"/>
      <c r="D33" s="394"/>
      <c r="E33" s="394"/>
      <c r="F33" s="395"/>
    </row>
    <row r="34" spans="1:6" ht="18.899999999999999" customHeight="1">
      <c r="A34" s="393"/>
      <c r="B34" s="394"/>
      <c r="C34" s="394"/>
      <c r="D34" s="394"/>
      <c r="E34" s="394"/>
      <c r="F34" s="395"/>
    </row>
    <row r="35" spans="1:6" ht="18.899999999999999" customHeight="1">
      <c r="A35" s="393"/>
      <c r="B35" s="394"/>
      <c r="C35" s="394"/>
      <c r="D35" s="394"/>
      <c r="E35" s="394"/>
      <c r="F35" s="395"/>
    </row>
    <row r="36" spans="1:6" ht="18.899999999999999" customHeight="1">
      <c r="A36" s="393"/>
      <c r="B36" s="394"/>
      <c r="C36" s="394"/>
      <c r="D36" s="394"/>
      <c r="E36" s="394"/>
      <c r="F36" s="395"/>
    </row>
    <row r="37" spans="1:6" ht="18.899999999999999" customHeight="1">
      <c r="A37" s="393"/>
      <c r="B37" s="394"/>
      <c r="C37" s="394"/>
      <c r="D37" s="394"/>
      <c r="E37" s="394"/>
      <c r="F37" s="395"/>
    </row>
    <row r="38" spans="1:6" ht="18.899999999999999" customHeight="1">
      <c r="A38" s="393"/>
      <c r="B38" s="394"/>
      <c r="C38" s="394"/>
      <c r="D38" s="394"/>
      <c r="E38" s="394"/>
      <c r="F38" s="395"/>
    </row>
    <row r="39" spans="1:6" ht="18.899999999999999" customHeight="1">
      <c r="A39" s="402" t="s">
        <v>590</v>
      </c>
      <c r="B39" s="403" t="s">
        <v>370</v>
      </c>
      <c r="C39" s="541" t="str">
        <f>'Performance Data Sheet'!C10</f>
        <v>-</v>
      </c>
      <c r="D39" s="394"/>
      <c r="E39" s="399" t="s">
        <v>591</v>
      </c>
      <c r="F39" s="404" t="str">
        <f>F10</f>
        <v>RF6500USS</v>
      </c>
    </row>
    <row r="40" spans="1:6" ht="18.899999999999999" customHeight="1">
      <c r="A40" s="393"/>
      <c r="B40" s="403"/>
      <c r="C40" s="403"/>
      <c r="D40" s="394"/>
      <c r="E40" s="394"/>
      <c r="F40" s="395"/>
    </row>
    <row r="41" spans="1:6" ht="18.899999999999999" customHeight="1">
      <c r="A41" s="393"/>
      <c r="B41" s="403"/>
      <c r="C41" s="403"/>
      <c r="D41" s="394"/>
      <c r="E41" s="394"/>
      <c r="F41" s="395"/>
    </row>
    <row r="42" spans="1:6" ht="18.899999999999999" customHeight="1">
      <c r="A42" s="393"/>
      <c r="B42" s="394"/>
      <c r="C42" s="394"/>
      <c r="D42" s="394"/>
      <c r="E42" s="394"/>
      <c r="F42" s="395"/>
    </row>
    <row r="43" spans="1:6" ht="18.899999999999999" customHeight="1">
      <c r="A43" s="405"/>
      <c r="B43" s="403"/>
      <c r="C43" s="406" t="s">
        <v>592</v>
      </c>
      <c r="D43" s="407" t="str">
        <f>'Performance Data Sheet'!K42</f>
        <v>Zichao Xie</v>
      </c>
      <c r="E43" s="406" t="s">
        <v>593</v>
      </c>
      <c r="F43" s="407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440" t="s">
        <v>404</v>
      </c>
      <c r="B53" s="440" t="s">
        <v>142</v>
      </c>
      <c r="C53" s="440" t="s">
        <v>120</v>
      </c>
      <c r="D53" s="440" t="s">
        <v>135</v>
      </c>
      <c r="E53" s="440" t="s">
        <v>5</v>
      </c>
      <c r="F53" s="441" t="s">
        <v>604</v>
      </c>
    </row>
    <row r="54" spans="1:6" ht="15" customHeight="1">
      <c r="A54" s="442">
        <v>0</v>
      </c>
      <c r="B54" s="382"/>
      <c r="C54" s="443"/>
      <c r="D54" s="443">
        <v>40.950694067328904</v>
      </c>
      <c r="E54" s="443">
        <v>100</v>
      </c>
      <c r="F54" s="444">
        <f>7515/10000</f>
        <v>0.75149999999999995</v>
      </c>
    </row>
    <row r="55" spans="1:6" ht="15" customHeight="1">
      <c r="A55" s="445">
        <v>25</v>
      </c>
      <c r="B55" s="446">
        <v>88.687767028808594</v>
      </c>
      <c r="C55" s="379">
        <v>49.625484466552734</v>
      </c>
      <c r="D55" s="379">
        <v>53.014108623530774</v>
      </c>
      <c r="E55" s="379">
        <v>82.935984356232808</v>
      </c>
      <c r="F55" s="380">
        <v>10.523094478847607</v>
      </c>
    </row>
    <row r="56" spans="1:6" ht="15" customHeight="1">
      <c r="A56" s="445">
        <v>50</v>
      </c>
      <c r="B56" s="446">
        <v>93.42449951171875</v>
      </c>
      <c r="C56" s="379">
        <v>69.921836853027344</v>
      </c>
      <c r="D56" s="379">
        <v>71.43585688085146</v>
      </c>
      <c r="E56" s="379">
        <v>72.392025305415771</v>
      </c>
      <c r="F56" s="380">
        <v>19.979120386038709</v>
      </c>
    </row>
    <row r="57" spans="1:6">
      <c r="A57" s="445">
        <v>75</v>
      </c>
      <c r="B57" s="446">
        <v>94.831855773925781</v>
      </c>
      <c r="C57" s="379">
        <v>77.677749633789063</v>
      </c>
      <c r="D57" s="379">
        <v>95.023334480650163</v>
      </c>
      <c r="E57" s="379">
        <v>61.556053652469878</v>
      </c>
      <c r="F57" s="380">
        <v>29.523928328688175</v>
      </c>
    </row>
    <row r="58" spans="1:6">
      <c r="A58" s="445">
        <v>100</v>
      </c>
      <c r="B58" s="446">
        <v>95.33758544921875</v>
      </c>
      <c r="C58" s="379">
        <v>80.600059509277344</v>
      </c>
      <c r="D58" s="379">
        <v>121</v>
      </c>
      <c r="E58" s="379">
        <v>50.13778871860427</v>
      </c>
      <c r="F58" s="380">
        <v>39.156419190370549</v>
      </c>
    </row>
    <row r="59" spans="1:6" ht="13.8" thickBot="1">
      <c r="A59" s="447">
        <v>125</v>
      </c>
      <c r="B59" s="448">
        <v>95.443145751953125</v>
      </c>
      <c r="C59" s="449">
        <v>81.240478515625</v>
      </c>
      <c r="D59" s="449">
        <v>150.45710045421305</v>
      </c>
      <c r="E59" s="449">
        <v>38.349363898778762</v>
      </c>
      <c r="F59" s="381">
        <v>48.89139226546196</v>
      </c>
    </row>
    <row r="60" spans="1:6">
      <c r="A60" s="408"/>
      <c r="B60" s="383"/>
      <c r="C60" s="383"/>
    </row>
    <row r="61" spans="1:6">
      <c r="A61" s="408"/>
      <c r="B61" s="383"/>
      <c r="C61" s="383"/>
    </row>
    <row r="62" spans="1:6">
      <c r="A62" s="408"/>
      <c r="B62" s="383"/>
      <c r="C62" s="383"/>
    </row>
    <row r="63" spans="1:6">
      <c r="A63" s="408"/>
      <c r="B63" s="383"/>
      <c r="C63" s="383"/>
    </row>
    <row r="64" spans="1:6">
      <c r="A64" s="408"/>
      <c r="B64" s="383"/>
      <c r="C64" s="383"/>
    </row>
    <row r="65" spans="1:3">
      <c r="A65" s="408"/>
      <c r="B65" s="383"/>
      <c r="C65" s="383"/>
    </row>
    <row r="66" spans="1:3">
      <c r="A66" s="408"/>
      <c r="B66" s="383"/>
      <c r="C66" s="383"/>
    </row>
    <row r="67" spans="1:3">
      <c r="A67" s="409"/>
      <c r="B67" s="383"/>
      <c r="C67" s="383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DesignSheet</vt:lpstr>
      <vt:lpstr>Data Sheet</vt:lpstr>
      <vt:lpstr>LoginSheet</vt:lpstr>
      <vt:lpstr>StallTime</vt:lpstr>
      <vt:lpstr>MagNoise</vt:lpstr>
      <vt:lpstr>Performance Data Sheet</vt:lpstr>
      <vt:lpstr>STCurve</vt:lpstr>
      <vt:lpstr>Thermdam</vt:lpstr>
      <vt:lpstr>Performance 4000V</vt:lpstr>
      <vt:lpstr>Performance 2300V</vt:lpstr>
      <vt:lpstr>'Data Sheet'!Print_Area</vt:lpstr>
      <vt:lpstr>DesignSheet!Print_Area</vt:lpstr>
      <vt:lpstr>LoginSheet!Print_Area</vt:lpstr>
      <vt:lpstr>'Performance 2300V'!Print_Area</vt:lpstr>
      <vt:lpstr>'Performance 4000V'!Print_Area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Xie, Zichao</dc:creator>
  <cp:lastModifiedBy>Rodriguez, Jerry (TIC)</cp:lastModifiedBy>
  <cp:lastPrinted>2017-05-22T14:20:14Z</cp:lastPrinted>
  <dcterms:created xsi:type="dcterms:W3CDTF">1997-10-03T20:37:30Z</dcterms:created>
  <dcterms:modified xsi:type="dcterms:W3CDTF">2024-01-19T21:17:27Z</dcterms:modified>
</cp:coreProperties>
</file>