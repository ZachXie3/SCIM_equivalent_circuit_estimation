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N:\DESPRO\BASE MV DESIGNS\New 5010_5810 TEFC\"/>
    </mc:Choice>
  </mc:AlternateContent>
  <xr:revisionPtr revIDLastSave="0" documentId="13_ncr:1_{D80B3E24-5AC6-4DBC-AD9C-5D747A6C8289}" xr6:coauthVersionLast="47" xr6:coauthVersionMax="47" xr10:uidLastSave="{00000000-0000-0000-0000-000000000000}"/>
  <bookViews>
    <workbookView xWindow="-120" yWindow="-120" windowWidth="29040" windowHeight="17520" activeTab="1" xr2:uid="{00000000-000D-0000-FFFF-FFFF00000000}"/>
  </bookViews>
  <sheets>
    <sheet name="DesignSheet" sheetId="5" r:id="rId1"/>
    <sheet name="Data Sheet" sheetId="6" r:id="rId2"/>
    <sheet name="LoginSheet" sheetId="7" r:id="rId3"/>
    <sheet name="Form" sheetId="8" r:id="rId4"/>
    <sheet name="StallTime" sheetId="9" r:id="rId5"/>
    <sheet name="Performance Data Sheet" sheetId="1" r:id="rId6"/>
    <sheet name="STCurve" sheetId="2" r:id="rId7"/>
    <sheet name="Thermdam" sheetId="3" r:id="rId8"/>
    <sheet name="Performance 4000V" sheetId="4" r:id="rId9"/>
    <sheet name="Performance 2300V" sheetId="10" r:id="rId10"/>
  </sheets>
  <definedNames>
    <definedName name="_Regression_Int" localSheetId="5" hidden="1">1</definedName>
    <definedName name="_xlnm.Print_Area" localSheetId="1">'Data Sheet'!$A$1:$K$46</definedName>
    <definedName name="_xlnm.Print_Area" localSheetId="0">DesignSheet!$A$1:$J$68</definedName>
    <definedName name="_xlnm.Print_Area" localSheetId="3">Form!$A$1:$F$39</definedName>
    <definedName name="_xlnm.Print_Area" localSheetId="2">LoginSheet!$A$1:$N$79</definedName>
    <definedName name="_xlnm.Print_Area" localSheetId="9">'Performance 2300V'!$A$1:$F$43</definedName>
    <definedName name="_xlnm.Print_Area" localSheetId="8">'Performance 4000V'!$A$1:$F$43</definedName>
    <definedName name="_xlnm.Print_Area" localSheetId="5">'Performance Data Sheet'!$A$1:$M$44</definedName>
    <definedName name="_xlnm.Print_Area" localSheetId="4">StallTime!$A$1:$G$40</definedName>
    <definedName name="_xlnm.Print_Area" localSheetId="6">STCurve!$A$1:$F$43</definedName>
    <definedName name="_xlnm.Print_Area" localSheetId="7">Thermdam!$A$1:$F$43</definedName>
    <definedName name="Print_Area_MI">'Performance Data Sheet'!$A$10:$N$42</definedName>
    <definedName name="Z_852987ED_B4F5_11D1_ABEC_0000832EB49E_.wvu.PrintArea" localSheetId="9" hidden="1">'Performance 2300V'!$A$1:$F$43</definedName>
    <definedName name="Z_852987ED_B4F5_11D1_ABEC_0000832EB49E_.wvu.PrintArea" localSheetId="8" hidden="1">'Performance 4000V'!$A$1:$F$43</definedName>
    <definedName name="Z_852987ED_B4F5_11D1_ABEC_0000832EB49E_.wvu.PrintArea" localSheetId="6" hidden="1">STCurve!$A$1:$F$43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4" i="10" l="1"/>
  <c r="D43" i="10"/>
  <c r="C39" i="10"/>
  <c r="B10" i="10"/>
  <c r="F9" i="10"/>
  <c r="B9" i="10"/>
  <c r="F8" i="10"/>
  <c r="F7" i="10"/>
  <c r="B7" i="10"/>
  <c r="B6" i="10"/>
  <c r="F54" i="4"/>
  <c r="E81" i="3"/>
  <c r="D43" i="4"/>
  <c r="C39" i="4"/>
  <c r="B10" i="4"/>
  <c r="F9" i="4"/>
  <c r="B9" i="4"/>
  <c r="F8" i="4"/>
  <c r="F7" i="4"/>
  <c r="B7" i="4"/>
  <c r="B6" i="4"/>
  <c r="D66" i="3"/>
  <c r="F50" i="3"/>
  <c r="D43" i="3"/>
  <c r="C39" i="3"/>
  <c r="C12" i="3"/>
  <c r="B10" i="3"/>
  <c r="F9" i="3"/>
  <c r="B9" i="3"/>
  <c r="F8" i="3"/>
  <c r="F7" i="3"/>
  <c r="D7" i="3"/>
  <c r="B7" i="3"/>
  <c r="F6" i="3"/>
  <c r="B6" i="3"/>
  <c r="D43" i="2"/>
  <c r="C39" i="2"/>
  <c r="C12" i="2"/>
  <c r="B10" i="2"/>
  <c r="F9" i="2"/>
  <c r="B9" i="2"/>
  <c r="F8" i="2"/>
  <c r="F7" i="2"/>
  <c r="D7" i="2"/>
  <c r="B7" i="2"/>
  <c r="F6" i="2"/>
  <c r="B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Paulo Yoshiura</author>
  </authors>
  <commentList>
    <comment ref="K4" authorId="0" shapeId="0" xr:uid="{00000000-0006-0000-0100-000001000000}">
      <text>
        <r>
          <rPr>
            <b/>
            <sz val="8"/>
            <color indexed="81"/>
            <rFont val="Tahoma"/>
            <family val="2"/>
          </rPr>
          <t>Insert type of motor</t>
        </r>
        <r>
          <rPr>
            <sz val="8"/>
            <color indexed="81"/>
            <rFont val="Tahoma"/>
            <family val="2"/>
          </rPr>
          <t xml:space="preserve">
</t>
        </r>
        <r>
          <rPr>
            <b/>
            <sz val="8"/>
            <color indexed="81"/>
            <rFont val="Tahoma"/>
            <family val="2"/>
          </rPr>
          <t>Either choose from list or write appropriate name</t>
        </r>
      </text>
    </comment>
    <comment ref="D6" authorId="0" shapeId="0" xr:uid="{00000000-0006-0000-0100-000002000000}">
      <text>
        <r>
          <rPr>
            <b/>
            <sz val="8"/>
            <color indexed="81"/>
            <rFont val="Tahoma"/>
            <family val="2"/>
          </rPr>
          <t>Choose Steel Type
from list or input name</t>
        </r>
      </text>
    </comment>
    <comment ref="D21" authorId="0" shapeId="0" xr:uid="{00000000-0006-0000-0100-000003000000}">
      <text>
        <r>
          <rPr>
            <b/>
            <sz val="8"/>
            <color indexed="81"/>
            <rFont val="Tahoma"/>
            <family val="2"/>
          </rPr>
          <t>Choose Method of coil connection from list!</t>
        </r>
        <r>
          <rPr>
            <sz val="8"/>
            <color indexed="81"/>
            <rFont val="Tahoma"/>
            <family val="2"/>
          </rPr>
          <t xml:space="preserve">
</t>
        </r>
      </text>
    </comment>
  </commentList>
</comments>
</file>

<file path=xl/sharedStrings.xml><?xml version="1.0" encoding="utf-8"?>
<sst xmlns="http://schemas.openxmlformats.org/spreadsheetml/2006/main" count="981" uniqueCount="728">
  <si>
    <t>TOSHIBA INTERNATIONAL CORPORATION</t>
  </si>
  <si>
    <t>INDEX</t>
  </si>
  <si>
    <t>MPCF-1033</t>
  </si>
  <si>
    <t>Industrial Division / Houston Motor Plant</t>
  </si>
  <si>
    <t>SHEET NO.</t>
  </si>
  <si>
    <t>1 of 1</t>
  </si>
  <si>
    <t>ISSUED</t>
  </si>
  <si>
    <t>7/31/13</t>
  </si>
  <si>
    <t>SUPERSEDES</t>
  </si>
  <si>
    <t>11/8/96</t>
  </si>
  <si>
    <t>REVISION</t>
  </si>
  <si>
    <t>SQUIRREL CAGE INDUCTION MOTOR</t>
  </si>
  <si>
    <t>WRITTEN BY</t>
  </si>
  <si>
    <t>MDC</t>
  </si>
  <si>
    <t>PERFORMANCE SPECIFICATIONS</t>
  </si>
  <si>
    <t>APPROVED BY</t>
  </si>
  <si>
    <t>PAA</t>
  </si>
  <si>
    <t>CUSTOMER:</t>
  </si>
  <si>
    <t>-</t>
  </si>
  <si>
    <t>TIC SR No.:</t>
  </si>
  <si>
    <t>MOTOR NAMEPLATE DATA</t>
  </si>
  <si>
    <t>H.P.:</t>
  </si>
  <si>
    <t>VOLTS:</t>
  </si>
  <si>
    <t>3 PH /</t>
  </si>
  <si>
    <t>60 Hz</t>
  </si>
  <si>
    <t>S. RPM:</t>
  </si>
  <si>
    <t>FRAME:</t>
  </si>
  <si>
    <t>5011USS</t>
  </si>
  <si>
    <t>ENCL:</t>
  </si>
  <si>
    <t>TEFC</t>
  </si>
  <si>
    <t>FLAMPS:</t>
  </si>
  <si>
    <t>FLRPM:</t>
  </si>
  <si>
    <t>FORM:</t>
  </si>
  <si>
    <t>FCKW</t>
  </si>
  <si>
    <t>S.F.:</t>
  </si>
  <si>
    <t>NEMA DESIGN:</t>
  </si>
  <si>
    <t>INSUL CLASS:</t>
  </si>
  <si>
    <t>F</t>
  </si>
  <si>
    <t>TYPE:</t>
  </si>
  <si>
    <t>TIKK</t>
  </si>
  <si>
    <t>AMB.:</t>
  </si>
  <si>
    <t>40°C</t>
  </si>
  <si>
    <t>CODE:</t>
  </si>
  <si>
    <t>H</t>
  </si>
  <si>
    <t>DUTY:</t>
  </si>
  <si>
    <t>Cont.</t>
  </si>
  <si>
    <t>MODEL No.:</t>
  </si>
  <si>
    <t>kW:</t>
  </si>
  <si>
    <t>NOM. EFF.:</t>
  </si>
  <si>
    <t>MIN. EFF.:</t>
  </si>
  <si>
    <t>P.F.:</t>
  </si>
  <si>
    <t>AMPERAGE</t>
  </si>
  <si>
    <t>TORQUES</t>
  </si>
  <si>
    <t>**BEARINGS:</t>
  </si>
  <si>
    <t>LOCKED ROTOR:</t>
  </si>
  <si>
    <t>FULL LOAD (lb-ft.):</t>
  </si>
  <si>
    <t>DRIVE END:</t>
  </si>
  <si>
    <t>LOCKED ROTOR (%):</t>
  </si>
  <si>
    <t>OPPOSITE DRIVE END:</t>
  </si>
  <si>
    <t>BREAK DOWN (%):</t>
  </si>
  <si>
    <t>EFFICIENCY</t>
  </si>
  <si>
    <t>POWER FACTOR</t>
  </si>
  <si>
    <t>FULL LOAD:</t>
  </si>
  <si>
    <t>3/4 LOAD:</t>
  </si>
  <si>
    <t>1/2 LOAD:</t>
  </si>
  <si>
    <t>ALL CHARACTERISTICS ARE AVERAGE EXPECTED VALUES BASED UPON RATED VOLTAGE,</t>
  </si>
  <si>
    <t>FREQUENCY AND SINEWAVE POWER INPUT.</t>
  </si>
  <si>
    <t xml:space="preserve">THE DECLARED LOCKED ROTOR CURRENT HAS A TOLERANCE OF 20%.  </t>
  </si>
  <si>
    <t>* TEMPERATURE RISE WILL BE CONSISTENT WITH INSULATION, AMBIENT AND SERVICE FACTOR AS</t>
  </si>
  <si>
    <t>DEFINED BY NEMA-MG-12  OR  -20.</t>
  </si>
  <si>
    <t>** BEARINGS ARE THE ONLY RECOMMENDED SPARE PART(S).</t>
  </si>
  <si>
    <t>CERTIFIED BY:</t>
  </si>
  <si>
    <t>Zichao Xie</t>
  </si>
  <si>
    <t>DATE:</t>
  </si>
  <si>
    <t>6205ZZ</t>
  </si>
  <si>
    <t>6206UU</t>
  </si>
  <si>
    <t>A</t>
  </si>
  <si>
    <t>ODP</t>
  </si>
  <si>
    <t>6207ZZ</t>
  </si>
  <si>
    <t>B</t>
  </si>
  <si>
    <t>6208UU</t>
  </si>
  <si>
    <t>6211ZZ</t>
  </si>
  <si>
    <t>6211C3</t>
  </si>
  <si>
    <t>6211ZZC3</t>
  </si>
  <si>
    <t>6305UUC3</t>
  </si>
  <si>
    <t>6306UUC3</t>
  </si>
  <si>
    <t>6308C3</t>
  </si>
  <si>
    <t>6308UU</t>
  </si>
  <si>
    <t>6308ZC3</t>
  </si>
  <si>
    <t>6309UU</t>
  </si>
  <si>
    <t>6309UUC3</t>
  </si>
  <si>
    <t>6309C3</t>
  </si>
  <si>
    <t>6309C3XS</t>
  </si>
  <si>
    <t>6309ZC3</t>
  </si>
  <si>
    <t>6310ZZ</t>
  </si>
  <si>
    <t>6310C3</t>
  </si>
  <si>
    <t>6310C3XS</t>
  </si>
  <si>
    <t>6310ZZC3</t>
  </si>
  <si>
    <t>6312C3</t>
  </si>
  <si>
    <t>6312ZZ</t>
  </si>
  <si>
    <t>6312ZZC3</t>
  </si>
  <si>
    <t>6312C3XS</t>
  </si>
  <si>
    <t>6313ZZ</t>
  </si>
  <si>
    <t>6313ZZC3</t>
  </si>
  <si>
    <t>6313C3</t>
  </si>
  <si>
    <t>6314C3</t>
  </si>
  <si>
    <t>6317C3</t>
  </si>
  <si>
    <t>NU318</t>
  </si>
  <si>
    <t>6318C3</t>
  </si>
  <si>
    <t>NU318C3</t>
  </si>
  <si>
    <t>6320C3</t>
  </si>
  <si>
    <t>NU322</t>
  </si>
  <si>
    <t>NU322C3</t>
  </si>
  <si>
    <t>NU324C3</t>
  </si>
  <si>
    <t>6314C3XS</t>
  </si>
  <si>
    <t>6317C3XS</t>
  </si>
  <si>
    <t>Speed Torque/Current Curve</t>
  </si>
  <si>
    <t>Model #:</t>
  </si>
  <si>
    <t>FLAmps:</t>
  </si>
  <si>
    <t>Enclosure:</t>
  </si>
  <si>
    <t>Voltage:</t>
  </si>
  <si>
    <t>Frame:</t>
  </si>
  <si>
    <t>Pole:</t>
  </si>
  <si>
    <t>Frequency:</t>
  </si>
  <si>
    <t>3 PH / 60 Hz</t>
  </si>
  <si>
    <t>Ins. Class:</t>
  </si>
  <si>
    <t>HP:</t>
  </si>
  <si>
    <t>Rotor Inertia:</t>
  </si>
  <si>
    <t>123.8 lb-ft²</t>
  </si>
  <si>
    <t>Date:</t>
  </si>
  <si>
    <t>Load Inertia:</t>
  </si>
  <si>
    <t>175.0 lb-ft²</t>
  </si>
  <si>
    <t>File:</t>
  </si>
  <si>
    <t>RF2450</t>
  </si>
  <si>
    <t>Locked Rotor Amps:</t>
  </si>
  <si>
    <t>Load Type:</t>
  </si>
  <si>
    <t>Fan / Pump</t>
  </si>
  <si>
    <t>Locked Rotor Torque:</t>
  </si>
  <si>
    <t>Starting at:</t>
  </si>
  <si>
    <t>FV (V)</t>
  </si>
  <si>
    <t>Breakdown Torque:</t>
  </si>
  <si>
    <t>Accel. Time:</t>
  </si>
  <si>
    <t>3.8 (s)</t>
  </si>
  <si>
    <t>Rated Torque:</t>
  </si>
  <si>
    <t>661 lb-ft</t>
  </si>
  <si>
    <t>Comments:</t>
  </si>
  <si>
    <t>PROJECT</t>
  </si>
  <si>
    <t>D.E.Curve #:</t>
  </si>
  <si>
    <t>Prepared by:</t>
  </si>
  <si>
    <t>Checked by:</t>
  </si>
  <si>
    <t>Load</t>
  </si>
  <si>
    <t>Thermal Limit &amp; Acceleration Curves</t>
  </si>
  <si>
    <t>Design Values (For Reference Only)</t>
  </si>
  <si>
    <t xml:space="preserve"> </t>
  </si>
  <si>
    <t>Current (%)</t>
  </si>
  <si>
    <t>Cold</t>
  </si>
  <si>
    <t>Hot</t>
  </si>
  <si>
    <t>CURRENT (%)</t>
  </si>
  <si>
    <t>Accel. Time</t>
  </si>
  <si>
    <t>Performance Curve</t>
  </si>
  <si>
    <t>Efficiency</t>
  </si>
  <si>
    <t>PF</t>
  </si>
  <si>
    <t>Amps</t>
  </si>
  <si>
    <t>RPM</t>
  </si>
  <si>
    <t>Input Watts</t>
  </si>
  <si>
    <t xml:space="preserve">                              TOSHIBA INTERNATIONAL CORPORATION</t>
  </si>
  <si>
    <t>Calc. Code:</t>
  </si>
  <si>
    <t>2-2-2-0-1-2</t>
  </si>
  <si>
    <t xml:space="preserve">             3-PHASE SQUIRREL CAGE INDUCTION MOTOR DESIGN SHEET</t>
  </si>
  <si>
    <t>B.L.-1  P.F.-1</t>
  </si>
  <si>
    <t>N:\DESPRO\TESTDAT\By Rating\RF2450.rat</t>
  </si>
  <si>
    <t>Time:</t>
  </si>
  <si>
    <t>Pole</t>
  </si>
  <si>
    <t>HP</t>
  </si>
  <si>
    <t>Form</t>
  </si>
  <si>
    <t>Voltage</t>
  </si>
  <si>
    <t>Frequency</t>
  </si>
  <si>
    <t>Temperature</t>
  </si>
  <si>
    <t>FLSpeed</t>
  </si>
  <si>
    <t>FLSlip</t>
  </si>
  <si>
    <t xml:space="preserve">Frame </t>
  </si>
  <si>
    <t>3582.8 / 3578.0</t>
  </si>
  <si>
    <t>0.0048 / 0.0061</t>
  </si>
  <si>
    <t>Core Data</t>
  </si>
  <si>
    <t>Winding Data</t>
  </si>
  <si>
    <t>Constant Data</t>
  </si>
  <si>
    <t>Primary</t>
  </si>
  <si>
    <t>Secondary</t>
  </si>
  <si>
    <t xml:space="preserve">Bar </t>
  </si>
  <si>
    <t>End Ring</t>
  </si>
  <si>
    <t xml:space="preserve">St. Slot Pitch </t>
  </si>
  <si>
    <t>LR Test Data</t>
  </si>
  <si>
    <t>Air Gap</t>
  </si>
  <si>
    <t>Rt. Slot Pitch</t>
  </si>
  <si>
    <t>ES</t>
  </si>
  <si>
    <t>Space Fac.</t>
  </si>
  <si>
    <t>Pitch</t>
  </si>
  <si>
    <t>1 ~ 14</t>
  </si>
  <si>
    <t>Cross Section Area</t>
  </si>
  <si>
    <t>Mean Value</t>
  </si>
  <si>
    <t>Core Length</t>
  </si>
  <si>
    <t>UB: 452.3</t>
  </si>
  <si>
    <t>UER: 2340.0</t>
  </si>
  <si>
    <t>Eff.T.W.St.</t>
  </si>
  <si>
    <t>WS</t>
  </si>
  <si>
    <t>OD</t>
  </si>
  <si>
    <t>Coil Pitch</t>
  </si>
  <si>
    <t>ERT: 45.0</t>
  </si>
  <si>
    <t>Eff.T.W.Rt.</t>
  </si>
  <si>
    <t>ID</t>
  </si>
  <si>
    <t>Slot Fill</t>
  </si>
  <si>
    <t>ERD1: 205.0</t>
  </si>
  <si>
    <t xml:space="preserve">St.Carter Fac. </t>
  </si>
  <si>
    <t>IS</t>
  </si>
  <si>
    <t>Core Depth</t>
  </si>
  <si>
    <t>Con./Slot</t>
  </si>
  <si>
    <t>ERD2: 315.0</t>
  </si>
  <si>
    <t>Rt.Carter Fac.</t>
  </si>
  <si>
    <t>Eff.Core L.</t>
  </si>
  <si>
    <t>Wire Size 1</t>
  </si>
  <si>
    <t>(.091"x.204")x2</t>
  </si>
  <si>
    <t>Carter Factor</t>
  </si>
  <si>
    <t>Volts / Turn</t>
  </si>
  <si>
    <t>Slot Data</t>
  </si>
  <si>
    <t>Wire Size 2</t>
  </si>
  <si>
    <t>Short. Factor</t>
  </si>
  <si>
    <t>Number</t>
  </si>
  <si>
    <t>// Circuits</t>
  </si>
  <si>
    <t>Distrib. Factor</t>
  </si>
  <si>
    <t>AC</t>
  </si>
  <si>
    <t>Kind</t>
  </si>
  <si>
    <t>Open</t>
  </si>
  <si>
    <t>Dbl - Closed</t>
  </si>
  <si>
    <t>Connection</t>
  </si>
  <si>
    <t>Wye</t>
  </si>
  <si>
    <t>Wind. Factor</t>
  </si>
  <si>
    <t>Skew</t>
  </si>
  <si>
    <t>MCL</t>
  </si>
  <si>
    <t>Reactance</t>
  </si>
  <si>
    <t>(Coeff.: 0.0773)</t>
  </si>
  <si>
    <t>Depth</t>
  </si>
  <si>
    <t>No.Cond./Ph.</t>
  </si>
  <si>
    <t>Running</t>
  </si>
  <si>
    <t>Start</t>
  </si>
  <si>
    <t>Width</t>
  </si>
  <si>
    <t>9.69 - 9.69</t>
  </si>
  <si>
    <t>Res.     (20°C)</t>
  </si>
  <si>
    <t>Stator Slot</t>
  </si>
  <si>
    <t>Opening</t>
  </si>
  <si>
    <t>(105°C)</t>
  </si>
  <si>
    <t>Rotor Slot</t>
  </si>
  <si>
    <t>Tip Depth</t>
  </si>
  <si>
    <t>Material</t>
  </si>
  <si>
    <t>CU</t>
  </si>
  <si>
    <t>AL</t>
  </si>
  <si>
    <t>Zigzag</t>
  </si>
  <si>
    <t>T.Min.Wid.</t>
  </si>
  <si>
    <t>Spec.Resist.</t>
  </si>
  <si>
    <t>Coil End</t>
  </si>
  <si>
    <t>Skew R.: 0.00</t>
  </si>
  <si>
    <t>Low. R.</t>
  </si>
  <si>
    <t>Spec.Gravity</t>
  </si>
  <si>
    <t>Belt Leakage</t>
  </si>
  <si>
    <t>Up. R.</t>
  </si>
  <si>
    <t>Weight (kg)</t>
  </si>
  <si>
    <t>Total Resist.</t>
  </si>
  <si>
    <t>Wedge Dep.</t>
  </si>
  <si>
    <t>2.83 - 2.00</t>
  </si>
  <si>
    <t>Magnetic</t>
  </si>
  <si>
    <t>Wire 1</t>
  </si>
  <si>
    <t>Total React.</t>
  </si>
  <si>
    <t>Duct</t>
  </si>
  <si>
    <t>Wire 2</t>
  </si>
  <si>
    <t>Impedance</t>
  </si>
  <si>
    <t>Effective Depth (S=1)</t>
  </si>
  <si>
    <t>Magnetic Circuit Data</t>
  </si>
  <si>
    <t>Core Loss Data</t>
  </si>
  <si>
    <t>Res.=</t>
  </si>
  <si>
    <t>Length</t>
  </si>
  <si>
    <t>Section</t>
  </si>
  <si>
    <t>Density</t>
  </si>
  <si>
    <t>AT</t>
  </si>
  <si>
    <t>Volume</t>
  </si>
  <si>
    <t>Loss</t>
  </si>
  <si>
    <t>Reac.=</t>
  </si>
  <si>
    <t>Primary Core</t>
  </si>
  <si>
    <t>Excitation Data</t>
  </si>
  <si>
    <t>Tooth</t>
  </si>
  <si>
    <t>Excit.Amps</t>
  </si>
  <si>
    <t>17.940 / 16.516</t>
  </si>
  <si>
    <t>Second.Core</t>
  </si>
  <si>
    <t>Total</t>
  </si>
  <si>
    <t>Core Loss</t>
  </si>
  <si>
    <t>1.145 / 1.054</t>
  </si>
  <si>
    <t>Flux / Pole</t>
  </si>
  <si>
    <t>C.L.C.</t>
  </si>
  <si>
    <t>1.75 / 0.72</t>
  </si>
  <si>
    <t>NoLoad</t>
  </si>
  <si>
    <t>17.98 / 16.55</t>
  </si>
  <si>
    <t>S.F.C.</t>
  </si>
  <si>
    <t>Load Characteristics</t>
  </si>
  <si>
    <t>Temp. Rise @ 100%:</t>
  </si>
  <si>
    <t>79 / 78</t>
  </si>
  <si>
    <t>No Load Loss</t>
  </si>
  <si>
    <t>13622.8 / 9334.8</t>
  </si>
  <si>
    <t>W.Loss</t>
  </si>
  <si>
    <t>7150.7 / 2959.7</t>
  </si>
  <si>
    <t>Load (%)</t>
  </si>
  <si>
    <t>Primary Loss</t>
  </si>
  <si>
    <t>2542.4 / 2749.7</t>
  </si>
  <si>
    <t>S.Loss</t>
  </si>
  <si>
    <t>790.2 / 327.0</t>
  </si>
  <si>
    <t>Current (A)</t>
  </si>
  <si>
    <t>24.64 / 25.13</t>
  </si>
  <si>
    <t>34.00 / 34.67</t>
  </si>
  <si>
    <t>45.51 / 46.41</t>
  </si>
  <si>
    <t>58.06 / 59.21</t>
  </si>
  <si>
    <t>71.32 / 72.73</t>
  </si>
  <si>
    <t>Second. Loss</t>
  </si>
  <si>
    <t>1667.8 / 2141.3</t>
  </si>
  <si>
    <t>Total C.Loss</t>
  </si>
  <si>
    <t>7940.8 / 3286.7</t>
  </si>
  <si>
    <t xml:space="preserve">Efficiency </t>
  </si>
  <si>
    <t>0.857 / 0.854</t>
  </si>
  <si>
    <t>0.919 / 0.916</t>
  </si>
  <si>
    <t>0.941 / 0.937</t>
  </si>
  <si>
    <t>0.950 / 0.947</t>
  </si>
  <si>
    <t>0.955 / 0.952</t>
  </si>
  <si>
    <t>Frict.&amp; Wind.</t>
  </si>
  <si>
    <t>5500.0 / 5885.4</t>
  </si>
  <si>
    <t>Stray Loss</t>
  </si>
  <si>
    <t>P.F.</t>
  </si>
  <si>
    <t>0.574 / 0.565</t>
  </si>
  <si>
    <t>0.775 / 0.763</t>
  </si>
  <si>
    <t>0.849 / 0.835</t>
  </si>
  <si>
    <t>0.878 / 0.864</t>
  </si>
  <si>
    <t>0.889 / 0.875</t>
  </si>
  <si>
    <t>Starting Data</t>
  </si>
  <si>
    <t>Slip</t>
  </si>
  <si>
    <t>0.0012 / 0.0026</t>
  </si>
  <si>
    <t>0.0024 / 0.0037</t>
  </si>
  <si>
    <t>0.0036 / 0.0049</t>
  </si>
  <si>
    <t>0.0060 / 0.0073</t>
  </si>
  <si>
    <t xml:space="preserve">LRA </t>
  </si>
  <si>
    <t>351.9 / 412.1</t>
  </si>
  <si>
    <t>3595.5 / 3590.7</t>
  </si>
  <si>
    <t>3591.4 / 3586.5</t>
  </si>
  <si>
    <t>3587.1 / 3582.3</t>
  </si>
  <si>
    <t>3578.4 / 3573.6</t>
  </si>
  <si>
    <t>%</t>
  </si>
  <si>
    <t>606.1 / 709.8</t>
  </si>
  <si>
    <t>L (Inv., MH)</t>
  </si>
  <si>
    <t>LRT (kg.m)</t>
  </si>
  <si>
    <t>142.4 / 183.9</t>
  </si>
  <si>
    <t>(No Load)</t>
  </si>
  <si>
    <t>Correlated to: RF2450.dat</t>
  </si>
  <si>
    <t>156.0 / 201.5</t>
  </si>
  <si>
    <t>Design Parameters (Full Load)</t>
  </si>
  <si>
    <t>Magnetic Pull  &amp; Thrust</t>
  </si>
  <si>
    <t>BDT (kW)</t>
  </si>
  <si>
    <t>IM/IW</t>
  </si>
  <si>
    <t>I*R1/E</t>
  </si>
  <si>
    <t>Rosenberg</t>
  </si>
  <si>
    <t>260.7 / 252.9</t>
  </si>
  <si>
    <t>IW*X/E</t>
  </si>
  <si>
    <t>I*R2/E</t>
  </si>
  <si>
    <t>Schwisky</t>
  </si>
  <si>
    <t>SUM</t>
  </si>
  <si>
    <t>Friction/OP.</t>
  </si>
  <si>
    <t>Tsurumi</t>
  </si>
  <si>
    <t>Max. Output</t>
  </si>
  <si>
    <t>IH/I</t>
  </si>
  <si>
    <t>Thrust (1mm)</t>
  </si>
  <si>
    <t>Thrust (3 mm)</t>
  </si>
  <si>
    <t>Double Cage Data</t>
  </si>
  <si>
    <t>Miscellaneous Data</t>
  </si>
  <si>
    <t>Slot Number</t>
  </si>
  <si>
    <t>Slit Width</t>
  </si>
  <si>
    <t>T.M.Wid.Low.</t>
  </si>
  <si>
    <t>Watt Rad.</t>
  </si>
  <si>
    <t>Coil Cur. Density</t>
  </si>
  <si>
    <t>Slit Depth</t>
  </si>
  <si>
    <t>Cal.T.W.Up.</t>
  </si>
  <si>
    <r>
      <t>DG</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</si>
  <si>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2.49 / 2.54</t>
  </si>
  <si>
    <t>L.S.Up.Wid.</t>
  </si>
  <si>
    <t>Cal.M.T.Wid.</t>
  </si>
  <si>
    <r>
      <t>GD</t>
    </r>
    <r>
      <rPr>
        <i/>
        <vertAlign val="superscript"/>
        <sz val="10"/>
        <rFont val="Times New Roman"/>
        <family val="1"/>
      </rPr>
      <t>2</t>
    </r>
    <r>
      <rPr>
        <i/>
        <sz val="10"/>
        <rFont val="Times New Roman"/>
        <family val="1"/>
      </rPr>
      <t>L(kg.m</t>
    </r>
    <r>
      <rPr>
        <i/>
        <vertAlign val="superscript"/>
        <sz val="10"/>
        <rFont val="Times New Roman"/>
        <family val="1"/>
      </rPr>
      <t>2</t>
    </r>
    <r>
      <rPr>
        <i/>
        <sz val="10"/>
        <rFont val="Times New Roman"/>
        <family val="1"/>
      </rPr>
      <t>)</t>
    </r>
  </si>
  <si>
    <t>Bar Cur. Den.</t>
  </si>
  <si>
    <t>L.S.Low.Wid.</t>
  </si>
  <si>
    <r>
      <t>DO</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</si>
  <si>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UB: 1.74 / 1.78</t>
  </si>
  <si>
    <t>LB:  -</t>
  </si>
  <si>
    <t>Up. Sl. Wid.</t>
  </si>
  <si>
    <t>L.S.Depth</t>
  </si>
  <si>
    <t>X2S</t>
  </si>
  <si>
    <t>IMC</t>
  </si>
  <si>
    <t>ER Cur. Den.</t>
  </si>
  <si>
    <t>Up. Sl. Dep.</t>
  </si>
  <si>
    <t>T.M.Wid.Up.</t>
  </si>
  <si>
    <t>X3S</t>
  </si>
  <si>
    <t>Coil Pitch Ct.</t>
  </si>
  <si>
    <t>UER: 1.82 / 1.86</t>
  </si>
  <si>
    <t>LER:  -</t>
  </si>
  <si>
    <t>S-T Curve Data (Custom Values)</t>
  </si>
  <si>
    <t>Torque (%)</t>
  </si>
  <si>
    <t>Current(%)</t>
  </si>
  <si>
    <t>INDUCTION MOTOR DATA SHEET</t>
  </si>
  <si>
    <t>HRW / Model Number:</t>
  </si>
  <si>
    <t>4503FTAL11F-A</t>
  </si>
  <si>
    <t>Type: TIKK - Form: FCKW - 2 Pole - 450 HP - 4000 V - 60 Hz - 5010 - Class F</t>
  </si>
  <si>
    <t>Motor Type Selection</t>
  </si>
  <si>
    <t>Electrical Steel Table</t>
  </si>
  <si>
    <t>Motor Parameters</t>
  </si>
  <si>
    <t>PERFORMANCE</t>
  </si>
  <si>
    <t>DESIGN</t>
  </si>
  <si>
    <t>TEST</t>
  </si>
  <si>
    <t>EPACT</t>
  </si>
  <si>
    <t>M22 - 26Ga.</t>
  </si>
  <si>
    <t>M36 - 26Ga.</t>
  </si>
  <si>
    <t>NL &amp; Impedance Test</t>
  </si>
  <si>
    <t>EQP-III</t>
  </si>
  <si>
    <t>No load amps</t>
  </si>
  <si>
    <t>Exp.Prf.</t>
  </si>
  <si>
    <t>NCB1 - 26Ga.</t>
  </si>
  <si>
    <t>Stack length</t>
  </si>
  <si>
    <t>No load watts</t>
  </si>
  <si>
    <t>Exp.Prf.-EQPIII</t>
  </si>
  <si>
    <t>M43 - 26Ga.</t>
  </si>
  <si>
    <t>Number of turns per coil</t>
  </si>
  <si>
    <t>Impedance amps</t>
  </si>
  <si>
    <t>f</t>
  </si>
  <si>
    <t>Prem. Eff.</t>
  </si>
  <si>
    <t>M45 - 26Ga.</t>
  </si>
  <si>
    <t>Wire 1 (size &amp; number)</t>
  </si>
  <si>
    <t>Impedance volts</t>
  </si>
  <si>
    <t>OWP</t>
  </si>
  <si>
    <t>M54 - 26Ga.</t>
  </si>
  <si>
    <t>Wire 2 (size &amp; number)</t>
  </si>
  <si>
    <t>Impedance watts</t>
  </si>
  <si>
    <t>Dry Kiln</t>
  </si>
  <si>
    <r>
      <t xml:space="preserve">Slot fill - </t>
    </r>
    <r>
      <rPr>
        <i/>
        <sz val="9"/>
        <color indexed="8"/>
        <rFont val="Times New Roman"/>
        <family val="1"/>
      </rPr>
      <t>circle/square method (%)</t>
    </r>
  </si>
  <si>
    <t>Temperature Rise (°C)</t>
  </si>
  <si>
    <t>Winding</t>
  </si>
  <si>
    <t>80/115</t>
  </si>
  <si>
    <t>79 / 103</t>
  </si>
  <si>
    <t>Allowance for ins. depth</t>
  </si>
  <si>
    <t xml:space="preserve">Bearing  PS/OS </t>
  </si>
  <si>
    <t>Allowance for ins. width</t>
  </si>
  <si>
    <t>Slot/Wire arrangement</t>
  </si>
  <si>
    <t>16 x 2</t>
  </si>
  <si>
    <t>Nameplate Data</t>
  </si>
  <si>
    <t>Effective cross section for coil</t>
  </si>
  <si>
    <t>FLC (A)</t>
  </si>
  <si>
    <t>Coil grouping</t>
  </si>
  <si>
    <t>Coil pitch (slot number)</t>
  </si>
  <si>
    <t>CODE</t>
  </si>
  <si>
    <t>Method of coil connection</t>
  </si>
  <si>
    <t>S. F.</t>
  </si>
  <si>
    <t>Method of Connection</t>
  </si>
  <si>
    <t>Resistance per phase @ 20 °C</t>
  </si>
  <si>
    <t xml:space="preserve"> -</t>
  </si>
  <si>
    <t>Skip</t>
  </si>
  <si>
    <t>Coil Weight</t>
  </si>
  <si>
    <t>Wire1</t>
  </si>
  <si>
    <t xml:space="preserve">Nom.Eff. (%): </t>
  </si>
  <si>
    <t>Adjacent</t>
  </si>
  <si>
    <t>(lbs.)</t>
  </si>
  <si>
    <t>Wire2</t>
  </si>
  <si>
    <t xml:space="preserve">Min.Eff. (%): </t>
  </si>
  <si>
    <r>
      <t>Current Densities (A/cm</t>
    </r>
    <r>
      <rPr>
        <b/>
        <i/>
        <vertAlign val="superscript"/>
        <sz val="12"/>
        <color indexed="8"/>
        <rFont val="Times New Roman"/>
        <family val="1"/>
      </rPr>
      <t>2</t>
    </r>
    <r>
      <rPr>
        <b/>
        <i/>
        <sz val="12"/>
        <color indexed="8"/>
        <rFont val="Times New Roman"/>
        <family val="1"/>
      </rPr>
      <t>)</t>
    </r>
  </si>
  <si>
    <t>Bar / ER</t>
  </si>
  <si>
    <t xml:space="preserve">P.F. (%): </t>
  </si>
  <si>
    <t>FL / LR</t>
  </si>
  <si>
    <t>253 / 1792</t>
  </si>
  <si>
    <t>177 / 186</t>
  </si>
  <si>
    <t>Stator Slot Shape                                       (Reference)</t>
  </si>
  <si>
    <t>Performance</t>
  </si>
  <si>
    <t>LRC (A)</t>
  </si>
  <si>
    <t>LRT (%)</t>
  </si>
  <si>
    <t>BDT (%)</t>
  </si>
  <si>
    <t>SLIP (%)</t>
  </si>
  <si>
    <t>IEEE-B</t>
  </si>
  <si>
    <t>Eff. (%)</t>
  </si>
  <si>
    <t>Rotor Slot Shape                                        (Reference)</t>
  </si>
  <si>
    <t>PF (%)</t>
  </si>
  <si>
    <t>Losses (Watts)</t>
  </si>
  <si>
    <t>Core</t>
  </si>
  <si>
    <t>F &amp; W</t>
  </si>
  <si>
    <t xml:space="preserve">Stray </t>
  </si>
  <si>
    <t>End Ring                                                    (Reference)</t>
  </si>
  <si>
    <t>Note</t>
  </si>
  <si>
    <t>Outer Fan OD: 360T Unidirectional</t>
  </si>
  <si>
    <t>Rev.1 Design Temperature, Performance and</t>
  </si>
  <si>
    <t>Approved</t>
  </si>
  <si>
    <t>H. Yamaga</t>
  </si>
  <si>
    <t>Design</t>
  </si>
  <si>
    <t>A. Gracia</t>
  </si>
  <si>
    <t>losses were corrected.</t>
  </si>
  <si>
    <t>Date</t>
  </si>
  <si>
    <t>A. Gracia   05/14/10</t>
  </si>
  <si>
    <t>P</t>
  </si>
  <si>
    <t>T</t>
  </si>
  <si>
    <t>L</t>
  </si>
  <si>
    <t>PROJECT HISTORY</t>
  </si>
  <si>
    <t>E</t>
  </si>
  <si>
    <t>D</t>
  </si>
  <si>
    <t>I</t>
  </si>
  <si>
    <t>Y</t>
  </si>
  <si>
    <t>R</t>
  </si>
  <si>
    <t>M</t>
  </si>
  <si>
    <t>C</t>
  </si>
  <si>
    <t>U</t>
  </si>
  <si>
    <t>N</t>
  </si>
  <si>
    <t>S</t>
  </si>
  <si>
    <t>V</t>
  </si>
  <si>
    <t>DATE</t>
  </si>
  <si>
    <t>SMART NUMBER</t>
  </si>
  <si>
    <t>QTY</t>
  </si>
  <si>
    <t>CUSTOMER</t>
  </si>
  <si>
    <t>REMARKS</t>
  </si>
  <si>
    <t>LIMIT CODE</t>
  </si>
  <si>
    <t>REVISION HISTORY</t>
  </si>
  <si>
    <t>REV</t>
  </si>
  <si>
    <t>INIT</t>
  </si>
  <si>
    <t>Winding Data Calculation</t>
  </si>
  <si>
    <t>MCL: 1127.0</t>
  </si>
  <si>
    <t>Coil Resistance</t>
  </si>
  <si>
    <t>Lead Resistance</t>
  </si>
  <si>
    <t xml:space="preserve">8T: </t>
  </si>
  <si>
    <t>0.0139 ~ 0.0133</t>
  </si>
  <si>
    <t>AWG. 02 x 3</t>
  </si>
  <si>
    <t/>
  </si>
  <si>
    <t>0.00131</t>
  </si>
  <si>
    <t>Coil Dimensions</t>
  </si>
  <si>
    <t>HM:</t>
  </si>
  <si>
    <t>8T: 20.09</t>
  </si>
  <si>
    <t>WM:</t>
  </si>
  <si>
    <t>8T: 10.76</t>
  </si>
  <si>
    <t>WT:</t>
  </si>
  <si>
    <t>14.10 ~ 13.70</t>
  </si>
  <si>
    <t>Insulation Allowance</t>
  </si>
  <si>
    <t>Wire Weight</t>
  </si>
  <si>
    <t>Depth:</t>
  </si>
  <si>
    <t>12.99</t>
  </si>
  <si>
    <t xml:space="preserve"> (.091"x.204")x 2: </t>
  </si>
  <si>
    <t>356 lbs.</t>
  </si>
  <si>
    <t>Width:</t>
  </si>
  <si>
    <t>3.24</t>
  </si>
  <si>
    <t>QC Resistance</t>
  </si>
  <si>
    <t xml:space="preserve">1-2, 2-3, 3-1: </t>
  </si>
  <si>
    <t>0.395 ~ 0.372</t>
  </si>
  <si>
    <t>Rating:</t>
  </si>
  <si>
    <t>2 Pole - 450.0 HP - 3600 RPM - 4000 V - 60 Hz</t>
  </si>
  <si>
    <t>Starting Performance</t>
  </si>
  <si>
    <t>Load Type: Fan / Pump - 175.0 lb-ft²</t>
  </si>
  <si>
    <t>Motor</t>
  </si>
  <si>
    <t xml:space="preserve">Load </t>
  </si>
  <si>
    <t>Accel.</t>
  </si>
  <si>
    <t xml:space="preserve"> Line</t>
  </si>
  <si>
    <t>Stator</t>
  </si>
  <si>
    <t>Rotor</t>
  </si>
  <si>
    <t>Speed Increment</t>
  </si>
  <si>
    <t>Time (s)</t>
  </si>
  <si>
    <t>kW / s</t>
  </si>
  <si>
    <t>0~360</t>
  </si>
  <si>
    <t>194.3</t>
  </si>
  <si>
    <t>22.5</t>
  </si>
  <si>
    <t>0.308</t>
  </si>
  <si>
    <t>416.9</t>
  </si>
  <si>
    <t>40.6</t>
  </si>
  <si>
    <t>255.6</t>
  </si>
  <si>
    <t>360~720</t>
  </si>
  <si>
    <t>177.6</t>
  </si>
  <si>
    <t>11.5</t>
  </si>
  <si>
    <t>0.319</t>
  </si>
  <si>
    <t>414.2</t>
  </si>
  <si>
    <t>41.6</t>
  </si>
  <si>
    <t>213.1</t>
  </si>
  <si>
    <t>720~1080</t>
  </si>
  <si>
    <t>168.3</t>
  </si>
  <si>
    <t>7.0</t>
  </si>
  <si>
    <t>0.329</t>
  </si>
  <si>
    <t>410.8</t>
  </si>
  <si>
    <t>42.2</t>
  </si>
  <si>
    <t>182.3</t>
  </si>
  <si>
    <t>1080~1440</t>
  </si>
  <si>
    <t>163.3</t>
  </si>
  <si>
    <t>0.339</t>
  </si>
  <si>
    <t>406.7</t>
  </si>
  <si>
    <t>42.8</t>
  </si>
  <si>
    <t>158.3</t>
  </si>
  <si>
    <t>1440~1800</t>
  </si>
  <si>
    <t>160.8</t>
  </si>
  <si>
    <t>11.0</t>
  </si>
  <si>
    <t>0.354</t>
  </si>
  <si>
    <t>401.9</t>
  </si>
  <si>
    <t>43.6</t>
  </si>
  <si>
    <t>138.6</t>
  </si>
  <si>
    <t>1800~2160</t>
  </si>
  <si>
    <t>160.4</t>
  </si>
  <si>
    <t>18.0</t>
  </si>
  <si>
    <t>0.372</t>
  </si>
  <si>
    <t>396.5</t>
  </si>
  <si>
    <t>44.8</t>
  </si>
  <si>
    <t>120.3</t>
  </si>
  <si>
    <t>2160~2520</t>
  </si>
  <si>
    <t>161.1</t>
  </si>
  <si>
    <t>27.5</t>
  </si>
  <si>
    <t>0.397</t>
  </si>
  <si>
    <t>390.5</t>
  </si>
  <si>
    <t>46.4</t>
  </si>
  <si>
    <t>103.1</t>
  </si>
  <si>
    <t>2520~2880</t>
  </si>
  <si>
    <t>161.8</t>
  </si>
  <si>
    <t>41.5</t>
  </si>
  <si>
    <t>0.440</t>
  </si>
  <si>
    <t>383.1</t>
  </si>
  <si>
    <t>49.8</t>
  </si>
  <si>
    <t>86.2</t>
  </si>
  <si>
    <t>2880~3060</t>
  </si>
  <si>
    <t>164.9</t>
  </si>
  <si>
    <t>55.5</t>
  </si>
  <si>
    <t>0.242</t>
  </si>
  <si>
    <t>375.9</t>
  </si>
  <si>
    <t>26.2</t>
  </si>
  <si>
    <t>63.5</t>
  </si>
  <si>
    <t>3060~3240</t>
  </si>
  <si>
    <t>179.4</t>
  </si>
  <si>
    <t>67.5</t>
  </si>
  <si>
    <t>0.237</t>
  </si>
  <si>
    <t>366.2</t>
  </si>
  <si>
    <t>24.8</t>
  </si>
  <si>
    <t>48.1</t>
  </si>
  <si>
    <t>3240~3420</t>
  </si>
  <si>
    <t>223.1</t>
  </si>
  <si>
    <t>80.5</t>
  </si>
  <si>
    <t>0.186</t>
  </si>
  <si>
    <t>336.8</t>
  </si>
  <si>
    <t>18.1</t>
  </si>
  <si>
    <t>28.7</t>
  </si>
  <si>
    <t>3420~3564</t>
  </si>
  <si>
    <t>203.6</t>
  </si>
  <si>
    <t>92.5</t>
  </si>
  <si>
    <t>0.191</t>
  </si>
  <si>
    <t>212.7</t>
  </si>
  <si>
    <t>14.2</t>
  </si>
  <si>
    <t>24.6</t>
  </si>
  <si>
    <t>3564~3583</t>
  </si>
  <si>
    <t>126.1</t>
  </si>
  <si>
    <t>99.0</t>
  </si>
  <si>
    <t>0.102</t>
  </si>
  <si>
    <t>61.1</t>
  </si>
  <si>
    <t>0.3</t>
  </si>
  <si>
    <t>5.7</t>
  </si>
  <si>
    <t>Acceleration Time:  3.8 s</t>
  </si>
  <si>
    <t>Energy</t>
  </si>
  <si>
    <t>First Start</t>
  </si>
  <si>
    <t>Second Start</t>
  </si>
  <si>
    <t>Stator Winding Rise</t>
  </si>
  <si>
    <t>435 kW / s</t>
  </si>
  <si>
    <t>7°C</t>
  </si>
  <si>
    <t>14°C</t>
  </si>
  <si>
    <t>Rotor Bar Rise</t>
  </si>
  <si>
    <t>1001 kW / s</t>
  </si>
  <si>
    <t>51°C</t>
  </si>
  <si>
    <t>103°C</t>
  </si>
  <si>
    <t>End Ring Rise</t>
  </si>
  <si>
    <t>427 kW / s</t>
  </si>
  <si>
    <t>45°C</t>
  </si>
  <si>
    <t>90°C</t>
  </si>
  <si>
    <t>Locked Rotor Thermal Capability</t>
  </si>
  <si>
    <t>Cold Condition</t>
  </si>
  <si>
    <t>Rate of Rise</t>
  </si>
  <si>
    <t>Power</t>
  </si>
  <si>
    <t>Rise Limit</t>
  </si>
  <si>
    <t>Max Time</t>
  </si>
  <si>
    <t>Stator Copper</t>
  </si>
  <si>
    <t>2.6°C / s</t>
  </si>
  <si>
    <t>158.2 kW</t>
  </si>
  <si>
    <t>160°C</t>
  </si>
  <si>
    <t>61.2 s</t>
  </si>
  <si>
    <t>Rotor Bar</t>
  </si>
  <si>
    <t>24.7°C / s</t>
  </si>
  <si>
    <t>482.2 kW</t>
  </si>
  <si>
    <t>260°C</t>
  </si>
  <si>
    <t>10.5 s</t>
  </si>
  <si>
    <t>Rotor ER</t>
  </si>
  <si>
    <t>21.6°C / s</t>
  </si>
  <si>
    <t>206.0 kW</t>
  </si>
  <si>
    <t>180°C</t>
  </si>
  <si>
    <t>8.3 s</t>
  </si>
  <si>
    <t>Hot Condition</t>
  </si>
  <si>
    <t>Hot Temp.</t>
  </si>
  <si>
    <t>Ambient</t>
  </si>
  <si>
    <t>Max.Time</t>
  </si>
  <si>
    <t>77°C    +</t>
  </si>
  <si>
    <t>83°C    +</t>
  </si>
  <si>
    <t>=    200°C</t>
  </si>
  <si>
    <t>31.7 s</t>
  </si>
  <si>
    <t>105°C    +</t>
  </si>
  <si>
    <t>155°C   +</t>
  </si>
  <si>
    <t>=    300°C</t>
  </si>
  <si>
    <t>6.3 s</t>
  </si>
  <si>
    <t>75°C   +</t>
  </si>
  <si>
    <t>=    220°C</t>
  </si>
  <si>
    <t>3.5 s</t>
  </si>
  <si>
    <t>Cold Stall Time:</t>
  </si>
  <si>
    <t>10.1 s</t>
  </si>
  <si>
    <t>Hot Stall Time:</t>
  </si>
  <si>
    <t>4.2 s</t>
  </si>
  <si>
    <t>REFER TO NP</t>
  </si>
  <si>
    <t>714 / 412</t>
  </si>
  <si>
    <t>4000 V</t>
  </si>
  <si>
    <t>59 A</t>
  </si>
  <si>
    <t>412 A</t>
  </si>
  <si>
    <t>103 / 59</t>
  </si>
  <si>
    <t>2300 V</t>
  </si>
  <si>
    <t>103 A</t>
  </si>
  <si>
    <t>714 A</t>
  </si>
  <si>
    <t>9.56 lb-ft²</t>
  </si>
  <si>
    <t>2 (s)</t>
  </si>
  <si>
    <t>RS02: 400-V110-01CL REF</t>
  </si>
  <si>
    <t>SILENCER: 135-N212-02SS (REF)</t>
  </si>
  <si>
    <t>MOTOR COVER: 135-0027-141304 REF</t>
  </si>
  <si>
    <t>FAN: 140-4646-02</t>
  </si>
  <si>
    <t>1 x Delta / 1 x Wye</t>
  </si>
  <si>
    <t>2300V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</si>
</sst>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General_)"/>
    <numFmt numFmtId="165" formatCode="0.0"/>
    <numFmt numFmtId="166" formatCode="0.000"/>
    <numFmt numFmtId="167" formatCode="0.0%"/>
    <numFmt numFmtId="168" formatCode="0.0000"/>
    <numFmt numFmtId="169" formatCode=".0000"/>
    <numFmt numFmtId="170" formatCode="mm/dd/yy"/>
    <numFmt numFmtId="171" formatCode="0.00_);\(0.00\)"/>
  </numFmts>
  <fonts count="73">
    <font>
      <sz val="10"/>
      <name val="Arial"/>
    </font>
    <font>
      <sz val="12"/>
      <name val="Helv"/>
    </font>
    <font>
      <sz val="14"/>
      <name val="Univers (W1)"/>
      <family val="2"/>
    </font>
    <font>
      <sz val="8"/>
      <name val="Univers (W1)"/>
      <family val="2"/>
    </font>
    <font>
      <sz val="10"/>
      <name val="Univers (W1)"/>
      <family val="2"/>
    </font>
    <font>
      <sz val="10"/>
      <name val="Arial"/>
      <family val="2"/>
    </font>
    <font>
      <sz val="12"/>
      <name val="Univers (W1)"/>
      <family val="2"/>
    </font>
    <font>
      <sz val="15"/>
      <name val="Univers (W1)"/>
      <family val="2"/>
    </font>
    <font>
      <sz val="12"/>
      <name val="Script"/>
      <family val="4"/>
      <charset val="255"/>
    </font>
    <font>
      <sz val="9"/>
      <name val="Univers (W1)"/>
      <family val="2"/>
    </font>
    <font>
      <sz val="13"/>
      <name val="Univers (W1)"/>
      <family val="2"/>
    </font>
    <font>
      <b/>
      <sz val="10"/>
      <name val="Univers (W1)"/>
      <family val="2"/>
    </font>
    <font>
      <sz val="9"/>
      <name val="Univers (W1)"/>
    </font>
    <font>
      <b/>
      <sz val="13"/>
      <name val="Univers (W1)"/>
      <family val="2"/>
    </font>
    <font>
      <sz val="12"/>
      <name val="Lucida Handwriting"/>
      <family val="4"/>
    </font>
    <font>
      <sz val="12"/>
      <name val="Univers (W1)"/>
    </font>
    <font>
      <sz val="14"/>
      <name val="Times New Roman"/>
      <family val="1"/>
    </font>
    <font>
      <b/>
      <u/>
      <sz val="22"/>
      <name val="Times New Roman"/>
      <family val="1"/>
    </font>
    <font>
      <b/>
      <u/>
      <sz val="16"/>
      <name val="Times New Roman"/>
      <family val="1"/>
    </font>
    <font>
      <b/>
      <i/>
      <sz val="14"/>
      <name val="Times New Roman"/>
      <family val="1"/>
    </font>
    <font>
      <sz val="10"/>
      <name val="Arial"/>
      <family val="2"/>
    </font>
    <font>
      <sz val="10"/>
      <name val="Times New Roman"/>
      <family val="1"/>
    </font>
    <font>
      <i/>
      <sz val="10"/>
      <name val="Times New Roman"/>
      <family val="1"/>
    </font>
    <font>
      <b/>
      <i/>
      <u/>
      <sz val="14"/>
      <name val="Times New Roman"/>
      <family val="1"/>
    </font>
    <font>
      <sz val="10"/>
      <color indexed="9"/>
      <name val="Arial"/>
      <family val="2"/>
    </font>
    <font>
      <sz val="10"/>
      <color indexed="8"/>
      <name val="Arial"/>
      <family val="2"/>
    </font>
    <font>
      <sz val="10"/>
      <color indexed="10"/>
      <name val="Arial"/>
      <family val="2"/>
    </font>
    <font>
      <i/>
      <sz val="10"/>
      <name val="Times New Roman"/>
      <family val="1"/>
    </font>
    <font>
      <b/>
      <sz val="14"/>
      <name val="Times New Roman"/>
      <family val="1"/>
    </font>
    <font>
      <i/>
      <sz val="9"/>
      <name val="Times New Roman"/>
      <family val="1"/>
    </font>
    <font>
      <b/>
      <i/>
      <sz val="10"/>
      <name val="Times New Roman"/>
      <family val="1"/>
    </font>
    <font>
      <i/>
      <sz val="10"/>
      <name val="Times New Roman"/>
      <family val="1"/>
    </font>
    <font>
      <b/>
      <sz val="10"/>
      <name val="Times New Roman"/>
      <family val="1"/>
    </font>
    <font>
      <b/>
      <i/>
      <sz val="10"/>
      <name val="Times New Roman"/>
      <family val="1"/>
    </font>
    <font>
      <i/>
      <vertAlign val="superscript"/>
      <sz val="10"/>
      <name val="Times New Roman"/>
      <family val="1"/>
    </font>
    <font>
      <sz val="10"/>
      <name val="Times New Roman"/>
      <family val="1"/>
    </font>
    <font>
      <sz val="8"/>
      <name val="Times New Roman"/>
      <family val="1"/>
    </font>
    <font>
      <b/>
      <sz val="16"/>
      <name val="Times New Roman"/>
      <family val="1"/>
    </font>
    <font>
      <sz val="9"/>
      <color indexed="8"/>
      <name val="Times New Roman"/>
      <family val="1"/>
    </font>
    <font>
      <sz val="12"/>
      <color indexed="8"/>
      <name val="Univers (W1)"/>
    </font>
    <font>
      <b/>
      <sz val="14"/>
      <color indexed="8"/>
      <name val="Times New Roman"/>
      <family val="1"/>
    </font>
    <font>
      <b/>
      <i/>
      <sz val="12"/>
      <color indexed="8"/>
      <name val="Times New Roman"/>
      <family val="1"/>
    </font>
    <font>
      <sz val="12"/>
      <color indexed="8"/>
      <name val="Times New Roman"/>
      <family val="1"/>
    </font>
    <font>
      <sz val="11"/>
      <color indexed="8"/>
      <name val="Times New Roman"/>
      <family val="1"/>
    </font>
    <font>
      <b/>
      <sz val="12"/>
      <name val="Times New Roman"/>
      <family val="1"/>
    </font>
    <font>
      <sz val="10"/>
      <color indexed="8"/>
      <name val="Times New Roman"/>
      <family val="1"/>
    </font>
    <font>
      <b/>
      <sz val="12"/>
      <color indexed="8"/>
      <name val="Times New Roman"/>
      <family val="1"/>
    </font>
    <font>
      <sz val="10"/>
      <color indexed="8"/>
      <name val="Univers (W1)"/>
    </font>
    <font>
      <b/>
      <i/>
      <sz val="11"/>
      <color indexed="8"/>
      <name val="Times New Roman"/>
      <family val="1"/>
    </font>
    <font>
      <sz val="8"/>
      <color indexed="8"/>
      <name val="Times New Roman"/>
      <family val="1"/>
    </font>
    <font>
      <i/>
      <sz val="10"/>
      <color indexed="8"/>
      <name val="Times New Roman"/>
      <family val="1"/>
    </font>
    <font>
      <b/>
      <sz val="11"/>
      <color indexed="8"/>
      <name val="Univers (W1)"/>
      <family val="2"/>
    </font>
    <font>
      <b/>
      <sz val="10"/>
      <color indexed="8"/>
      <name val="Univers (W1)"/>
    </font>
    <font>
      <i/>
      <sz val="11"/>
      <color indexed="8"/>
      <name val="Times New Roman"/>
      <family val="1"/>
    </font>
    <font>
      <b/>
      <i/>
      <sz val="11"/>
      <color indexed="8"/>
      <name val="Univers (W1)"/>
      <family val="2"/>
    </font>
    <font>
      <i/>
      <sz val="11"/>
      <color indexed="8"/>
      <name val="Symbol"/>
      <family val="1"/>
      <charset val="2"/>
    </font>
    <font>
      <i/>
      <sz val="9"/>
      <color indexed="8"/>
      <name val="Times New Roman"/>
      <family val="1"/>
    </font>
    <font>
      <i/>
      <sz val="8"/>
      <color indexed="8"/>
      <name val="Times New Roman"/>
      <family val="1"/>
    </font>
    <font>
      <b/>
      <sz val="10"/>
      <color indexed="8"/>
      <name val="Times New Roman"/>
      <family val="1"/>
    </font>
    <font>
      <b/>
      <i/>
      <vertAlign val="superscript"/>
      <sz val="12"/>
      <color indexed="8"/>
      <name val="Times New Roman"/>
      <family val="1"/>
    </font>
    <font>
      <b/>
      <i/>
      <sz val="10"/>
      <color indexed="8"/>
      <name val="Times New Roman"/>
      <family val="1"/>
    </font>
    <font>
      <sz val="20"/>
      <color indexed="8"/>
      <name val="WP Greek Century"/>
      <charset val="2"/>
    </font>
    <font>
      <sz val="10"/>
      <color indexed="8"/>
      <name val="WP Greek Century"/>
      <charset val="2"/>
    </font>
    <font>
      <b/>
      <i/>
      <sz val="12"/>
      <color indexed="8"/>
      <name val="Arial"/>
      <family val="2"/>
    </font>
    <font>
      <b/>
      <sz val="8"/>
      <color indexed="81"/>
      <name val="Tahoma"/>
      <family val="2"/>
    </font>
    <font>
      <sz val="8"/>
      <color indexed="81"/>
      <name val="Tahoma"/>
      <family val="2"/>
    </font>
    <font>
      <b/>
      <sz val="10"/>
      <name val="Arial"/>
      <family val="2"/>
    </font>
    <font>
      <b/>
      <sz val="14"/>
      <name val="Arial"/>
      <family val="2"/>
    </font>
    <font>
      <b/>
      <sz val="12"/>
      <name val="Arial"/>
      <family val="2"/>
    </font>
    <font>
      <sz val="12"/>
      <name val="Times New Roman"/>
      <family val="1"/>
    </font>
    <font>
      <b/>
      <i/>
      <sz val="12"/>
      <name val="Times New Roman"/>
      <family val="1"/>
    </font>
    <font>
      <b/>
      <i/>
      <sz val="10"/>
      <name val="Times New Roman"/>
      <family val="1"/>
    </font>
    <font>
      <i/>
      <sz val="12"/>
      <name val="Times New Roman"/>
      <family val="1"/>
    </font>
  </fonts>
  <fills count="3">
    <fill>
      <patternFill patternType="none"/>
    </fill>
    <fill>
      <patternFill patternType="gray125"/>
    </fill>
    <fill>
      <patternFill patternType="solid">
        <fgColor indexed="9"/>
        <bgColor indexed="64"/>
      </patternFill>
    </fill>
  </fills>
  <borders count="150">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double">
        <color indexed="8"/>
      </bottom>
      <diagonal/>
    </border>
    <border>
      <left/>
      <right/>
      <top style="medium">
        <color indexed="64"/>
      </top>
      <bottom style="double">
        <color indexed="8"/>
      </bottom>
      <diagonal/>
    </border>
    <border>
      <left/>
      <right style="medium">
        <color indexed="64"/>
      </right>
      <top style="medium">
        <color indexed="64"/>
      </top>
      <bottom style="double">
        <color indexed="8"/>
      </bottom>
      <diagonal/>
    </border>
    <border>
      <left/>
      <right style="medium">
        <color indexed="64"/>
      </right>
      <top/>
      <bottom/>
      <diagonal/>
    </border>
    <border>
      <left/>
      <right style="thin">
        <color indexed="64"/>
      </right>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ashed">
        <color indexed="64"/>
      </top>
      <bottom style="dashed">
        <color indexed="64"/>
      </bottom>
      <diagonal/>
    </border>
    <border>
      <left style="medium">
        <color indexed="64"/>
      </left>
      <right/>
      <top style="dashed">
        <color indexed="64"/>
      </top>
      <bottom/>
      <diagonal/>
    </border>
    <border>
      <left style="medium">
        <color indexed="64"/>
      </left>
      <right/>
      <top/>
      <bottom style="dashed">
        <color indexed="64"/>
      </bottom>
      <diagonal/>
    </border>
    <border>
      <left/>
      <right/>
      <top/>
      <bottom style="thin">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hair">
        <color indexed="23"/>
      </right>
      <top/>
      <bottom/>
      <diagonal/>
    </border>
    <border>
      <left style="hair">
        <color indexed="23"/>
      </left>
      <right style="hair">
        <color indexed="23"/>
      </right>
      <top/>
      <bottom/>
      <diagonal/>
    </border>
    <border>
      <left style="medium">
        <color indexed="64"/>
      </left>
      <right style="hair">
        <color indexed="23"/>
      </right>
      <top/>
      <bottom style="hair">
        <color indexed="23"/>
      </bottom>
      <diagonal/>
    </border>
    <border>
      <left style="hair">
        <color indexed="23"/>
      </left>
      <right style="hair">
        <color indexed="23"/>
      </right>
      <top/>
      <bottom style="hair">
        <color indexed="23"/>
      </bottom>
      <diagonal/>
    </border>
    <border>
      <left style="hair">
        <color indexed="23"/>
      </left>
      <right/>
      <top/>
      <bottom/>
      <diagonal/>
    </border>
    <border>
      <left style="medium">
        <color indexed="64"/>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top style="hair">
        <color indexed="55"/>
      </top>
      <bottom style="hair">
        <color indexed="55"/>
      </bottom>
      <diagonal/>
    </border>
    <border>
      <left/>
      <right style="thin">
        <color indexed="64"/>
      </right>
      <top style="hair">
        <color indexed="55"/>
      </top>
      <bottom style="hair">
        <color indexed="55"/>
      </bottom>
      <diagonal/>
    </border>
    <border>
      <left style="thin">
        <color indexed="64"/>
      </left>
      <right/>
      <top style="hair">
        <color indexed="23"/>
      </top>
      <bottom style="hair">
        <color indexed="23"/>
      </bottom>
      <diagonal/>
    </border>
    <border>
      <left/>
      <right/>
      <top style="hair">
        <color indexed="23"/>
      </top>
      <bottom style="hair">
        <color indexed="23"/>
      </bottom>
      <diagonal/>
    </border>
    <border>
      <left/>
      <right style="hair">
        <color indexed="23"/>
      </right>
      <top style="hair">
        <color indexed="23"/>
      </top>
      <bottom style="hair">
        <color indexed="23"/>
      </bottom>
      <diagonal/>
    </border>
    <border>
      <left style="hair">
        <color indexed="23"/>
      </left>
      <right style="medium">
        <color indexed="64"/>
      </right>
      <top style="hair">
        <color indexed="23"/>
      </top>
      <bottom style="hair">
        <color indexed="23"/>
      </bottom>
      <diagonal/>
    </border>
    <border>
      <left style="thin">
        <color indexed="64"/>
      </left>
      <right/>
      <top/>
      <bottom style="hair">
        <color indexed="23"/>
      </bottom>
      <diagonal/>
    </border>
    <border>
      <left/>
      <right/>
      <top/>
      <bottom style="hair">
        <color indexed="23"/>
      </bottom>
      <diagonal/>
    </border>
    <border>
      <left/>
      <right style="hair">
        <color indexed="23"/>
      </right>
      <top/>
      <bottom style="hair">
        <color indexed="23"/>
      </bottom>
      <diagonal/>
    </border>
    <border>
      <left/>
      <right style="medium">
        <color indexed="64"/>
      </right>
      <top style="hair">
        <color indexed="23"/>
      </top>
      <bottom style="hair">
        <color indexed="23"/>
      </bottom>
      <diagonal/>
    </border>
    <border>
      <left style="medium">
        <color indexed="64"/>
      </left>
      <right/>
      <top style="hair">
        <color indexed="23"/>
      </top>
      <bottom style="hair">
        <color indexed="23"/>
      </bottom>
      <diagonal/>
    </border>
    <border>
      <left style="thin">
        <color indexed="64"/>
      </left>
      <right/>
      <top style="hair">
        <color indexed="23"/>
      </top>
      <bottom style="thin">
        <color indexed="64"/>
      </bottom>
      <diagonal/>
    </border>
    <border>
      <left/>
      <right/>
      <top style="hair">
        <color indexed="23"/>
      </top>
      <bottom style="thin">
        <color indexed="64"/>
      </bottom>
      <diagonal/>
    </border>
    <border>
      <left style="hair">
        <color indexed="23"/>
      </left>
      <right style="hair">
        <color indexed="23"/>
      </right>
      <top style="hair">
        <color indexed="23"/>
      </top>
      <bottom style="thin">
        <color indexed="64"/>
      </bottom>
      <diagonal/>
    </border>
    <border>
      <left/>
      <right style="medium">
        <color indexed="64"/>
      </right>
      <top style="hair">
        <color indexed="23"/>
      </top>
      <bottom style="thin">
        <color indexed="64"/>
      </bottom>
      <diagonal/>
    </border>
    <border>
      <left style="thin">
        <color indexed="64"/>
      </left>
      <right/>
      <top style="thin">
        <color indexed="64"/>
      </top>
      <bottom style="hair">
        <color indexed="23"/>
      </bottom>
      <diagonal/>
    </border>
    <border>
      <left/>
      <right/>
      <top style="thin">
        <color indexed="64"/>
      </top>
      <bottom style="hair">
        <color indexed="23"/>
      </bottom>
      <diagonal/>
    </border>
    <border>
      <left/>
      <right style="medium">
        <color indexed="64"/>
      </right>
      <top style="thin">
        <color indexed="64"/>
      </top>
      <bottom style="hair">
        <color indexed="23"/>
      </bottom>
      <diagonal/>
    </border>
    <border>
      <left/>
      <right style="medium">
        <color indexed="64"/>
      </right>
      <top/>
      <bottom style="hair">
        <color indexed="23"/>
      </bottom>
      <diagonal/>
    </border>
    <border>
      <left style="hair">
        <color indexed="23"/>
      </left>
      <right/>
      <top style="hair">
        <color indexed="23"/>
      </top>
      <bottom style="hair">
        <color indexed="23"/>
      </bottom>
      <diagonal/>
    </border>
    <border>
      <left style="thin">
        <color indexed="64"/>
      </left>
      <right/>
      <top style="hair">
        <color indexed="23"/>
      </top>
      <bottom/>
      <diagonal/>
    </border>
    <border>
      <left/>
      <right/>
      <top style="hair">
        <color indexed="23"/>
      </top>
      <bottom/>
      <diagonal/>
    </border>
    <border>
      <left style="medium">
        <color indexed="64"/>
      </left>
      <right/>
      <top style="hair">
        <color indexed="55"/>
      </top>
      <bottom style="hair">
        <color indexed="55"/>
      </bottom>
      <diagonal/>
    </border>
    <border>
      <left/>
      <right/>
      <top style="hair">
        <color indexed="55"/>
      </top>
      <bottom style="hair">
        <color indexed="55"/>
      </bottom>
      <diagonal/>
    </border>
    <border>
      <left/>
      <right style="hair">
        <color indexed="55"/>
      </right>
      <top style="hair">
        <color indexed="55"/>
      </top>
      <bottom style="hair">
        <color indexed="55"/>
      </bottom>
      <diagonal/>
    </border>
    <border>
      <left style="hair">
        <color indexed="55"/>
      </left>
      <right/>
      <top style="hair">
        <color indexed="55"/>
      </top>
      <bottom style="hair">
        <color indexed="55"/>
      </bottom>
      <diagonal/>
    </border>
    <border>
      <left/>
      <right style="hair">
        <color indexed="55"/>
      </right>
      <top style="hair">
        <color indexed="55"/>
      </top>
      <bottom style="hair">
        <color indexed="23"/>
      </bottom>
      <diagonal/>
    </border>
    <border>
      <left style="medium">
        <color indexed="64"/>
      </left>
      <right style="hair">
        <color indexed="23"/>
      </right>
      <top/>
      <bottom/>
      <diagonal/>
    </border>
    <border>
      <left style="hair">
        <color indexed="23"/>
      </left>
      <right/>
      <top style="hair">
        <color indexed="23"/>
      </top>
      <bottom/>
      <diagonal/>
    </border>
    <border>
      <left/>
      <right style="hair">
        <color indexed="23"/>
      </right>
      <top style="hair">
        <color indexed="23"/>
      </top>
      <bottom/>
      <diagonal/>
    </border>
    <border>
      <left/>
      <right style="medium">
        <color indexed="64"/>
      </right>
      <top style="hair">
        <color indexed="23"/>
      </top>
      <bottom/>
      <diagonal/>
    </border>
    <border>
      <left style="medium">
        <color indexed="64"/>
      </left>
      <right style="hair">
        <color indexed="23"/>
      </right>
      <top/>
      <bottom style="thin">
        <color indexed="64"/>
      </bottom>
      <diagonal/>
    </border>
    <border>
      <left/>
      <right style="hair">
        <color indexed="23"/>
      </right>
      <top style="hair">
        <color indexed="23"/>
      </top>
      <bottom style="thin">
        <color indexed="64"/>
      </bottom>
      <diagonal/>
    </border>
    <border>
      <left style="hair">
        <color indexed="23"/>
      </left>
      <right/>
      <top style="hair">
        <color indexed="55"/>
      </top>
      <bottom style="thin">
        <color indexed="64"/>
      </bottom>
      <diagonal/>
    </border>
    <border>
      <left/>
      <right style="thin">
        <color indexed="64"/>
      </right>
      <top style="hair">
        <color indexed="55"/>
      </top>
      <bottom style="thin">
        <color indexed="64"/>
      </bottom>
      <diagonal/>
    </border>
    <border>
      <left style="medium">
        <color indexed="64"/>
      </left>
      <right/>
      <top style="thin">
        <color indexed="64"/>
      </top>
      <bottom/>
      <diagonal/>
    </border>
    <border>
      <left style="hair">
        <color indexed="23"/>
      </left>
      <right/>
      <top/>
      <bottom style="hair">
        <color indexed="23"/>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hair">
        <color indexed="23"/>
      </right>
      <top style="hair">
        <color indexed="64"/>
      </top>
      <bottom style="thin">
        <color indexed="64"/>
      </bottom>
      <diagonal/>
    </border>
    <border>
      <left style="hair">
        <color indexed="23"/>
      </left>
      <right/>
      <top style="hair">
        <color indexed="23"/>
      </top>
      <bottom style="thin">
        <color indexed="64"/>
      </bottom>
      <diagonal/>
    </border>
    <border>
      <left style="thin">
        <color indexed="64"/>
      </left>
      <right/>
      <top/>
      <bottom style="hair">
        <color indexed="55"/>
      </bottom>
      <diagonal/>
    </border>
    <border>
      <left/>
      <right style="hair">
        <color indexed="23"/>
      </right>
      <top/>
      <bottom style="hair">
        <color indexed="55"/>
      </bottom>
      <diagonal/>
    </border>
    <border>
      <left style="hair">
        <color indexed="23"/>
      </left>
      <right style="hair">
        <color indexed="23"/>
      </right>
      <top style="hair">
        <color indexed="23"/>
      </top>
      <bottom style="hair">
        <color indexed="55"/>
      </bottom>
      <diagonal/>
    </border>
    <border>
      <left style="hair">
        <color indexed="23"/>
      </left>
      <right style="medium">
        <color indexed="64"/>
      </right>
      <top style="hair">
        <color indexed="23"/>
      </top>
      <bottom style="hair">
        <color indexed="55"/>
      </bottom>
      <diagonal/>
    </border>
    <border>
      <left style="hair">
        <color indexed="23"/>
      </left>
      <right style="medium">
        <color indexed="64"/>
      </right>
      <top/>
      <bottom style="hair">
        <color indexed="23"/>
      </bottom>
      <diagonal/>
    </border>
    <border>
      <left style="hair">
        <color indexed="23"/>
      </left>
      <right style="medium">
        <color indexed="64"/>
      </right>
      <top style="hair">
        <color indexed="23"/>
      </top>
      <bottom style="thin">
        <color indexed="64"/>
      </bottom>
      <diagonal/>
    </border>
    <border>
      <left style="medium">
        <color indexed="64"/>
      </left>
      <right style="hair">
        <color indexed="23"/>
      </right>
      <top style="medium">
        <color indexed="64"/>
      </top>
      <bottom style="hair">
        <color indexed="64"/>
      </bottom>
      <diagonal/>
    </border>
    <border>
      <left style="hair">
        <color indexed="23"/>
      </left>
      <right/>
      <top style="medium">
        <color indexed="64"/>
      </top>
      <bottom style="hair">
        <color indexed="23"/>
      </bottom>
      <diagonal/>
    </border>
    <border>
      <left/>
      <right style="hair">
        <color indexed="23"/>
      </right>
      <top style="medium">
        <color indexed="64"/>
      </top>
      <bottom style="hair">
        <color indexed="23"/>
      </bottom>
      <diagonal/>
    </border>
    <border>
      <left/>
      <right/>
      <top style="medium">
        <color indexed="64"/>
      </top>
      <bottom style="hair">
        <color indexed="23"/>
      </bottom>
      <diagonal/>
    </border>
    <border>
      <left style="hair">
        <color indexed="64"/>
      </left>
      <right style="medium">
        <color indexed="64"/>
      </right>
      <top style="medium">
        <color indexed="64"/>
      </top>
      <bottom style="hair">
        <color indexed="23"/>
      </bottom>
      <diagonal/>
    </border>
    <border>
      <left style="medium">
        <color indexed="64"/>
      </left>
      <right style="hair">
        <color indexed="64"/>
      </right>
      <top/>
      <bottom style="medium">
        <color indexed="64"/>
      </bottom>
      <diagonal/>
    </border>
    <border>
      <left style="hair">
        <color indexed="64"/>
      </left>
      <right/>
      <top style="hair">
        <color indexed="23"/>
      </top>
      <bottom style="medium">
        <color indexed="64"/>
      </bottom>
      <diagonal/>
    </border>
    <border>
      <left/>
      <right style="hair">
        <color indexed="23"/>
      </right>
      <top style="hair">
        <color indexed="23"/>
      </top>
      <bottom style="medium">
        <color indexed="64"/>
      </bottom>
      <diagonal/>
    </border>
    <border>
      <left style="hair">
        <color indexed="23"/>
      </left>
      <right style="medium">
        <color indexed="64"/>
      </right>
      <top/>
      <bottom style="medium">
        <color indexed="64"/>
      </bottom>
      <diagonal/>
    </border>
    <border>
      <left/>
      <right/>
      <top style="hair">
        <color indexed="23"/>
      </top>
      <bottom style="medium">
        <color indexed="64"/>
      </bottom>
      <diagonal/>
    </border>
    <border>
      <left/>
      <right style="medium">
        <color indexed="64"/>
      </right>
      <top style="hair">
        <color indexed="23"/>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indexed="64"/>
      </left>
      <right/>
      <top/>
      <bottom style="medium">
        <color indexed="64"/>
      </bottom>
      <diagonal/>
    </border>
    <border>
      <left style="medium">
        <color indexed="64"/>
      </left>
      <right/>
      <top style="thin">
        <color indexed="64"/>
      </top>
      <bottom style="medium">
        <color indexed="64"/>
      </bottom>
      <diagonal/>
    </border>
  </borders>
  <cellStyleXfs count="6">
    <xf numFmtId="0" fontId="0" fillId="0" borderId="0"/>
    <xf numFmtId="164" fontId="1" fillId="0" borderId="0"/>
    <xf numFmtId="0" fontId="5" fillId="0" borderId="0"/>
    <xf numFmtId="0" fontId="15" fillId="0" borderId="0"/>
    <xf numFmtId="0" fontId="15" fillId="0" borderId="0"/>
    <xf numFmtId="0" fontId="20" fillId="0" borderId="0"/>
  </cellStyleXfs>
  <cellXfs count="658">
    <xf numFmtId="0" fontId="0" fillId="0" borderId="0" xfId="0"/>
    <xf numFmtId="164" fontId="2" fillId="0" borderId="1" xfId="1" applyFont="1" applyBorder="1" applyAlignment="1">
      <alignment horizontal="centerContinuous"/>
    </xf>
    <xf numFmtId="164" fontId="2" fillId="0" borderId="2" xfId="1" applyFont="1" applyBorder="1" applyAlignment="1">
      <alignment horizontal="centerContinuous"/>
    </xf>
    <xf numFmtId="164" fontId="3" fillId="0" borderId="3" xfId="1" applyFont="1" applyBorder="1" applyAlignment="1">
      <alignment horizontal="left"/>
    </xf>
    <xf numFmtId="164" fontId="4" fillId="0" borderId="4" xfId="1" applyFont="1" applyBorder="1"/>
    <xf numFmtId="0" fontId="3" fillId="0" borderId="5" xfId="2" applyFont="1" applyBorder="1" applyAlignment="1">
      <alignment horizontal="centerContinuous"/>
    </xf>
    <xf numFmtId="164" fontId="4" fillId="0" borderId="6" xfId="1" applyFont="1" applyBorder="1" applyAlignment="1">
      <alignment horizontal="centerContinuous"/>
    </xf>
    <xf numFmtId="164" fontId="6" fillId="0" borderId="0" xfId="1" applyFont="1"/>
    <xf numFmtId="164" fontId="1" fillId="0" borderId="0" xfId="1"/>
    <xf numFmtId="164" fontId="2" fillId="0" borderId="7" xfId="1" applyFont="1" applyBorder="1" applyAlignment="1">
      <alignment horizontal="centerContinuous"/>
    </xf>
    <xf numFmtId="164" fontId="2" fillId="0" borderId="0" xfId="1" applyFont="1" applyAlignment="1">
      <alignment horizontal="centerContinuous"/>
    </xf>
    <xf numFmtId="164" fontId="3" fillId="0" borderId="8" xfId="1" applyFont="1" applyBorder="1" applyAlignment="1">
      <alignment horizontal="left"/>
    </xf>
    <xf numFmtId="164" fontId="4" fillId="0" borderId="9" xfId="1" applyFont="1" applyBorder="1"/>
    <xf numFmtId="0" fontId="3" fillId="0" borderId="10" xfId="2" applyFont="1" applyBorder="1" applyAlignment="1">
      <alignment horizontal="centerContinuous"/>
    </xf>
    <xf numFmtId="164" fontId="4" fillId="0" borderId="11" xfId="1" applyFont="1" applyBorder="1" applyAlignment="1">
      <alignment horizontal="centerContinuous"/>
    </xf>
    <xf numFmtId="164" fontId="4" fillId="0" borderId="7" xfId="1" applyFont="1" applyBorder="1" applyAlignment="1">
      <alignment horizontal="centerContinuous"/>
    </xf>
    <xf numFmtId="164" fontId="4" fillId="0" borderId="0" xfId="1" applyFont="1" applyAlignment="1">
      <alignment horizontal="centerContinuous"/>
    </xf>
    <xf numFmtId="0" fontId="3" fillId="0" borderId="10" xfId="2" quotePrefix="1" applyFont="1" applyBorder="1" applyAlignment="1">
      <alignment horizontal="centerContinuous"/>
    </xf>
    <xf numFmtId="164" fontId="7" fillId="0" borderId="7" xfId="1" applyFont="1" applyBorder="1" applyAlignment="1">
      <alignment horizontal="centerContinuous"/>
    </xf>
    <xf numFmtId="164" fontId="6" fillId="0" borderId="7" xfId="1" applyFont="1" applyBorder="1" applyAlignment="1">
      <alignment horizontal="centerContinuous"/>
    </xf>
    <xf numFmtId="164" fontId="6" fillId="0" borderId="12" xfId="1" applyFont="1" applyBorder="1" applyAlignment="1">
      <alignment horizontal="centerContinuous"/>
    </xf>
    <xf numFmtId="164" fontId="4" fillId="0" borderId="13" xfId="1" applyFont="1" applyBorder="1" applyAlignment="1">
      <alignment horizontal="centerContinuous"/>
    </xf>
    <xf numFmtId="164" fontId="3" fillId="0" borderId="12" xfId="1" applyFont="1" applyBorder="1" applyAlignment="1">
      <alignment horizontal="left"/>
    </xf>
    <xf numFmtId="164" fontId="4" fillId="0" borderId="14" xfId="1" applyFont="1" applyBorder="1"/>
    <xf numFmtId="0" fontId="8" fillId="0" borderId="13" xfId="2" applyFont="1" applyBorder="1" applyAlignment="1">
      <alignment horizontal="centerContinuous"/>
    </xf>
    <xf numFmtId="164" fontId="4" fillId="0" borderId="15" xfId="1" applyFont="1" applyBorder="1" applyAlignment="1">
      <alignment horizontal="centerContinuous"/>
    </xf>
    <xf numFmtId="164" fontId="6" fillId="0" borderId="0" xfId="1" applyFont="1" applyAlignment="1">
      <alignment horizontal="centerContinuous"/>
    </xf>
    <xf numFmtId="164" fontId="3" fillId="0" borderId="0" xfId="1" applyFont="1" applyAlignment="1">
      <alignment horizontal="left"/>
    </xf>
    <xf numFmtId="164" fontId="4" fillId="0" borderId="0" xfId="1" applyFont="1"/>
    <xf numFmtId="164" fontId="3" fillId="0" borderId="0" xfId="1" applyFont="1" applyAlignment="1">
      <alignment horizontal="centerContinuous"/>
    </xf>
    <xf numFmtId="164" fontId="9" fillId="0" borderId="0" xfId="1" applyFont="1"/>
    <xf numFmtId="164" fontId="9" fillId="0" borderId="0" xfId="1" applyFont="1" applyAlignment="1">
      <alignment horizontal="right"/>
    </xf>
    <xf numFmtId="164" fontId="9" fillId="0" borderId="0" xfId="1" applyFont="1" applyAlignment="1" applyProtection="1">
      <alignment horizontal="left"/>
      <protection locked="0"/>
    </xf>
    <xf numFmtId="164" fontId="9" fillId="0" borderId="0" xfId="1" applyFont="1" applyAlignment="1">
      <alignment horizontal="centerContinuous"/>
    </xf>
    <xf numFmtId="164" fontId="9" fillId="0" borderId="0" xfId="1" applyFont="1" applyAlignment="1">
      <alignment horizontal="left"/>
    </xf>
    <xf numFmtId="164" fontId="9" fillId="0" borderId="0" xfId="1" quotePrefix="1" applyFont="1" applyAlignment="1" applyProtection="1">
      <alignment horizontal="left"/>
      <protection locked="0"/>
    </xf>
    <xf numFmtId="164" fontId="10" fillId="0" borderId="16" xfId="1" applyFont="1" applyBorder="1" applyAlignment="1">
      <alignment horizontal="centerContinuous"/>
    </xf>
    <xf numFmtId="164" fontId="6" fillId="0" borderId="17" xfId="1" applyFont="1" applyBorder="1" applyAlignment="1">
      <alignment horizontal="centerContinuous"/>
    </xf>
    <xf numFmtId="164" fontId="6" fillId="0" borderId="18" xfId="1" applyFont="1" applyBorder="1" applyAlignment="1">
      <alignment horizontal="centerContinuous"/>
    </xf>
    <xf numFmtId="164" fontId="9" fillId="0" borderId="7" xfId="1" applyFont="1" applyBorder="1"/>
    <xf numFmtId="164" fontId="9" fillId="0" borderId="0" xfId="1" applyFont="1" applyAlignment="1" applyProtection="1">
      <alignment horizontal="center"/>
      <protection locked="0"/>
    </xf>
    <xf numFmtId="164" fontId="9" fillId="0" borderId="19" xfId="1" applyFont="1" applyBorder="1" applyAlignment="1" applyProtection="1">
      <alignment horizontal="center"/>
      <protection locked="0"/>
    </xf>
    <xf numFmtId="164" fontId="9" fillId="0" borderId="0" xfId="1" applyFont="1" applyAlignment="1">
      <alignment horizontal="center"/>
    </xf>
    <xf numFmtId="164" fontId="9" fillId="0" borderId="0" xfId="1" quotePrefix="1" applyFont="1" applyAlignment="1">
      <alignment horizontal="right"/>
    </xf>
    <xf numFmtId="164" fontId="9" fillId="0" borderId="0" xfId="1" quotePrefix="1" applyFont="1" applyAlignment="1" applyProtection="1">
      <alignment horizontal="center"/>
      <protection locked="0"/>
    </xf>
    <xf numFmtId="164" fontId="9" fillId="0" borderId="19" xfId="1" applyFont="1" applyBorder="1"/>
    <xf numFmtId="164" fontId="9" fillId="0" borderId="12" xfId="1" applyFont="1" applyBorder="1"/>
    <xf numFmtId="164" fontId="9" fillId="0" borderId="13" xfId="1" applyFont="1" applyBorder="1" applyAlignment="1">
      <alignment horizontal="right"/>
    </xf>
    <xf numFmtId="165" fontId="9" fillId="0" borderId="13" xfId="1" quotePrefix="1" applyNumberFormat="1" applyFont="1" applyBorder="1" applyAlignment="1" applyProtection="1">
      <alignment horizontal="center"/>
      <protection locked="0"/>
    </xf>
    <xf numFmtId="164" fontId="9" fillId="0" borderId="13" xfId="1" applyFont="1" applyBorder="1"/>
    <xf numFmtId="165" fontId="9" fillId="0" borderId="13" xfId="1" applyNumberFormat="1" applyFont="1" applyBorder="1"/>
    <xf numFmtId="164" fontId="9" fillId="0" borderId="15" xfId="1" applyFont="1" applyBorder="1"/>
    <xf numFmtId="164" fontId="11" fillId="0" borderId="7" xfId="1" quotePrefix="1" applyFont="1" applyBorder="1" applyAlignment="1">
      <alignment horizontal="left"/>
    </xf>
    <xf numFmtId="164" fontId="4" fillId="0" borderId="0" xfId="1" quotePrefix="1" applyFont="1" applyAlignment="1">
      <alignment horizontal="right"/>
    </xf>
    <xf numFmtId="164" fontId="4" fillId="0" borderId="20" xfId="1" applyFont="1" applyBorder="1"/>
    <xf numFmtId="164" fontId="11" fillId="0" borderId="0" xfId="1" applyFont="1" applyAlignment="1">
      <alignment horizontal="left"/>
    </xf>
    <xf numFmtId="164" fontId="4" fillId="0" borderId="0" xfId="1" applyFont="1" applyAlignment="1">
      <alignment horizontal="right"/>
    </xf>
    <xf numFmtId="164" fontId="4" fillId="0" borderId="20" xfId="1" applyFont="1" applyBorder="1" applyAlignment="1">
      <alignment horizontal="right"/>
    </xf>
    <xf numFmtId="164" fontId="11" fillId="0" borderId="0" xfId="1" quotePrefix="1" applyFont="1" applyAlignment="1">
      <alignment horizontal="left"/>
    </xf>
    <xf numFmtId="164" fontId="4" fillId="0" borderId="19" xfId="1" applyFont="1" applyBorder="1"/>
    <xf numFmtId="164" fontId="1" fillId="0" borderId="7" xfId="1" applyBorder="1"/>
    <xf numFmtId="164" fontId="9" fillId="0" borderId="20" xfId="1" applyFont="1" applyBorder="1" applyAlignment="1" applyProtection="1">
      <alignment horizontal="center"/>
      <protection locked="0"/>
    </xf>
    <xf numFmtId="1" fontId="9" fillId="0" borderId="20" xfId="1" applyNumberFormat="1" applyFont="1" applyBorder="1" applyAlignment="1">
      <alignment horizontal="center"/>
    </xf>
    <xf numFmtId="164" fontId="9" fillId="0" borderId="20" xfId="1" applyFont="1" applyBorder="1"/>
    <xf numFmtId="164" fontId="9" fillId="0" borderId="14" xfId="1" applyFont="1" applyBorder="1"/>
    <xf numFmtId="164" fontId="9" fillId="0" borderId="14" xfId="1" applyFont="1" applyBorder="1" applyAlignment="1">
      <alignment horizontal="left"/>
    </xf>
    <xf numFmtId="164" fontId="10" fillId="0" borderId="21" xfId="1" applyFont="1" applyBorder="1" applyAlignment="1">
      <alignment horizontal="centerContinuous"/>
    </xf>
    <xf numFmtId="164" fontId="6" fillId="0" borderId="22" xfId="1" applyFont="1" applyBorder="1" applyAlignment="1">
      <alignment horizontal="centerContinuous"/>
    </xf>
    <xf numFmtId="164" fontId="1" fillId="0" borderId="23" xfId="1" applyBorder="1"/>
    <xf numFmtId="164" fontId="6" fillId="0" borderId="24" xfId="1" applyFont="1" applyBorder="1" applyAlignment="1">
      <alignment horizontal="centerContinuous"/>
    </xf>
    <xf numFmtId="164" fontId="11" fillId="0" borderId="7" xfId="1" applyFont="1" applyBorder="1" applyAlignment="1">
      <alignment horizontal="left"/>
    </xf>
    <xf numFmtId="164" fontId="1" fillId="0" borderId="20" xfId="1" applyBorder="1"/>
    <xf numFmtId="165" fontId="9" fillId="0" borderId="0" xfId="1" applyNumberFormat="1" applyFont="1" applyAlignment="1" applyProtection="1">
      <alignment horizontal="center"/>
      <protection locked="0"/>
    </xf>
    <xf numFmtId="164" fontId="9" fillId="0" borderId="7" xfId="1" applyFont="1" applyBorder="1" applyAlignment="1">
      <alignment horizontal="left"/>
    </xf>
    <xf numFmtId="164" fontId="1" fillId="0" borderId="14" xfId="1" applyBorder="1"/>
    <xf numFmtId="164" fontId="6" fillId="0" borderId="0" xfId="1" applyFont="1" applyAlignment="1">
      <alignment horizontal="left"/>
    </xf>
    <xf numFmtId="164" fontId="6" fillId="0" borderId="21" xfId="1" applyFont="1" applyBorder="1"/>
    <xf numFmtId="164" fontId="4" fillId="0" borderId="22" xfId="1" applyFont="1" applyBorder="1" applyAlignment="1">
      <alignment horizontal="left"/>
    </xf>
    <xf numFmtId="164" fontId="4" fillId="0" borderId="24" xfId="1" applyFont="1" applyBorder="1" applyAlignment="1">
      <alignment horizontal="left"/>
    </xf>
    <xf numFmtId="0" fontId="9" fillId="0" borderId="7" xfId="2" quotePrefix="1" applyFont="1" applyBorder="1" applyAlignment="1">
      <alignment horizontal="left"/>
    </xf>
    <xf numFmtId="164" fontId="9" fillId="0" borderId="19" xfId="1" applyFont="1" applyBorder="1" applyAlignment="1">
      <alignment horizontal="left"/>
    </xf>
    <xf numFmtId="0" fontId="9" fillId="0" borderId="7" xfId="2" applyFont="1" applyBorder="1" applyAlignment="1">
      <alignment horizontal="left"/>
    </xf>
    <xf numFmtId="0" fontId="12" fillId="0" borderId="25" xfId="2" applyFont="1" applyBorder="1"/>
    <xf numFmtId="164" fontId="9" fillId="0" borderId="0" xfId="1" quotePrefix="1" applyFont="1" applyAlignment="1">
      <alignment horizontal="left"/>
    </xf>
    <xf numFmtId="0" fontId="9" fillId="0" borderId="26" xfId="2" quotePrefix="1" applyFont="1" applyBorder="1" applyAlignment="1">
      <alignment horizontal="left"/>
    </xf>
    <xf numFmtId="0" fontId="9" fillId="0" borderId="27" xfId="2" quotePrefix="1" applyFont="1" applyBorder="1" applyAlignment="1">
      <alignment horizontal="left"/>
    </xf>
    <xf numFmtId="0" fontId="9" fillId="0" borderId="12" xfId="2" applyFont="1" applyBorder="1" applyAlignment="1">
      <alignment horizontal="left"/>
    </xf>
    <xf numFmtId="164" fontId="9" fillId="0" borderId="13" xfId="1" applyFont="1" applyBorder="1" applyAlignment="1">
      <alignment horizontal="left"/>
    </xf>
    <xf numFmtId="164" fontId="9" fillId="0" borderId="15" xfId="1" applyFont="1" applyBorder="1" applyAlignment="1">
      <alignment horizontal="left"/>
    </xf>
    <xf numFmtId="164" fontId="4" fillId="0" borderId="0" xfId="1" applyFont="1" applyAlignment="1">
      <alignment horizontal="left"/>
    </xf>
    <xf numFmtId="164" fontId="13" fillId="0" borderId="0" xfId="1" applyFont="1" applyAlignment="1">
      <alignment horizontal="right"/>
    </xf>
    <xf numFmtId="164" fontId="1" fillId="0" borderId="0" xfId="1" applyAlignment="1">
      <alignment horizontal="right"/>
    </xf>
    <xf numFmtId="0" fontId="16" fillId="0" borderId="29" xfId="2" applyFont="1" applyBorder="1"/>
    <xf numFmtId="0" fontId="16" fillId="0" borderId="30" xfId="2" applyFont="1" applyBorder="1"/>
    <xf numFmtId="0" fontId="16" fillId="0" borderId="31" xfId="2" applyFont="1" applyBorder="1"/>
    <xf numFmtId="0" fontId="5" fillId="0" borderId="0" xfId="2"/>
    <xf numFmtId="0" fontId="17" fillId="0" borderId="32" xfId="2" applyFont="1" applyBorder="1" applyAlignment="1">
      <alignment horizontal="centerContinuous"/>
    </xf>
    <xf numFmtId="0" fontId="16" fillId="0" borderId="0" xfId="2" applyFont="1" applyAlignment="1">
      <alignment horizontal="centerContinuous"/>
    </xf>
    <xf numFmtId="0" fontId="16" fillId="0" borderId="20" xfId="2" applyFont="1" applyBorder="1" applyAlignment="1">
      <alignment horizontal="centerContinuous"/>
    </xf>
    <xf numFmtId="0" fontId="18" fillId="0" borderId="32" xfId="2" applyFont="1" applyBorder="1" applyAlignment="1">
      <alignment horizontal="centerContinuous"/>
    </xf>
    <xf numFmtId="0" fontId="16" fillId="0" borderId="32" xfId="2" applyFont="1" applyBorder="1"/>
    <xf numFmtId="0" fontId="16" fillId="0" borderId="0" xfId="2" applyFont="1"/>
    <xf numFmtId="0" fontId="16" fillId="0" borderId="20" xfId="2" applyFont="1" applyBorder="1"/>
    <xf numFmtId="0" fontId="19" fillId="0" borderId="33" xfId="2" applyFont="1" applyBorder="1" applyAlignment="1">
      <alignment horizontal="right"/>
    </xf>
    <xf numFmtId="0" fontId="16" fillId="0" borderId="33" xfId="2" applyFont="1" applyBorder="1" applyAlignment="1">
      <alignment horizontal="center"/>
    </xf>
    <xf numFmtId="14" fontId="16" fillId="0" borderId="33" xfId="2" applyNumberFormat="1" applyFont="1" applyBorder="1" applyAlignment="1">
      <alignment horizontal="center"/>
    </xf>
    <xf numFmtId="0" fontId="19" fillId="0" borderId="0" xfId="2" applyFont="1" applyAlignment="1">
      <alignment horizontal="right"/>
    </xf>
    <xf numFmtId="0" fontId="16" fillId="0" borderId="0" xfId="2" applyFont="1" applyAlignment="1">
      <alignment horizontal="center"/>
    </xf>
    <xf numFmtId="9" fontId="16" fillId="0" borderId="0" xfId="2" applyNumberFormat="1" applyFont="1" applyAlignment="1">
      <alignment horizontal="center"/>
    </xf>
    <xf numFmtId="0" fontId="19" fillId="0" borderId="32" xfId="2" applyFont="1" applyBorder="1" applyAlignment="1">
      <alignment horizontal="right"/>
    </xf>
    <xf numFmtId="0" fontId="16" fillId="0" borderId="10" xfId="2" applyFont="1" applyBorder="1"/>
    <xf numFmtId="0" fontId="16" fillId="0" borderId="9" xfId="2" applyFont="1" applyBorder="1" applyAlignment="1">
      <alignment horizontal="center"/>
    </xf>
    <xf numFmtId="0" fontId="16" fillId="0" borderId="37" xfId="2" applyFont="1" applyBorder="1"/>
    <xf numFmtId="0" fontId="19" fillId="0" borderId="34" xfId="2" applyFont="1" applyBorder="1" applyAlignment="1">
      <alignment horizontal="right"/>
    </xf>
    <xf numFmtId="0" fontId="16" fillId="0" borderId="36" xfId="2" applyFont="1" applyBorder="1"/>
    <xf numFmtId="165" fontId="21" fillId="0" borderId="0" xfId="0" applyNumberFormat="1" applyFont="1" applyAlignment="1">
      <alignment horizontal="center"/>
    </xf>
    <xf numFmtId="165" fontId="22" fillId="0" borderId="0" xfId="0" quotePrefix="1" applyNumberFormat="1" applyFont="1" applyAlignment="1">
      <alignment horizontal="center"/>
    </xf>
    <xf numFmtId="165" fontId="22" fillId="0" borderId="0" xfId="0" applyNumberFormat="1" applyFont="1" applyAlignment="1">
      <alignment horizontal="center"/>
    </xf>
    <xf numFmtId="0" fontId="24" fillId="0" borderId="0" xfId="2" applyFont="1"/>
    <xf numFmtId="0" fontId="25" fillId="0" borderId="0" xfId="2" applyFont="1"/>
    <xf numFmtId="0" fontId="21" fillId="0" borderId="33" xfId="2" applyFont="1" applyBorder="1" applyAlignment="1">
      <alignment horizontal="center"/>
    </xf>
    <xf numFmtId="1" fontId="21" fillId="2" borderId="33" xfId="2" applyNumberFormat="1" applyFont="1" applyFill="1" applyBorder="1" applyAlignment="1">
      <alignment horizontal="center"/>
    </xf>
    <xf numFmtId="2" fontId="21" fillId="2" borderId="33" xfId="2" applyNumberFormat="1" applyFont="1" applyFill="1" applyBorder="1" applyAlignment="1">
      <alignment horizontal="center"/>
    </xf>
    <xf numFmtId="0" fontId="21" fillId="2" borderId="33" xfId="2" applyFont="1" applyFill="1" applyBorder="1" applyAlignment="1">
      <alignment horizontal="center"/>
    </xf>
    <xf numFmtId="0" fontId="26" fillId="0" borderId="0" xfId="2" applyFont="1"/>
    <xf numFmtId="0" fontId="21" fillId="0" borderId="38" xfId="2" applyFont="1" applyBorder="1" applyAlignment="1">
      <alignment horizontal="center"/>
    </xf>
    <xf numFmtId="0" fontId="21" fillId="0" borderId="39" xfId="2" applyFont="1" applyBorder="1" applyAlignment="1">
      <alignment horizontal="center"/>
    </xf>
    <xf numFmtId="165" fontId="27" fillId="0" borderId="40" xfId="2" quotePrefix="1" applyNumberFormat="1" applyFont="1" applyBorder="1" applyAlignment="1">
      <alignment horizontal="center"/>
    </xf>
    <xf numFmtId="165" fontId="21" fillId="0" borderId="9" xfId="2" applyNumberFormat="1" applyFont="1" applyBorder="1" applyAlignment="1">
      <alignment horizontal="center"/>
    </xf>
    <xf numFmtId="165" fontId="21" fillId="0" borderId="41" xfId="2" applyNumberFormat="1" applyFont="1" applyBorder="1" applyAlignment="1">
      <alignment horizontal="center"/>
    </xf>
    <xf numFmtId="165" fontId="21" fillId="0" borderId="42" xfId="2" applyNumberFormat="1" applyFont="1" applyBorder="1" applyAlignment="1">
      <alignment horizontal="center"/>
    </xf>
    <xf numFmtId="165" fontId="27" fillId="0" borderId="43" xfId="2" quotePrefix="1" applyNumberFormat="1" applyFont="1" applyBorder="1" applyAlignment="1">
      <alignment horizontal="center"/>
    </xf>
    <xf numFmtId="165" fontId="21" fillId="0" borderId="36" xfId="2" applyNumberFormat="1" applyFont="1" applyBorder="1" applyAlignment="1">
      <alignment horizontal="center"/>
    </xf>
    <xf numFmtId="165" fontId="21" fillId="0" borderId="33" xfId="2" applyNumberFormat="1" applyFont="1" applyBorder="1" applyAlignment="1">
      <alignment horizontal="center"/>
    </xf>
    <xf numFmtId="165" fontId="21" fillId="0" borderId="44" xfId="2" applyNumberFormat="1" applyFont="1" applyBorder="1" applyAlignment="1">
      <alignment horizontal="center"/>
    </xf>
    <xf numFmtId="165" fontId="27" fillId="0" borderId="45" xfId="2" quotePrefix="1" applyNumberFormat="1" applyFont="1" applyBorder="1" applyAlignment="1">
      <alignment horizontal="center"/>
    </xf>
    <xf numFmtId="165" fontId="21" fillId="0" borderId="46" xfId="2" applyNumberFormat="1" applyFont="1" applyBorder="1" applyAlignment="1">
      <alignment horizontal="center"/>
    </xf>
    <xf numFmtId="165" fontId="21" fillId="0" borderId="47" xfId="2" applyNumberFormat="1" applyFont="1" applyBorder="1" applyAlignment="1">
      <alignment horizontal="center"/>
    </xf>
    <xf numFmtId="165" fontId="21" fillId="0" borderId="48" xfId="2" applyNumberFormat="1" applyFont="1" applyBorder="1" applyAlignment="1">
      <alignment horizontal="center"/>
    </xf>
    <xf numFmtId="165" fontId="27" fillId="0" borderId="0" xfId="2" quotePrefix="1" applyNumberFormat="1" applyFont="1" applyAlignment="1">
      <alignment horizontal="center"/>
    </xf>
    <xf numFmtId="165" fontId="21" fillId="0" borderId="0" xfId="2" applyNumberFormat="1" applyFont="1" applyAlignment="1">
      <alignment horizontal="center"/>
    </xf>
    <xf numFmtId="165" fontId="27" fillId="0" borderId="0" xfId="2" applyNumberFormat="1" applyFont="1" applyAlignment="1">
      <alignment horizontal="center"/>
    </xf>
    <xf numFmtId="0" fontId="28" fillId="0" borderId="0" xfId="0" applyFont="1" applyAlignment="1">
      <alignment horizontal="centerContinuous"/>
    </xf>
    <xf numFmtId="0" fontId="0" fillId="0" borderId="0" xfId="0" applyAlignment="1">
      <alignment horizontal="centerContinuous"/>
    </xf>
    <xf numFmtId="0" fontId="22" fillId="0" borderId="0" xfId="0" applyFont="1" applyAlignment="1">
      <alignment horizontal="centerContinuous"/>
    </xf>
    <xf numFmtId="0" fontId="29" fillId="0" borderId="0" xfId="0" applyFont="1" applyAlignment="1">
      <alignment horizontal="center"/>
    </xf>
    <xf numFmtId="0" fontId="22" fillId="0" borderId="0" xfId="0" applyFont="1" applyAlignment="1">
      <alignment horizontal="right"/>
    </xf>
    <xf numFmtId="0" fontId="22" fillId="0" borderId="0" xfId="0" applyFont="1"/>
    <xf numFmtId="0" fontId="21" fillId="0" borderId="0" xfId="0" applyFont="1"/>
    <xf numFmtId="14" fontId="22" fillId="0" borderId="0" xfId="0" applyNumberFormat="1" applyFont="1" applyAlignment="1">
      <alignment horizontal="center"/>
    </xf>
    <xf numFmtId="19" fontId="22" fillId="0" borderId="0" xfId="0" applyNumberFormat="1" applyFont="1"/>
    <xf numFmtId="0" fontId="30" fillId="0" borderId="49" xfId="0" applyFont="1" applyBorder="1" applyAlignment="1">
      <alignment horizontal="center"/>
    </xf>
    <xf numFmtId="0" fontId="21" fillId="0" borderId="45" xfId="0" applyFont="1" applyBorder="1" applyAlignment="1">
      <alignment horizontal="center"/>
    </xf>
    <xf numFmtId="2" fontId="21" fillId="0" borderId="45" xfId="0" applyNumberFormat="1" applyFont="1" applyBorder="1" applyAlignment="1">
      <alignment horizontal="center"/>
    </xf>
    <xf numFmtId="1" fontId="21" fillId="0" borderId="45" xfId="0" applyNumberFormat="1" applyFont="1" applyBorder="1" applyAlignment="1">
      <alignment horizontal="center"/>
    </xf>
    <xf numFmtId="165" fontId="21" fillId="0" borderId="45" xfId="0" applyNumberFormat="1" applyFont="1" applyBorder="1" applyAlignment="1">
      <alignment horizontal="center"/>
    </xf>
    <xf numFmtId="166" fontId="21" fillId="0" borderId="45" xfId="0" applyNumberFormat="1" applyFont="1" applyBorder="1" applyAlignment="1">
      <alignment horizontal="center"/>
    </xf>
    <xf numFmtId="0" fontId="30" fillId="0" borderId="3" xfId="0" applyFont="1" applyBorder="1"/>
    <xf numFmtId="0" fontId="22" fillId="0" borderId="5" xfId="0" applyFont="1" applyBorder="1" applyAlignment="1">
      <alignment horizontal="center"/>
    </xf>
    <xf numFmtId="0" fontId="22" fillId="0" borderId="6" xfId="0" applyFont="1" applyBorder="1" applyAlignment="1">
      <alignment horizontal="center"/>
    </xf>
    <xf numFmtId="0" fontId="30" fillId="0" borderId="3" xfId="0" applyFont="1" applyBorder="1" applyAlignment="1">
      <alignment horizontal="left"/>
    </xf>
    <xf numFmtId="0" fontId="21" fillId="0" borderId="5" xfId="0" applyFont="1" applyBorder="1"/>
    <xf numFmtId="0" fontId="21" fillId="0" borderId="2" xfId="0" applyFont="1" applyBorder="1"/>
    <xf numFmtId="0" fontId="21" fillId="0" borderId="50" xfId="0" applyFont="1" applyBorder="1"/>
    <xf numFmtId="0" fontId="30" fillId="0" borderId="0" xfId="0" applyFont="1"/>
    <xf numFmtId="0" fontId="21" fillId="0" borderId="0" xfId="0" applyFont="1" applyAlignment="1">
      <alignment horizontal="centerContinuous"/>
    </xf>
    <xf numFmtId="0" fontId="21" fillId="0" borderId="6" xfId="0" applyFont="1" applyBorder="1" applyAlignment="1">
      <alignment horizontal="centerContinuous"/>
    </xf>
    <xf numFmtId="0" fontId="20" fillId="0" borderId="7" xfId="0" applyFont="1" applyBorder="1"/>
    <xf numFmtId="0" fontId="22" fillId="0" borderId="33" xfId="0" applyFont="1" applyBorder="1" applyAlignment="1">
      <alignment horizontal="center"/>
    </xf>
    <xf numFmtId="0" fontId="22" fillId="0" borderId="44" xfId="0" applyFont="1" applyBorder="1" applyAlignment="1">
      <alignment horizontal="center"/>
    </xf>
    <xf numFmtId="0" fontId="22" fillId="0" borderId="51" xfId="0" applyFont="1" applyBorder="1" applyAlignment="1">
      <alignment horizontal="right"/>
    </xf>
    <xf numFmtId="166" fontId="21" fillId="0" borderId="33" xfId="0" applyNumberFormat="1" applyFont="1" applyBorder="1" applyAlignment="1">
      <alignment horizontal="center"/>
    </xf>
    <xf numFmtId="0" fontId="22" fillId="0" borderId="38" xfId="0" applyFont="1" applyBorder="1" applyAlignment="1">
      <alignment horizontal="center"/>
    </xf>
    <xf numFmtId="0" fontId="22" fillId="0" borderId="51" xfId="0" applyFont="1" applyBorder="1"/>
    <xf numFmtId="2" fontId="21" fillId="0" borderId="33" xfId="0" applyNumberFormat="1" applyFont="1" applyBorder="1" applyAlignment="1">
      <alignment horizontal="center"/>
    </xf>
    <xf numFmtId="0" fontId="21" fillId="0" borderId="44" xfId="0" applyFont="1" applyBorder="1" applyAlignment="1">
      <alignment horizontal="center"/>
    </xf>
    <xf numFmtId="0" fontId="21" fillId="0" borderId="33" xfId="0" applyFont="1" applyBorder="1" applyAlignment="1">
      <alignment horizontal="center"/>
    </xf>
    <xf numFmtId="0" fontId="22" fillId="0" borderId="52" xfId="0" applyFont="1" applyBorder="1" applyAlignment="1">
      <alignment horizontal="center"/>
    </xf>
    <xf numFmtId="0" fontId="21" fillId="0" borderId="0" xfId="0" applyFont="1" applyAlignment="1">
      <alignment horizontal="center"/>
    </xf>
    <xf numFmtId="0" fontId="22" fillId="0" borderId="34" xfId="0" applyFont="1" applyBorder="1" applyAlignment="1">
      <alignment horizontal="centerContinuous"/>
    </xf>
    <xf numFmtId="0" fontId="21" fillId="0" borderId="53" xfId="0" applyFont="1" applyBorder="1" applyAlignment="1">
      <alignment horizontal="centerContinuous"/>
    </xf>
    <xf numFmtId="165" fontId="21" fillId="0" borderId="54" xfId="0" applyNumberFormat="1" applyFont="1" applyBorder="1" applyAlignment="1">
      <alignment horizontal="center"/>
    </xf>
    <xf numFmtId="2" fontId="21" fillId="0" borderId="44" xfId="0" applyNumberFormat="1" applyFont="1" applyBorder="1" applyAlignment="1">
      <alignment horizontal="center"/>
    </xf>
    <xf numFmtId="0" fontId="21" fillId="0" borderId="55" xfId="0" applyFont="1" applyBorder="1" applyAlignment="1">
      <alignment horizontal="left"/>
    </xf>
    <xf numFmtId="0" fontId="21" fillId="0" borderId="19" xfId="0" applyFont="1" applyBorder="1" applyAlignment="1">
      <alignment horizontal="left"/>
    </xf>
    <xf numFmtId="0" fontId="21" fillId="0" borderId="41" xfId="0" applyFont="1" applyBorder="1" applyAlignment="1">
      <alignment horizontal="left"/>
    </xf>
    <xf numFmtId="0" fontId="21" fillId="0" borderId="11" xfId="0" applyFont="1" applyBorder="1" applyAlignment="1">
      <alignment horizontal="left"/>
    </xf>
    <xf numFmtId="167" fontId="21" fillId="0" borderId="33" xfId="0" applyNumberFormat="1" applyFont="1" applyBorder="1" applyAlignment="1">
      <alignment horizontal="center"/>
    </xf>
    <xf numFmtId="0" fontId="21" fillId="0" borderId="33" xfId="0" applyFont="1" applyBorder="1" applyAlignment="1">
      <alignment horizontal="left"/>
    </xf>
    <xf numFmtId="0" fontId="21" fillId="0" borderId="44" xfId="0" applyFont="1" applyBorder="1" applyAlignment="1">
      <alignment horizontal="left"/>
    </xf>
    <xf numFmtId="165" fontId="21" fillId="0" borderId="33" xfId="0" applyNumberFormat="1" applyFont="1" applyBorder="1" applyAlignment="1">
      <alignment horizontal="center"/>
    </xf>
    <xf numFmtId="0" fontId="31" fillId="0" borderId="56" xfId="0" applyFont="1" applyBorder="1"/>
    <xf numFmtId="2" fontId="21" fillId="0" borderId="14" xfId="0" applyNumberFormat="1" applyFont="1" applyBorder="1" applyAlignment="1">
      <alignment horizontal="center"/>
    </xf>
    <xf numFmtId="2" fontId="21" fillId="0" borderId="15" xfId="0" applyNumberFormat="1" applyFont="1" applyBorder="1" applyAlignment="1">
      <alignment horizontal="center"/>
    </xf>
    <xf numFmtId="0" fontId="30" fillId="0" borderId="1" xfId="0" applyFont="1" applyBorder="1"/>
    <xf numFmtId="165" fontId="21" fillId="0" borderId="2" xfId="0" applyNumberFormat="1" applyFont="1" applyBorder="1" applyAlignment="1">
      <alignment horizontal="center"/>
    </xf>
    <xf numFmtId="165" fontId="21" fillId="0" borderId="50" xfId="0" applyNumberFormat="1" applyFont="1" applyBorder="1" applyAlignment="1">
      <alignment horizontal="center"/>
    </xf>
    <xf numFmtId="0" fontId="22" fillId="0" borderId="57" xfId="0" applyFont="1" applyBorder="1" applyAlignment="1">
      <alignment horizontal="center"/>
    </xf>
    <xf numFmtId="165" fontId="32" fillId="0" borderId="33" xfId="0" applyNumberFormat="1" applyFont="1" applyBorder="1" applyAlignment="1">
      <alignment horizontal="center"/>
    </xf>
    <xf numFmtId="165" fontId="21" fillId="0" borderId="44" xfId="0" applyNumberFormat="1" applyFont="1" applyBorder="1" applyAlignment="1">
      <alignment horizontal="center"/>
    </xf>
    <xf numFmtId="0" fontId="33" fillId="0" borderId="2" xfId="0" applyFont="1" applyBorder="1" applyAlignment="1">
      <alignment horizontal="centerContinuous"/>
    </xf>
    <xf numFmtId="0" fontId="33" fillId="0" borderId="50" xfId="0" applyFont="1" applyBorder="1" applyAlignment="1">
      <alignment horizontal="centerContinuous"/>
    </xf>
    <xf numFmtId="0" fontId="20" fillId="0" borderId="51" xfId="0" applyFont="1" applyBorder="1"/>
    <xf numFmtId="0" fontId="22" fillId="0" borderId="44" xfId="0" applyFont="1" applyBorder="1" applyAlignment="1">
      <alignment horizontal="centerContinuous"/>
    </xf>
    <xf numFmtId="168" fontId="21" fillId="0" borderId="33" xfId="0" applyNumberFormat="1" applyFont="1" applyBorder="1" applyAlignment="1">
      <alignment horizontal="center"/>
    </xf>
    <xf numFmtId="166" fontId="21" fillId="0" borderId="44" xfId="0" applyNumberFormat="1" applyFont="1" applyBorder="1" applyAlignment="1">
      <alignment horizontal="center"/>
    </xf>
    <xf numFmtId="168" fontId="21" fillId="0" borderId="44" xfId="0" applyNumberFormat="1" applyFont="1" applyBorder="1" applyAlignment="1">
      <alignment horizontal="center"/>
    </xf>
    <xf numFmtId="0" fontId="22" fillId="0" borderId="7" xfId="0" applyFont="1" applyBorder="1"/>
    <xf numFmtId="0" fontId="21" fillId="0" borderId="19" xfId="0" applyFont="1" applyBorder="1" applyAlignment="1">
      <alignment horizontal="center"/>
    </xf>
    <xf numFmtId="0" fontId="22" fillId="0" borderId="58" xfId="0" applyFont="1" applyBorder="1" applyAlignment="1">
      <alignment horizontal="right"/>
    </xf>
    <xf numFmtId="2" fontId="21" fillId="0" borderId="47" xfId="0" applyNumberFormat="1" applyFont="1" applyBorder="1" applyAlignment="1">
      <alignment horizontal="center"/>
    </xf>
    <xf numFmtId="2" fontId="21" fillId="0" borderId="48" xfId="0" applyNumberFormat="1" applyFont="1" applyBorder="1" applyAlignment="1">
      <alignment horizontal="center"/>
    </xf>
    <xf numFmtId="166" fontId="21" fillId="0" borderId="47" xfId="0" applyNumberFormat="1" applyFont="1" applyBorder="1" applyAlignment="1">
      <alignment horizontal="center"/>
    </xf>
    <xf numFmtId="166" fontId="21" fillId="0" borderId="48" xfId="0" applyNumberFormat="1" applyFont="1" applyBorder="1" applyAlignment="1">
      <alignment horizontal="center"/>
    </xf>
    <xf numFmtId="0" fontId="21" fillId="0" borderId="19" xfId="0" applyFont="1" applyBorder="1"/>
    <xf numFmtId="0" fontId="22" fillId="0" borderId="2" xfId="0" applyFont="1" applyBorder="1" applyAlignment="1">
      <alignment horizontal="centerContinuous"/>
    </xf>
    <xf numFmtId="0" fontId="21" fillId="0" borderId="2" xfId="0" applyFont="1" applyBorder="1" applyAlignment="1">
      <alignment horizontal="centerContinuous"/>
    </xf>
    <xf numFmtId="0" fontId="30" fillId="0" borderId="59" xfId="0" applyFont="1" applyBorder="1"/>
    <xf numFmtId="0" fontId="21" fillId="0" borderId="51" xfId="0" applyFont="1" applyBorder="1"/>
    <xf numFmtId="0" fontId="21" fillId="0" borderId="34" xfId="0" applyFont="1" applyBorder="1" applyAlignment="1">
      <alignment horizontal="right"/>
    </xf>
    <xf numFmtId="2" fontId="21" fillId="0" borderId="53" xfId="0" applyNumberFormat="1" applyFont="1" applyBorder="1" applyAlignment="1">
      <alignment horizontal="center"/>
    </xf>
    <xf numFmtId="0" fontId="21" fillId="0" borderId="58" xfId="0" applyFont="1" applyBorder="1"/>
    <xf numFmtId="0" fontId="21" fillId="0" borderId="60" xfId="0" applyFont="1" applyBorder="1" applyAlignment="1">
      <alignment horizontal="right"/>
    </xf>
    <xf numFmtId="2" fontId="21" fillId="0" borderId="61" xfId="0" applyNumberFormat="1" applyFont="1" applyBorder="1" applyAlignment="1">
      <alignment horizontal="center"/>
    </xf>
    <xf numFmtId="0" fontId="20" fillId="0" borderId="5" xfId="0" applyFont="1" applyBorder="1"/>
    <xf numFmtId="0" fontId="21" fillId="0" borderId="6" xfId="0" applyFont="1" applyBorder="1"/>
    <xf numFmtId="0" fontId="21" fillId="0" borderId="53" xfId="0" applyFont="1" applyBorder="1" applyAlignment="1">
      <alignment horizontal="center"/>
    </xf>
    <xf numFmtId="0" fontId="22" fillId="0" borderId="33" xfId="0" applyFont="1" applyBorder="1" applyAlignment="1">
      <alignment horizontal="right"/>
    </xf>
    <xf numFmtId="0" fontId="22" fillId="0" borderId="0" xfId="0" applyFont="1" applyAlignment="1">
      <alignment horizontal="center"/>
    </xf>
    <xf numFmtId="0" fontId="22" fillId="0" borderId="58" xfId="0" applyFont="1" applyBorder="1"/>
    <xf numFmtId="166" fontId="21" fillId="0" borderId="0" xfId="0" applyNumberFormat="1" applyFont="1" applyAlignment="1">
      <alignment horizontal="center"/>
    </xf>
    <xf numFmtId="165" fontId="21" fillId="0" borderId="48" xfId="0" applyNumberFormat="1" applyFont="1" applyBorder="1" applyAlignment="1">
      <alignment horizontal="center"/>
    </xf>
    <xf numFmtId="0" fontId="21" fillId="0" borderId="2" xfId="0" applyFont="1" applyBorder="1" applyAlignment="1">
      <alignment horizontal="right"/>
    </xf>
    <xf numFmtId="49" fontId="21" fillId="0" borderId="2" xfId="0" applyNumberFormat="1" applyFont="1" applyBorder="1" applyAlignment="1">
      <alignment horizontal="center"/>
    </xf>
    <xf numFmtId="0" fontId="22" fillId="0" borderId="62" xfId="0" applyFont="1" applyBorder="1" applyAlignment="1">
      <alignment horizontal="right"/>
    </xf>
    <xf numFmtId="165" fontId="21" fillId="0" borderId="63" xfId="0" applyNumberFormat="1" applyFont="1" applyBorder="1" applyAlignment="1">
      <alignment horizontal="center"/>
    </xf>
    <xf numFmtId="0" fontId="22" fillId="0" borderId="64" xfId="0" applyFont="1" applyBorder="1" applyAlignment="1">
      <alignment horizontal="right"/>
    </xf>
    <xf numFmtId="165" fontId="21" fillId="0" borderId="65" xfId="0" applyNumberFormat="1" applyFont="1" applyBorder="1" applyAlignment="1">
      <alignment horizontal="center"/>
    </xf>
    <xf numFmtId="0" fontId="22" fillId="0" borderId="66" xfId="0" applyFont="1" applyBorder="1" applyAlignment="1">
      <alignment horizontal="center"/>
    </xf>
    <xf numFmtId="0" fontId="22" fillId="0" borderId="63" xfId="0" applyFont="1" applyBorder="1" applyAlignment="1">
      <alignment horizontal="center"/>
    </xf>
    <xf numFmtId="0" fontId="22" fillId="0" borderId="67" xfId="0" applyFont="1" applyBorder="1" applyAlignment="1">
      <alignment horizontal="right"/>
    </xf>
    <xf numFmtId="165" fontId="21" fillId="0" borderId="31" xfId="0" applyNumberFormat="1" applyFont="1" applyBorder="1" applyAlignment="1">
      <alignment horizontal="center"/>
    </xf>
    <xf numFmtId="0" fontId="21" fillId="0" borderId="68" xfId="0" applyFont="1" applyBorder="1" applyAlignment="1">
      <alignment horizontal="center"/>
    </xf>
    <xf numFmtId="0" fontId="21" fillId="0" borderId="69" xfId="0" applyFont="1" applyBorder="1" applyAlignment="1">
      <alignment horizontal="center"/>
    </xf>
    <xf numFmtId="0" fontId="22" fillId="0" borderId="70" xfId="0" applyFont="1" applyBorder="1" applyAlignment="1">
      <alignment horizontal="right"/>
    </xf>
    <xf numFmtId="165" fontId="21" fillId="0" borderId="9" xfId="0" applyNumberFormat="1" applyFont="1" applyBorder="1" applyAlignment="1">
      <alignment horizontal="center"/>
    </xf>
    <xf numFmtId="0" fontId="21" fillId="0" borderId="41" xfId="0" applyFont="1" applyBorder="1" applyAlignment="1">
      <alignment horizontal="center"/>
    </xf>
    <xf numFmtId="0" fontId="21" fillId="0" borderId="11" xfId="0" applyFont="1" applyBorder="1" applyAlignment="1">
      <alignment horizontal="center"/>
    </xf>
    <xf numFmtId="2" fontId="21" fillId="0" borderId="69" xfId="0" applyNumberFormat="1" applyFont="1" applyBorder="1" applyAlignment="1">
      <alignment horizontal="center"/>
    </xf>
    <xf numFmtId="0" fontId="30" fillId="0" borderId="62" xfId="0" applyFont="1" applyBorder="1"/>
    <xf numFmtId="0" fontId="21" fillId="0" borderId="71" xfId="0" applyFont="1" applyBorder="1"/>
    <xf numFmtId="0" fontId="21" fillId="0" borderId="63" xfId="0" applyFont="1" applyBorder="1"/>
    <xf numFmtId="165" fontId="21" fillId="0" borderId="68" xfId="0" applyNumberFormat="1" applyFont="1" applyBorder="1" applyAlignment="1">
      <alignment horizontal="center"/>
    </xf>
    <xf numFmtId="166" fontId="21" fillId="0" borderId="68" xfId="0" applyNumberFormat="1" applyFont="1" applyBorder="1" applyAlignment="1">
      <alignment horizontal="center"/>
    </xf>
    <xf numFmtId="0" fontId="22" fillId="0" borderId="33" xfId="0" applyFont="1" applyBorder="1"/>
    <xf numFmtId="0" fontId="22" fillId="0" borderId="72" xfId="0" applyFont="1" applyBorder="1" applyAlignment="1">
      <alignment horizontal="right"/>
    </xf>
    <xf numFmtId="165" fontId="21" fillId="0" borderId="55" xfId="0" applyNumberFormat="1" applyFont="1" applyBorder="1" applyAlignment="1">
      <alignment horizontal="center"/>
    </xf>
    <xf numFmtId="0" fontId="21" fillId="0" borderId="55" xfId="0" applyFont="1" applyBorder="1" applyAlignment="1">
      <alignment horizontal="center"/>
    </xf>
    <xf numFmtId="1" fontId="21" fillId="0" borderId="41" xfId="0" applyNumberFormat="1" applyFont="1" applyBorder="1" applyAlignment="1">
      <alignment horizontal="center"/>
    </xf>
    <xf numFmtId="0" fontId="22" fillId="0" borderId="68" xfId="0" applyFont="1" applyBorder="1" applyAlignment="1">
      <alignment horizontal="right"/>
    </xf>
    <xf numFmtId="2" fontId="21" fillId="0" borderId="19" xfId="0" applyNumberFormat="1" applyFont="1" applyBorder="1" applyAlignment="1">
      <alignment horizontal="center"/>
    </xf>
    <xf numFmtId="0" fontId="22" fillId="0" borderId="55" xfId="0" applyFont="1" applyBorder="1" applyAlignment="1">
      <alignment horizontal="right"/>
    </xf>
    <xf numFmtId="0" fontId="21" fillId="0" borderId="47" xfId="0" applyFont="1" applyBorder="1" applyAlignment="1">
      <alignment horizontal="center"/>
    </xf>
    <xf numFmtId="0" fontId="22" fillId="0" borderId="47" xfId="0" applyFont="1" applyBorder="1"/>
    <xf numFmtId="0" fontId="22" fillId="0" borderId="41" xfId="0" applyFont="1" applyBorder="1" applyAlignment="1">
      <alignment horizontal="right"/>
    </xf>
    <xf numFmtId="0" fontId="21" fillId="0" borderId="15" xfId="0" applyFont="1" applyBorder="1" applyAlignment="1">
      <alignment horizontal="center"/>
    </xf>
    <xf numFmtId="0" fontId="22" fillId="0" borderId="0" xfId="0" applyFont="1" applyAlignment="1">
      <alignment horizontal="left"/>
    </xf>
    <xf numFmtId="2" fontId="35" fillId="0" borderId="10" xfId="0" applyNumberFormat="1" applyFont="1" applyBorder="1" applyAlignment="1">
      <alignment horizontal="centerContinuous"/>
    </xf>
    <xf numFmtId="0" fontId="21" fillId="0" borderId="11" xfId="0" applyFont="1" applyBorder="1" applyAlignment="1">
      <alignment horizontal="centerContinuous"/>
    </xf>
    <xf numFmtId="0" fontId="27" fillId="0" borderId="0" xfId="0" applyFont="1" applyAlignment="1">
      <alignment horizontal="left"/>
    </xf>
    <xf numFmtId="0" fontId="35" fillId="0" borderId="10" xfId="0" applyFont="1" applyBorder="1" applyAlignment="1">
      <alignment horizontal="center"/>
    </xf>
    <xf numFmtId="0" fontId="35" fillId="0" borderId="11" xfId="0" applyFont="1" applyBorder="1" applyAlignment="1">
      <alignment horizontal="center"/>
    </xf>
    <xf numFmtId="0" fontId="22" fillId="0" borderId="47" xfId="0" applyFont="1" applyBorder="1" applyAlignment="1">
      <alignment horizontal="right"/>
    </xf>
    <xf numFmtId="0" fontId="35" fillId="0" borderId="13" xfId="0" applyFont="1" applyBorder="1" applyAlignment="1">
      <alignment horizontal="center"/>
    </xf>
    <xf numFmtId="0" fontId="36" fillId="0" borderId="3" xfId="0" applyFont="1" applyBorder="1"/>
    <xf numFmtId="0" fontId="36" fillId="0" borderId="5" xfId="0" applyFont="1" applyBorder="1"/>
    <xf numFmtId="0" fontId="36" fillId="0" borderId="6" xfId="0" applyFont="1" applyBorder="1"/>
    <xf numFmtId="0" fontId="22" fillId="0" borderId="51" xfId="0" applyFont="1" applyBorder="1" applyAlignment="1">
      <alignment horizontal="center"/>
    </xf>
    <xf numFmtId="0" fontId="36" fillId="0" borderId="7" xfId="0" applyFont="1" applyBorder="1"/>
    <xf numFmtId="0" fontId="36" fillId="0" borderId="0" xfId="0" applyFont="1"/>
    <xf numFmtId="0" fontId="36" fillId="0" borderId="19" xfId="0" applyFont="1" applyBorder="1"/>
    <xf numFmtId="2" fontId="22" fillId="0" borderId="72" xfId="0" quotePrefix="1" applyNumberFormat="1" applyFont="1" applyBorder="1" applyAlignment="1">
      <alignment horizontal="center"/>
    </xf>
    <xf numFmtId="165" fontId="21" fillId="0" borderId="73" xfId="0" applyNumberFormat="1" applyFont="1" applyBorder="1" applyAlignment="1">
      <alignment horizontal="center"/>
    </xf>
    <xf numFmtId="2" fontId="22" fillId="0" borderId="55" xfId="0" quotePrefix="1" applyNumberFormat="1" applyFont="1" applyBorder="1" applyAlignment="1">
      <alignment horizontal="center"/>
    </xf>
    <xf numFmtId="166" fontId="22" fillId="0" borderId="72" xfId="0" quotePrefix="1" applyNumberFormat="1" applyFont="1" applyBorder="1" applyAlignment="1">
      <alignment horizontal="center"/>
    </xf>
    <xf numFmtId="2" fontId="22" fillId="0" borderId="55" xfId="0" applyNumberFormat="1" applyFont="1" applyBorder="1" applyAlignment="1">
      <alignment horizontal="center"/>
    </xf>
    <xf numFmtId="2" fontId="27" fillId="0" borderId="20" xfId="0" applyNumberFormat="1" applyFont="1" applyBorder="1" applyAlignment="1">
      <alignment horizontal="center"/>
    </xf>
    <xf numFmtId="165" fontId="21" fillId="0" borderId="20" xfId="0" applyNumberFormat="1" applyFont="1" applyBorder="1" applyAlignment="1">
      <alignment horizontal="center"/>
    </xf>
    <xf numFmtId="2" fontId="22" fillId="0" borderId="56" xfId="0" quotePrefix="1" applyNumberFormat="1" applyFont="1" applyBorder="1" applyAlignment="1">
      <alignment horizontal="center"/>
    </xf>
    <xf numFmtId="165" fontId="21" fillId="0" borderId="74" xfId="0" applyNumberFormat="1" applyFont="1" applyBorder="1" applyAlignment="1">
      <alignment horizontal="center"/>
    </xf>
    <xf numFmtId="165" fontId="21" fillId="0" borderId="75" xfId="0" applyNumberFormat="1" applyFont="1" applyBorder="1" applyAlignment="1">
      <alignment horizontal="center"/>
    </xf>
    <xf numFmtId="2" fontId="27" fillId="0" borderId="14" xfId="0" applyNumberFormat="1" applyFont="1" applyBorder="1" applyAlignment="1">
      <alignment horizontal="center"/>
    </xf>
    <xf numFmtId="165" fontId="21" fillId="0" borderId="14" xfId="0" applyNumberFormat="1" applyFont="1" applyBorder="1" applyAlignment="1">
      <alignment horizontal="center"/>
    </xf>
    <xf numFmtId="165" fontId="21" fillId="0" borderId="15" xfId="0" applyNumberFormat="1" applyFont="1" applyBorder="1" applyAlignment="1">
      <alignment horizontal="center"/>
    </xf>
    <xf numFmtId="0" fontId="36" fillId="0" borderId="12" xfId="0" applyFont="1" applyBorder="1"/>
    <xf numFmtId="0" fontId="36" fillId="0" borderId="13" xfId="0" applyFont="1" applyBorder="1"/>
    <xf numFmtId="0" fontId="36" fillId="0" borderId="15" xfId="0" applyFont="1" applyBorder="1"/>
    <xf numFmtId="0" fontId="38" fillId="0" borderId="0" xfId="4" applyFont="1"/>
    <xf numFmtId="0" fontId="39" fillId="0" borderId="0" xfId="4" applyFont="1"/>
    <xf numFmtId="0" fontId="41" fillId="2" borderId="0" xfId="4" applyFont="1" applyFill="1" applyAlignment="1">
      <alignment horizontal="right"/>
    </xf>
    <xf numFmtId="0" fontId="42" fillId="2" borderId="0" xfId="4" applyFont="1" applyFill="1"/>
    <xf numFmtId="0" fontId="43" fillId="2" borderId="0" xfId="4" applyFont="1" applyFill="1"/>
    <xf numFmtId="0" fontId="40" fillId="2" borderId="0" xfId="4" applyFont="1" applyFill="1" applyAlignment="1">
      <alignment horizontal="center"/>
    </xf>
    <xf numFmtId="0" fontId="44" fillId="0" borderId="76" xfId="4" applyFont="1" applyBorder="1" applyAlignment="1">
      <alignment horizontal="left" vertical="center"/>
    </xf>
    <xf numFmtId="0" fontId="44" fillId="0" borderId="77" xfId="4" applyFont="1" applyBorder="1" applyAlignment="1">
      <alignment vertical="center"/>
    </xf>
    <xf numFmtId="0" fontId="15" fillId="0" borderId="77" xfId="4" applyBorder="1"/>
    <xf numFmtId="0" fontId="44" fillId="0" borderId="39" xfId="4" applyFont="1" applyBorder="1" applyAlignment="1">
      <alignment horizontal="right" vertical="center"/>
    </xf>
    <xf numFmtId="0" fontId="45" fillId="0" borderId="0" xfId="4" applyFont="1"/>
    <xf numFmtId="0" fontId="46" fillId="0" borderId="76" xfId="4" applyFont="1" applyBorder="1"/>
    <xf numFmtId="0" fontId="45" fillId="0" borderId="39" xfId="4" applyFont="1" applyBorder="1"/>
    <xf numFmtId="0" fontId="46" fillId="0" borderId="39" xfId="4" applyFont="1" applyBorder="1"/>
    <xf numFmtId="0" fontId="47" fillId="0" borderId="0" xfId="4" applyFont="1"/>
    <xf numFmtId="0" fontId="48" fillId="2" borderId="5" xfId="4" applyFont="1" applyFill="1" applyBorder="1" applyAlignment="1">
      <alignment horizontal="center"/>
    </xf>
    <xf numFmtId="0" fontId="48" fillId="2" borderId="4" xfId="4" applyFont="1" applyFill="1" applyBorder="1" applyAlignment="1">
      <alignment horizontal="center"/>
    </xf>
    <xf numFmtId="0" fontId="48" fillId="2" borderId="0" xfId="4" quotePrefix="1" applyFont="1" applyFill="1" applyAlignment="1">
      <alignment horizontal="left"/>
    </xf>
    <xf numFmtId="0" fontId="49" fillId="2" borderId="78" xfId="4" applyFont="1" applyFill="1" applyBorder="1" applyAlignment="1">
      <alignment horizontal="right"/>
    </xf>
    <xf numFmtId="0" fontId="48" fillId="2" borderId="79" xfId="4" applyFont="1" applyFill="1" applyBorder="1" applyAlignment="1">
      <alignment horizontal="center"/>
    </xf>
    <xf numFmtId="0" fontId="48" fillId="2" borderId="19" xfId="4" applyFont="1" applyFill="1" applyBorder="1" applyAlignment="1">
      <alignment horizontal="center"/>
    </xf>
    <xf numFmtId="0" fontId="46" fillId="0" borderId="7" xfId="4" applyFont="1" applyBorder="1"/>
    <xf numFmtId="0" fontId="45" fillId="0" borderId="19" xfId="4" applyFont="1" applyBorder="1"/>
    <xf numFmtId="0" fontId="46" fillId="0" borderId="19" xfId="4" applyFont="1" applyBorder="1"/>
    <xf numFmtId="0" fontId="50" fillId="2" borderId="87" xfId="4" applyFont="1" applyFill="1" applyBorder="1"/>
    <xf numFmtId="0" fontId="50" fillId="2" borderId="88" xfId="4" applyFont="1" applyFill="1" applyBorder="1"/>
    <xf numFmtId="0" fontId="53" fillId="2" borderId="88" xfId="4" applyFont="1" applyFill="1" applyBorder="1"/>
    <xf numFmtId="0" fontId="53" fillId="2" borderId="89" xfId="4" applyFont="1" applyFill="1" applyBorder="1"/>
    <xf numFmtId="165" fontId="52" fillId="2" borderId="84" xfId="4" applyNumberFormat="1" applyFont="1" applyFill="1" applyBorder="1" applyAlignment="1">
      <alignment horizontal="center"/>
    </xf>
    <xf numFmtId="0" fontId="52" fillId="2" borderId="90" xfId="4" applyFont="1" applyFill="1" applyBorder="1" applyAlignment="1">
      <alignment horizontal="center"/>
    </xf>
    <xf numFmtId="0" fontId="50" fillId="2" borderId="91" xfId="4" applyFont="1" applyFill="1" applyBorder="1"/>
    <xf numFmtId="0" fontId="50" fillId="2" borderId="92" xfId="4" applyFont="1" applyFill="1" applyBorder="1"/>
    <xf numFmtId="0" fontId="53" fillId="2" borderId="92" xfId="4" applyFont="1" applyFill="1" applyBorder="1"/>
    <xf numFmtId="0" fontId="53" fillId="2" borderId="93" xfId="4" applyFont="1" applyFill="1" applyBorder="1"/>
    <xf numFmtId="1" fontId="52" fillId="2" borderId="84" xfId="4" applyNumberFormat="1" applyFont="1" applyFill="1" applyBorder="1" applyAlignment="1">
      <alignment horizontal="center"/>
    </xf>
    <xf numFmtId="0" fontId="52" fillId="2" borderId="94" xfId="4" applyFont="1" applyFill="1" applyBorder="1" applyAlignment="1">
      <alignment horizontal="center"/>
    </xf>
    <xf numFmtId="0" fontId="54" fillId="2" borderId="88" xfId="4" applyFont="1" applyFill="1" applyBorder="1"/>
    <xf numFmtId="0" fontId="55" fillId="2" borderId="89" xfId="4" applyFont="1" applyFill="1" applyBorder="1" applyAlignment="1">
      <alignment horizontal="left"/>
    </xf>
    <xf numFmtId="0" fontId="52" fillId="2" borderId="84" xfId="4" applyFont="1" applyFill="1" applyBorder="1" applyAlignment="1">
      <alignment horizontal="center"/>
    </xf>
    <xf numFmtId="0" fontId="46" fillId="0" borderId="12" xfId="4" applyFont="1" applyBorder="1"/>
    <xf numFmtId="0" fontId="46" fillId="0" borderId="15" xfId="4" applyFont="1" applyBorder="1"/>
    <xf numFmtId="0" fontId="50" fillId="2" borderId="96" xfId="4" applyFont="1" applyFill="1" applyBorder="1"/>
    <xf numFmtId="0" fontId="50" fillId="2" borderId="97" xfId="4" applyFont="1" applyFill="1" applyBorder="1"/>
    <xf numFmtId="0" fontId="54" fillId="2" borderId="97" xfId="4" applyFont="1" applyFill="1" applyBorder="1"/>
    <xf numFmtId="0" fontId="52" fillId="2" borderId="98" xfId="4" applyFont="1" applyFill="1" applyBorder="1" applyAlignment="1">
      <alignment horizontal="center"/>
    </xf>
    <xf numFmtId="0" fontId="52" fillId="2" borderId="99" xfId="4" applyFont="1" applyFill="1" applyBorder="1" applyAlignment="1">
      <alignment horizontal="center"/>
    </xf>
    <xf numFmtId="0" fontId="45" fillId="0" borderId="15" xfId="4" applyFont="1" applyBorder="1"/>
    <xf numFmtId="0" fontId="50" fillId="2" borderId="83" xfId="4" quotePrefix="1" applyFont="1" applyFill="1" applyBorder="1" applyAlignment="1">
      <alignment horizontal="left"/>
    </xf>
    <xf numFmtId="0" fontId="47" fillId="0" borderId="89" xfId="4" applyFont="1" applyBorder="1"/>
    <xf numFmtId="0" fontId="50" fillId="2" borderId="32" xfId="4" quotePrefix="1" applyFont="1" applyFill="1" applyBorder="1" applyAlignment="1">
      <alignment horizontal="left"/>
    </xf>
    <xf numFmtId="0" fontId="50" fillId="2" borderId="81" xfId="4" applyFont="1" applyFill="1" applyBorder="1"/>
    <xf numFmtId="0" fontId="53" fillId="2" borderId="81" xfId="4" applyFont="1" applyFill="1" applyBorder="1"/>
    <xf numFmtId="0" fontId="57" fillId="2" borderId="81" xfId="4" applyFont="1" applyFill="1" applyBorder="1" applyAlignment="1">
      <alignment horizontal="right"/>
    </xf>
    <xf numFmtId="49" fontId="52" fillId="2" borderId="81" xfId="4" applyNumberFormat="1" applyFont="1" applyFill="1" applyBorder="1" applyAlignment="1">
      <alignment horizontal="center"/>
    </xf>
    <xf numFmtId="0" fontId="52" fillId="2" borderId="103" xfId="4" applyFont="1" applyFill="1" applyBorder="1" applyAlignment="1">
      <alignment horizontal="center"/>
    </xf>
    <xf numFmtId="0" fontId="50" fillId="2" borderId="84" xfId="4" applyFont="1" applyFill="1" applyBorder="1"/>
    <xf numFmtId="0" fontId="53" fillId="2" borderId="84" xfId="4" applyFont="1" applyFill="1" applyBorder="1"/>
    <xf numFmtId="0" fontId="50" fillId="2" borderId="37" xfId="4" quotePrefix="1" applyFont="1" applyFill="1" applyBorder="1" applyAlignment="1">
      <alignment horizontal="left"/>
    </xf>
    <xf numFmtId="0" fontId="50" fillId="2" borderId="98" xfId="4" applyFont="1" applyFill="1" applyBorder="1"/>
    <xf numFmtId="0" fontId="53" fillId="2" borderId="98" xfId="4" applyFont="1" applyFill="1" applyBorder="1"/>
    <xf numFmtId="0" fontId="50" fillId="2" borderId="83" xfId="4" applyFont="1" applyFill="1" applyBorder="1" applyAlignment="1">
      <alignment horizontal="left"/>
    </xf>
    <xf numFmtId="0" fontId="45" fillId="2" borderId="104" xfId="4" applyFont="1" applyFill="1" applyBorder="1"/>
    <xf numFmtId="0" fontId="45" fillId="2" borderId="89" xfId="4" applyFont="1" applyFill="1" applyBorder="1"/>
    <xf numFmtId="0" fontId="50" fillId="2" borderId="83" xfId="4" applyFont="1" applyFill="1" applyBorder="1"/>
    <xf numFmtId="0" fontId="45" fillId="2" borderId="88" xfId="4" applyFont="1" applyFill="1" applyBorder="1"/>
    <xf numFmtId="0" fontId="50" fillId="2" borderId="104" xfId="4" applyFont="1" applyFill="1" applyBorder="1"/>
    <xf numFmtId="0" fontId="57" fillId="2" borderId="89" xfId="4" applyFont="1" applyFill="1" applyBorder="1" applyAlignment="1">
      <alignment horizontal="right"/>
    </xf>
    <xf numFmtId="0" fontId="50" fillId="2" borderId="80" xfId="4" quotePrefix="1" applyFont="1" applyFill="1" applyBorder="1" applyAlignment="1">
      <alignment horizontal="left"/>
    </xf>
    <xf numFmtId="0" fontId="47" fillId="0" borderId="111" xfId="4" applyFont="1" applyBorder="1"/>
    <xf numFmtId="0" fontId="50" fillId="2" borderId="104" xfId="4" quotePrefix="1" applyFont="1" applyFill="1" applyBorder="1" applyAlignment="1">
      <alignment horizontal="left"/>
    </xf>
    <xf numFmtId="0" fontId="45" fillId="2" borderId="84" xfId="4" applyFont="1" applyFill="1" applyBorder="1"/>
    <xf numFmtId="0" fontId="50" fillId="2" borderId="112" xfId="4" applyFont="1" applyFill="1" applyBorder="1" applyAlignment="1">
      <alignment horizontal="left"/>
    </xf>
    <xf numFmtId="0" fontId="50" fillId="2" borderId="88" xfId="4" quotePrefix="1" applyFont="1" applyFill="1" applyBorder="1" applyAlignment="1">
      <alignment horizontal="center"/>
    </xf>
    <xf numFmtId="0" fontId="45" fillId="2" borderId="89" xfId="4" quotePrefix="1" applyFont="1" applyFill="1" applyBorder="1" applyAlignment="1">
      <alignment horizontal="center"/>
    </xf>
    <xf numFmtId="0" fontId="50" fillId="2" borderId="113" xfId="4" applyFont="1" applyFill="1" applyBorder="1"/>
    <xf numFmtId="0" fontId="47" fillId="0" borderId="114" xfId="4" applyFont="1" applyBorder="1"/>
    <xf numFmtId="0" fontId="52" fillId="0" borderId="114" xfId="4" applyFont="1" applyBorder="1" applyAlignment="1">
      <alignment horizontal="center"/>
    </xf>
    <xf numFmtId="0" fontId="52" fillId="0" borderId="115" xfId="4" applyFont="1" applyBorder="1" applyAlignment="1">
      <alignment horizontal="center"/>
    </xf>
    <xf numFmtId="0" fontId="50" fillId="2" borderId="116" xfId="4" applyFont="1" applyFill="1" applyBorder="1" applyAlignment="1">
      <alignment horizontal="center"/>
    </xf>
    <xf numFmtId="0" fontId="50" fillId="2" borderId="97" xfId="4" quotePrefix="1" applyFont="1" applyFill="1" applyBorder="1" applyAlignment="1">
      <alignment horizontal="center"/>
    </xf>
    <xf numFmtId="0" fontId="45" fillId="2" borderId="117" xfId="4" quotePrefix="1" applyFont="1" applyFill="1" applyBorder="1" applyAlignment="1">
      <alignment horizontal="center"/>
    </xf>
    <xf numFmtId="0" fontId="52" fillId="0" borderId="89" xfId="4" applyFont="1" applyBorder="1" applyAlignment="1">
      <alignment horizontal="center"/>
    </xf>
    <xf numFmtId="0" fontId="52" fillId="0" borderId="94" xfId="4" applyFont="1" applyBorder="1" applyAlignment="1">
      <alignment horizontal="center"/>
    </xf>
    <xf numFmtId="0" fontId="52" fillId="0" borderId="12" xfId="4" applyFont="1" applyBorder="1"/>
    <xf numFmtId="0" fontId="58" fillId="0" borderId="15" xfId="4" applyFont="1" applyBorder="1"/>
    <xf numFmtId="0" fontId="41" fillId="0" borderId="120" xfId="4" applyFont="1" applyBorder="1" applyAlignment="1">
      <alignment horizontal="left"/>
    </xf>
    <xf numFmtId="0" fontId="41" fillId="0" borderId="30" xfId="4" applyFont="1" applyBorder="1" applyAlignment="1">
      <alignment horizontal="left"/>
    </xf>
    <xf numFmtId="0" fontId="60" fillId="2" borderId="121" xfId="4" applyFont="1" applyFill="1" applyBorder="1" applyAlignment="1">
      <alignment horizontal="center"/>
    </xf>
    <xf numFmtId="165" fontId="52" fillId="0" borderId="89" xfId="4" applyNumberFormat="1" applyFont="1" applyBorder="1" applyAlignment="1">
      <alignment horizontal="center"/>
    </xf>
    <xf numFmtId="0" fontId="50" fillId="2" borderId="122" xfId="4" applyFont="1" applyFill="1" applyBorder="1" applyAlignment="1">
      <alignment horizontal="left"/>
    </xf>
    <xf numFmtId="0" fontId="45" fillId="2" borderId="123" xfId="4" applyFont="1" applyFill="1" applyBorder="1"/>
    <xf numFmtId="0" fontId="45" fillId="2" borderId="124" xfId="4" applyFont="1" applyFill="1" applyBorder="1"/>
    <xf numFmtId="0" fontId="52" fillId="2" borderId="125" xfId="4" applyFont="1" applyFill="1" applyBorder="1" applyAlignment="1">
      <alignment horizontal="center"/>
    </xf>
    <xf numFmtId="0" fontId="47" fillId="0" borderId="98" xfId="4" applyFont="1" applyBorder="1"/>
    <xf numFmtId="0" fontId="47" fillId="0" borderId="99" xfId="4" applyFont="1" applyBorder="1"/>
    <xf numFmtId="0" fontId="47" fillId="0" borderId="105" xfId="4" applyFont="1" applyBorder="1"/>
    <xf numFmtId="0" fontId="50" fillId="2" borderId="114" xfId="4" applyFont="1" applyFill="1" applyBorder="1"/>
    <xf numFmtId="0" fontId="57" fillId="2" borderId="84" xfId="4" applyFont="1" applyFill="1" applyBorder="1" applyAlignment="1">
      <alignment horizontal="right" shrinkToFit="1"/>
    </xf>
    <xf numFmtId="0" fontId="50" fillId="2" borderId="32" xfId="4" applyFont="1" applyFill="1" applyBorder="1"/>
    <xf numFmtId="0" fontId="50" fillId="2" borderId="78" xfId="4" applyFont="1" applyFill="1" applyBorder="1"/>
    <xf numFmtId="0" fontId="57" fillId="2" borderId="84" xfId="4" applyFont="1" applyFill="1" applyBorder="1" applyAlignment="1">
      <alignment horizontal="right"/>
    </xf>
    <xf numFmtId="2" fontId="52" fillId="2" borderId="84" xfId="4" applyNumberFormat="1" applyFont="1" applyFill="1" applyBorder="1" applyAlignment="1">
      <alignment horizontal="center"/>
    </xf>
    <xf numFmtId="0" fontId="57" fillId="2" borderId="78" xfId="4" applyFont="1" applyFill="1" applyBorder="1" applyAlignment="1">
      <alignment horizontal="right"/>
    </xf>
    <xf numFmtId="0" fontId="57" fillId="2" borderId="84" xfId="4" applyFont="1" applyFill="1" applyBorder="1"/>
    <xf numFmtId="0" fontId="50" fillId="2" borderId="126" xfId="4" applyFont="1" applyFill="1" applyBorder="1"/>
    <xf numFmtId="0" fontId="50" fillId="2" borderId="127" xfId="4" applyFont="1" applyFill="1" applyBorder="1"/>
    <xf numFmtId="0" fontId="50" fillId="2" borderId="128" xfId="4" applyFont="1" applyFill="1" applyBorder="1"/>
    <xf numFmtId="0" fontId="57" fillId="2" borderId="128" xfId="4" applyFont="1" applyFill="1" applyBorder="1"/>
    <xf numFmtId="165" fontId="52" fillId="2" borderId="128" xfId="4" applyNumberFormat="1" applyFont="1" applyFill="1" applyBorder="1" applyAlignment="1">
      <alignment horizontal="center"/>
    </xf>
    <xf numFmtId="0" fontId="52" fillId="2" borderId="129" xfId="4" applyFont="1" applyFill="1" applyBorder="1" applyAlignment="1">
      <alignment horizontal="center"/>
    </xf>
    <xf numFmtId="0" fontId="50" fillId="2" borderId="93" xfId="4" applyFont="1" applyFill="1" applyBorder="1"/>
    <xf numFmtId="0" fontId="50" fillId="2" borderId="121" xfId="4" applyFont="1" applyFill="1" applyBorder="1" applyAlignment="1">
      <alignment horizontal="left"/>
    </xf>
    <xf numFmtId="0" fontId="50" fillId="2" borderId="93" xfId="4" applyFont="1" applyFill="1" applyBorder="1" applyAlignment="1">
      <alignment horizontal="left"/>
    </xf>
    <xf numFmtId="1" fontId="52" fillId="2" borderId="81" xfId="4" applyNumberFormat="1" applyFont="1" applyFill="1" applyBorder="1" applyAlignment="1">
      <alignment horizontal="center"/>
    </xf>
    <xf numFmtId="0" fontId="52" fillId="2" borderId="130" xfId="4" applyFont="1" applyFill="1" applyBorder="1" applyAlignment="1">
      <alignment horizontal="center"/>
    </xf>
    <xf numFmtId="0" fontId="61" fillId="0" borderId="0" xfId="4" quotePrefix="1" applyFont="1" applyAlignment="1">
      <alignment horizontal="left"/>
    </xf>
    <xf numFmtId="0" fontId="50" fillId="2" borderId="0" xfId="4" applyFont="1" applyFill="1"/>
    <xf numFmtId="0" fontId="50" fillId="2" borderId="104" xfId="4" applyFont="1" applyFill="1" applyBorder="1" applyAlignment="1">
      <alignment horizontal="left"/>
    </xf>
    <xf numFmtId="0" fontId="50" fillId="2" borderId="89" xfId="4" applyFont="1" applyFill="1" applyBorder="1" applyAlignment="1">
      <alignment horizontal="left"/>
    </xf>
    <xf numFmtId="0" fontId="50" fillId="2" borderId="10" xfId="4" applyFont="1" applyFill="1" applyBorder="1"/>
    <xf numFmtId="0" fontId="50" fillId="2" borderId="125" xfId="4" applyFont="1" applyFill="1" applyBorder="1" applyAlignment="1">
      <alignment horizontal="left"/>
    </xf>
    <xf numFmtId="0" fontId="50" fillId="2" borderId="117" xfId="4" applyFont="1" applyFill="1" applyBorder="1" applyAlignment="1">
      <alignment horizontal="left"/>
    </xf>
    <xf numFmtId="1" fontId="52" fillId="2" borderId="98" xfId="4" applyNumberFormat="1" applyFont="1" applyFill="1" applyBorder="1" applyAlignment="1">
      <alignment horizontal="center"/>
    </xf>
    <xf numFmtId="0" fontId="52" fillId="2" borderId="131" xfId="4" applyFont="1" applyFill="1" applyBorder="1" applyAlignment="1">
      <alignment horizontal="center"/>
    </xf>
    <xf numFmtId="0" fontId="41" fillId="2" borderId="100" xfId="4" applyFont="1" applyFill="1" applyBorder="1" applyAlignment="1">
      <alignment horizontal="left"/>
    </xf>
    <xf numFmtId="0" fontId="41" fillId="2" borderId="101" xfId="4" applyFont="1" applyFill="1" applyBorder="1" applyAlignment="1">
      <alignment horizontal="left"/>
    </xf>
    <xf numFmtId="0" fontId="41" fillId="2" borderId="102" xfId="4" applyFont="1" applyFill="1" applyBorder="1" applyAlignment="1">
      <alignment horizontal="left"/>
    </xf>
    <xf numFmtId="0" fontId="43" fillId="2" borderId="32" xfId="4" applyFont="1" applyFill="1" applyBorder="1"/>
    <xf numFmtId="0" fontId="43" fillId="2" borderId="88" xfId="4" applyFont="1" applyFill="1" applyBorder="1" applyAlignment="1">
      <alignment horizontal="left"/>
    </xf>
    <xf numFmtId="0" fontId="43" fillId="2" borderId="94" xfId="4" applyFont="1" applyFill="1" applyBorder="1" applyAlignment="1">
      <alignment horizontal="left"/>
    </xf>
    <xf numFmtId="0" fontId="62" fillId="0" borderId="0" xfId="4" applyFont="1"/>
    <xf numFmtId="0" fontId="50" fillId="0" borderId="132" xfId="4" applyFont="1" applyBorder="1"/>
    <xf numFmtId="0" fontId="50" fillId="2" borderId="135" xfId="4" applyFont="1" applyFill="1" applyBorder="1"/>
    <xf numFmtId="0" fontId="63" fillId="2" borderId="136" xfId="4" applyFont="1" applyFill="1" applyBorder="1" applyAlignment="1">
      <alignment horizontal="center"/>
    </xf>
    <xf numFmtId="0" fontId="43" fillId="2" borderId="7" xfId="4" applyFont="1" applyFill="1" applyBorder="1"/>
    <xf numFmtId="0" fontId="50" fillId="2" borderId="137" xfId="4" applyFont="1" applyFill="1" applyBorder="1"/>
    <xf numFmtId="0" fontId="50" fillId="2" borderId="13" xfId="4" applyFont="1" applyFill="1" applyBorder="1"/>
    <xf numFmtId="14" fontId="45" fillId="2" borderId="140" xfId="4" applyNumberFormat="1" applyFont="1" applyFill="1" applyBorder="1" applyAlignment="1">
      <alignment horizontal="center"/>
    </xf>
    <xf numFmtId="0" fontId="43" fillId="0" borderId="13" xfId="4" applyFont="1" applyBorder="1"/>
    <xf numFmtId="0" fontId="43" fillId="2" borderId="141" xfId="4" applyFont="1" applyFill="1" applyBorder="1" applyAlignment="1">
      <alignment horizontal="left"/>
    </xf>
    <xf numFmtId="0" fontId="43" fillId="2" borderId="142" xfId="4" applyFont="1" applyFill="1" applyBorder="1" applyAlignment="1">
      <alignment horizontal="left"/>
    </xf>
    <xf numFmtId="0" fontId="43" fillId="0" borderId="0" xfId="4" applyFont="1"/>
    <xf numFmtId="0" fontId="20" fillId="0" borderId="1" xfId="5" applyBorder="1"/>
    <xf numFmtId="0" fontId="20" fillId="0" borderId="2" xfId="5" applyBorder="1"/>
    <xf numFmtId="0" fontId="20" fillId="0" borderId="52" xfId="5" applyBorder="1"/>
    <xf numFmtId="0" fontId="20" fillId="0" borderId="52" xfId="5" applyBorder="1" applyAlignment="1">
      <alignment horizontal="center"/>
    </xf>
    <xf numFmtId="0" fontId="66" fillId="0" borderId="52" xfId="5" applyFont="1" applyBorder="1" applyAlignment="1">
      <alignment horizontal="center"/>
    </xf>
    <xf numFmtId="0" fontId="20" fillId="0" borderId="0" xfId="5"/>
    <xf numFmtId="0" fontId="67" fillId="0" borderId="143" xfId="5" applyFont="1" applyBorder="1" applyAlignment="1">
      <alignment horizontal="center"/>
    </xf>
    <xf numFmtId="0" fontId="20" fillId="0" borderId="143" xfId="5" applyBorder="1" applyAlignment="1">
      <alignment horizontal="center"/>
    </xf>
    <xf numFmtId="0" fontId="66" fillId="0" borderId="143" xfId="5" applyFont="1" applyBorder="1" applyAlignment="1">
      <alignment horizontal="center"/>
    </xf>
    <xf numFmtId="0" fontId="67" fillId="0" borderId="7" xfId="5" applyFont="1" applyBorder="1" applyAlignment="1">
      <alignment horizontal="center"/>
    </xf>
    <xf numFmtId="0" fontId="67" fillId="0" borderId="0" xfId="5" applyFont="1" applyAlignment="1">
      <alignment horizontal="center"/>
    </xf>
    <xf numFmtId="0" fontId="20" fillId="0" borderId="7" xfId="5" applyBorder="1"/>
    <xf numFmtId="0" fontId="68" fillId="0" borderId="0" xfId="5" applyFont="1"/>
    <xf numFmtId="0" fontId="20" fillId="0" borderId="143" xfId="5" applyBorder="1"/>
    <xf numFmtId="0" fontId="66" fillId="0" borderId="0" xfId="5" applyFont="1"/>
    <xf numFmtId="0" fontId="66" fillId="0" borderId="143" xfId="5" applyFont="1" applyBorder="1"/>
    <xf numFmtId="170" fontId="20" fillId="0" borderId="51" xfId="5" applyNumberFormat="1" applyBorder="1"/>
    <xf numFmtId="49" fontId="20" fillId="0" borderId="33" xfId="5" applyNumberFormat="1" applyBorder="1" applyAlignment="1">
      <alignment horizontal="center"/>
    </xf>
    <xf numFmtId="49" fontId="20" fillId="0" borderId="33" xfId="5" applyNumberFormat="1" applyBorder="1"/>
    <xf numFmtId="49" fontId="66" fillId="0" borderId="33" xfId="5" applyNumberFormat="1" applyFont="1" applyBorder="1"/>
    <xf numFmtId="171" fontId="66" fillId="0" borderId="33" xfId="5" applyNumberFormat="1" applyFont="1" applyBorder="1"/>
    <xf numFmtId="0" fontId="20" fillId="0" borderId="33" xfId="5" applyBorder="1"/>
    <xf numFmtId="0" fontId="20" fillId="0" borderId="44" xfId="5" applyBorder="1"/>
    <xf numFmtId="171" fontId="20" fillId="0" borderId="33" xfId="5" applyNumberFormat="1" applyBorder="1"/>
    <xf numFmtId="0" fontId="20" fillId="0" borderId="33" xfId="5" applyBorder="1" applyAlignment="1">
      <alignment horizontal="center"/>
    </xf>
    <xf numFmtId="170" fontId="20" fillId="0" borderId="67" xfId="5" applyNumberFormat="1" applyBorder="1"/>
    <xf numFmtId="49" fontId="20" fillId="0" borderId="68" xfId="5" applyNumberFormat="1" applyBorder="1"/>
    <xf numFmtId="171" fontId="20" fillId="0" borderId="68" xfId="5" applyNumberFormat="1" applyBorder="1"/>
    <xf numFmtId="0" fontId="20" fillId="0" borderId="68" xfId="5" applyBorder="1"/>
    <xf numFmtId="0" fontId="20" fillId="0" borderId="144" xfId="5" applyBorder="1"/>
    <xf numFmtId="0" fontId="66" fillId="0" borderId="145" xfId="5" applyFont="1" applyBorder="1" applyAlignment="1">
      <alignment horizontal="center"/>
    </xf>
    <xf numFmtId="0" fontId="66" fillId="0" borderId="146" xfId="5" applyFont="1" applyBorder="1" applyAlignment="1">
      <alignment horizontal="center"/>
    </xf>
    <xf numFmtId="49" fontId="66" fillId="0" borderId="62" xfId="5" applyNumberFormat="1" applyFont="1" applyBorder="1" applyAlignment="1">
      <alignment horizontal="center"/>
    </xf>
    <xf numFmtId="0" fontId="20" fillId="0" borderId="4" xfId="5" applyBorder="1" applyAlignment="1">
      <alignment horizontal="left"/>
    </xf>
    <xf numFmtId="49" fontId="20" fillId="0" borderId="51" xfId="5" applyNumberFormat="1" applyBorder="1"/>
    <xf numFmtId="0" fontId="20" fillId="0" borderId="36" xfId="5" applyBorder="1" applyAlignment="1">
      <alignment horizontal="left"/>
    </xf>
    <xf numFmtId="49" fontId="20" fillId="0" borderId="58" xfId="5" applyNumberFormat="1" applyBorder="1"/>
    <xf numFmtId="0" fontId="20" fillId="0" borderId="46" xfId="5" applyBorder="1" applyAlignment="1">
      <alignment horizontal="left"/>
    </xf>
    <xf numFmtId="0" fontId="69" fillId="0" borderId="0" xfId="0" applyFont="1"/>
    <xf numFmtId="0" fontId="70" fillId="0" borderId="72" xfId="0" applyFont="1" applyBorder="1" applyAlignment="1">
      <alignment horizontal="right"/>
    </xf>
    <xf numFmtId="0" fontId="70" fillId="0" borderId="56" xfId="0" applyFont="1" applyBorder="1" applyAlignment="1">
      <alignment horizontal="right"/>
    </xf>
    <xf numFmtId="0" fontId="70" fillId="0" borderId="120" xfId="0" applyFont="1" applyBorder="1" applyAlignment="1">
      <alignment horizontal="center"/>
    </xf>
    <xf numFmtId="0" fontId="44" fillId="0" borderId="31" xfId="0" applyFont="1" applyBorder="1" applyAlignment="1">
      <alignment horizontal="center"/>
    </xf>
    <xf numFmtId="0" fontId="70" fillId="0" borderId="29" xfId="0" applyFont="1" applyBorder="1" applyAlignment="1">
      <alignment horizontal="center"/>
    </xf>
    <xf numFmtId="0" fontId="44" fillId="0" borderId="31" xfId="0" applyFont="1" applyBorder="1"/>
    <xf numFmtId="0" fontId="0" fillId="0" borderId="12" xfId="0" applyBorder="1"/>
    <xf numFmtId="0" fontId="44" fillId="0" borderId="14" xfId="0" applyFont="1" applyBorder="1" applyAlignment="1">
      <alignment horizontal="center"/>
    </xf>
    <xf numFmtId="0" fontId="69" fillId="0" borderId="148" xfId="0" applyFont="1" applyBorder="1" applyAlignment="1">
      <alignment horizontal="center"/>
    </xf>
    <xf numFmtId="0" fontId="44" fillId="0" borderId="14" xfId="0" applyFont="1" applyBorder="1"/>
    <xf numFmtId="0" fontId="70" fillId="0" borderId="120" xfId="0" applyFont="1" applyBorder="1" applyAlignment="1">
      <alignment horizontal="right"/>
    </xf>
    <xf numFmtId="0" fontId="44" fillId="0" borderId="69" xfId="0" applyFont="1" applyBorder="1" applyAlignment="1">
      <alignment horizontal="center"/>
    </xf>
    <xf numFmtId="0" fontId="70" fillId="0" borderId="12" xfId="0" applyFont="1" applyBorder="1" applyAlignment="1">
      <alignment horizontal="right"/>
    </xf>
    <xf numFmtId="0" fontId="44" fillId="0" borderId="15" xfId="0" applyFont="1" applyBorder="1" applyAlignment="1">
      <alignment horizontal="center"/>
    </xf>
    <xf numFmtId="0" fontId="44" fillId="0" borderId="61" xfId="0" applyFont="1" applyBorder="1" applyAlignment="1">
      <alignment horizontal="center"/>
    </xf>
    <xf numFmtId="0" fontId="69" fillId="0" borderId="0" xfId="0" applyFont="1" applyAlignment="1">
      <alignment horizontal="center"/>
    </xf>
    <xf numFmtId="0" fontId="28" fillId="0" borderId="0" xfId="0" applyFont="1" applyAlignment="1">
      <alignment horizontal="right"/>
    </xf>
    <xf numFmtId="0" fontId="37" fillId="0" borderId="0" xfId="0" applyFont="1"/>
    <xf numFmtId="0" fontId="72" fillId="0" borderId="68" xfId="0" applyFont="1" applyBorder="1" applyAlignment="1">
      <alignment horizontal="center"/>
    </xf>
    <xf numFmtId="0" fontId="72" fillId="0" borderId="41" xfId="0" applyFont="1" applyBorder="1" applyAlignment="1">
      <alignment horizontal="center"/>
    </xf>
    <xf numFmtId="0" fontId="69" fillId="0" borderId="33" xfId="0" applyFont="1" applyBorder="1" applyAlignment="1">
      <alignment horizontal="center"/>
    </xf>
    <xf numFmtId="0" fontId="72" fillId="0" borderId="33" xfId="0" applyFont="1" applyBorder="1" applyAlignment="1">
      <alignment horizontal="right"/>
    </xf>
    <xf numFmtId="0" fontId="72" fillId="0" borderId="33" xfId="0" applyFont="1" applyBorder="1" applyAlignment="1">
      <alignment horizontal="center"/>
    </xf>
    <xf numFmtId="0" fontId="69" fillId="0" borderId="35" xfId="0" applyFont="1" applyBorder="1" applyAlignment="1">
      <alignment horizontal="center"/>
    </xf>
    <xf numFmtId="0" fontId="69" fillId="0" borderId="36" xfId="0" quotePrefix="1" applyFont="1" applyBorder="1" applyAlignment="1">
      <alignment horizontal="center"/>
    </xf>
    <xf numFmtId="0" fontId="69" fillId="0" borderId="36" xfId="0" applyFont="1" applyBorder="1" applyAlignment="1">
      <alignment horizontal="center"/>
    </xf>
    <xf numFmtId="0" fontId="72" fillId="0" borderId="0" xfId="0" applyFont="1" applyAlignment="1">
      <alignment horizontal="right"/>
    </xf>
    <xf numFmtId="0" fontId="43" fillId="2" borderId="88" xfId="3" applyFont="1" applyFill="1" applyBorder="1" applyAlignment="1">
      <alignment horizontal="left"/>
    </xf>
    <xf numFmtId="0" fontId="43" fillId="2" borderId="94" xfId="3" applyFont="1" applyFill="1" applyBorder="1" applyAlignment="1">
      <alignment horizontal="left"/>
    </xf>
    <xf numFmtId="0" fontId="37" fillId="0" borderId="0" xfId="4" applyFont="1" applyAlignment="1">
      <alignment horizontal="center"/>
    </xf>
    <xf numFmtId="0" fontId="40" fillId="2" borderId="0" xfId="4" applyFont="1" applyFill="1" applyAlignment="1">
      <alignment horizontal="center"/>
    </xf>
    <xf numFmtId="0" fontId="42" fillId="2" borderId="13" xfId="4" applyFont="1" applyFill="1" applyBorder="1" applyAlignment="1">
      <alignment horizontal="center"/>
    </xf>
    <xf numFmtId="0" fontId="48" fillId="2" borderId="3" xfId="4" applyFont="1" applyFill="1" applyBorder="1" applyAlignment="1">
      <alignment horizontal="left"/>
    </xf>
    <xf numFmtId="0" fontId="48" fillId="2" borderId="5" xfId="4" applyFont="1" applyFill="1" applyBorder="1" applyAlignment="1">
      <alignment horizontal="left"/>
    </xf>
    <xf numFmtId="0" fontId="50" fillId="0" borderId="80" xfId="4" applyFont="1" applyBorder="1" applyAlignment="1">
      <alignment horizontal="left"/>
    </xf>
    <xf numFmtId="0" fontId="50" fillId="0" borderId="81" xfId="4" applyFont="1" applyBorder="1" applyAlignment="1">
      <alignment horizontal="left"/>
    </xf>
    <xf numFmtId="0" fontId="51" fillId="2" borderId="82" xfId="4" applyFont="1" applyFill="1" applyBorder="1" applyAlignment="1">
      <alignment horizontal="center"/>
    </xf>
    <xf numFmtId="0" fontId="51" fillId="2" borderId="78" xfId="4" applyFont="1" applyFill="1" applyBorder="1" applyAlignment="1">
      <alignment horizontal="center"/>
    </xf>
    <xf numFmtId="0" fontId="41" fillId="2" borderId="29" xfId="4" applyFont="1" applyFill="1" applyBorder="1" applyAlignment="1">
      <alignment horizontal="left"/>
    </xf>
    <xf numFmtId="0" fontId="41" fillId="2" borderId="30" xfId="4" applyFont="1" applyFill="1" applyBorder="1" applyAlignment="1">
      <alignment horizontal="left"/>
    </xf>
    <xf numFmtId="0" fontId="41" fillId="2" borderId="69" xfId="4" applyFont="1" applyFill="1" applyBorder="1" applyAlignment="1">
      <alignment horizontal="left"/>
    </xf>
    <xf numFmtId="0" fontId="41" fillId="0" borderId="100" xfId="4" applyFont="1" applyBorder="1" applyAlignment="1">
      <alignment horizontal="left"/>
    </xf>
    <xf numFmtId="0" fontId="41" fillId="0" borderId="101" xfId="4" applyFont="1" applyBorder="1" applyAlignment="1">
      <alignment horizontal="left"/>
    </xf>
    <xf numFmtId="0" fontId="41" fillId="0" borderId="102" xfId="4" applyFont="1" applyBorder="1" applyAlignment="1">
      <alignment horizontal="left"/>
    </xf>
    <xf numFmtId="0" fontId="50" fillId="0" borderId="83" xfId="4" applyFont="1" applyBorder="1" applyAlignment="1">
      <alignment horizontal="left"/>
    </xf>
    <xf numFmtId="0" fontId="50" fillId="0" borderId="84" xfId="4" applyFont="1" applyBorder="1" applyAlignment="1">
      <alignment horizontal="left"/>
    </xf>
    <xf numFmtId="2" fontId="52" fillId="0" borderId="85" xfId="4" applyNumberFormat="1" applyFont="1" applyBorder="1" applyAlignment="1">
      <alignment horizontal="center"/>
    </xf>
    <xf numFmtId="2" fontId="52" fillId="0" borderId="86" xfId="4" applyNumberFormat="1" applyFont="1" applyBorder="1" applyAlignment="1">
      <alignment horizontal="center"/>
    </xf>
    <xf numFmtId="0" fontId="52" fillId="0" borderId="85" xfId="4" applyFont="1" applyBorder="1" applyAlignment="1">
      <alignment horizontal="center"/>
    </xf>
    <xf numFmtId="0" fontId="52" fillId="0" borderId="86" xfId="4" applyFont="1" applyBorder="1" applyAlignment="1">
      <alignment horizontal="center"/>
    </xf>
    <xf numFmtId="0" fontId="50" fillId="0" borderId="95" xfId="4" applyFont="1" applyBorder="1" applyAlignment="1">
      <alignment horizontal="left"/>
    </xf>
    <xf numFmtId="0" fontId="50" fillId="0" borderId="88" xfId="4" applyFont="1" applyBorder="1" applyAlignment="1">
      <alignment horizontal="left"/>
    </xf>
    <xf numFmtId="0" fontId="50" fillId="0" borderId="89" xfId="4" applyFont="1" applyBorder="1" applyAlignment="1">
      <alignment horizontal="left"/>
    </xf>
    <xf numFmtId="165" fontId="52" fillId="2" borderId="85" xfId="4" applyNumberFormat="1" applyFont="1" applyFill="1" applyBorder="1" applyAlignment="1">
      <alignment horizontal="center"/>
    </xf>
    <xf numFmtId="165" fontId="52" fillId="2" borderId="86" xfId="4" applyNumberFormat="1" applyFont="1" applyFill="1" applyBorder="1" applyAlignment="1">
      <alignment horizontal="center"/>
    </xf>
    <xf numFmtId="0" fontId="52" fillId="2" borderId="85" xfId="4" applyFont="1" applyFill="1" applyBorder="1" applyAlignment="1">
      <alignment horizontal="center"/>
    </xf>
    <xf numFmtId="0" fontId="52" fillId="2" borderId="86" xfId="4" applyFont="1" applyFill="1" applyBorder="1" applyAlignment="1">
      <alignment horizontal="center"/>
    </xf>
    <xf numFmtId="165" fontId="52" fillId="0" borderId="85" xfId="4" applyNumberFormat="1" applyFont="1" applyBorder="1" applyAlignment="1">
      <alignment horizontal="center"/>
    </xf>
    <xf numFmtId="165" fontId="52" fillId="0" borderId="86" xfId="4" applyNumberFormat="1" applyFont="1" applyBorder="1" applyAlignment="1">
      <alignment horizontal="center"/>
    </xf>
    <xf numFmtId="1" fontId="52" fillId="2" borderId="85" xfId="4" applyNumberFormat="1" applyFont="1" applyFill="1" applyBorder="1" applyAlignment="1">
      <alignment horizontal="center"/>
    </xf>
    <xf numFmtId="1" fontId="52" fillId="2" borderId="86" xfId="4" applyNumberFormat="1" applyFont="1" applyFill="1" applyBorder="1" applyAlignment="1">
      <alignment horizontal="center"/>
    </xf>
    <xf numFmtId="0" fontId="50" fillId="2" borderId="95" xfId="4" applyFont="1" applyFill="1" applyBorder="1" applyAlignment="1">
      <alignment horizontal="left"/>
    </xf>
    <xf numFmtId="0" fontId="50" fillId="2" borderId="88" xfId="4" applyFont="1" applyFill="1" applyBorder="1" applyAlignment="1">
      <alignment horizontal="left"/>
    </xf>
    <xf numFmtId="0" fontId="50" fillId="2" borderId="89" xfId="4" applyFont="1" applyFill="1" applyBorder="1" applyAlignment="1">
      <alignment horizontal="left"/>
    </xf>
    <xf numFmtId="2" fontId="52" fillId="2" borderId="85" xfId="4" applyNumberFormat="1" applyFont="1" applyFill="1" applyBorder="1" applyAlignment="1">
      <alignment horizontal="center"/>
    </xf>
    <xf numFmtId="2" fontId="52" fillId="2" borderId="86" xfId="4" applyNumberFormat="1" applyFont="1" applyFill="1" applyBorder="1" applyAlignment="1">
      <alignment horizontal="center"/>
    </xf>
    <xf numFmtId="0" fontId="50" fillId="2" borderId="95" xfId="4" quotePrefix="1" applyFont="1" applyFill="1" applyBorder="1" applyAlignment="1">
      <alignment horizontal="left"/>
    </xf>
    <xf numFmtId="0" fontId="50" fillId="2" borderId="88" xfId="4" quotePrefix="1" applyFont="1" applyFill="1" applyBorder="1" applyAlignment="1">
      <alignment horizontal="left"/>
    </xf>
    <xf numFmtId="0" fontId="50" fillId="2" borderId="89" xfId="4" quotePrefix="1" applyFont="1" applyFill="1" applyBorder="1" applyAlignment="1">
      <alignment horizontal="left"/>
    </xf>
    <xf numFmtId="0" fontId="50" fillId="2" borderId="105" xfId="4" applyFont="1" applyFill="1" applyBorder="1" applyAlignment="1">
      <alignment horizontal="center"/>
    </xf>
    <xf numFmtId="0" fontId="50" fillId="2" borderId="106" xfId="4" applyFont="1" applyFill="1" applyBorder="1" applyAlignment="1">
      <alignment horizontal="center"/>
    </xf>
    <xf numFmtId="0" fontId="50" fillId="2" borderId="32" xfId="4" applyFont="1" applyFill="1" applyBorder="1" applyAlignment="1">
      <alignment horizontal="center"/>
    </xf>
    <xf numFmtId="0" fontId="50" fillId="2" borderId="0" xfId="4" applyFont="1" applyFill="1" applyAlignment="1">
      <alignment horizontal="center"/>
    </xf>
    <xf numFmtId="0" fontId="50" fillId="2" borderId="37" xfId="4" applyFont="1" applyFill="1" applyBorder="1" applyAlignment="1">
      <alignment horizontal="center"/>
    </xf>
    <xf numFmtId="0" fontId="50" fillId="2" borderId="10" xfId="4" applyFont="1" applyFill="1" applyBorder="1" applyAlignment="1">
      <alignment horizontal="center"/>
    </xf>
    <xf numFmtId="0" fontId="50" fillId="2" borderId="107" xfId="4" applyFont="1" applyFill="1" applyBorder="1" applyAlignment="1">
      <alignment horizontal="left"/>
    </xf>
    <xf numFmtId="0" fontId="50" fillId="2" borderId="108" xfId="4" applyFont="1" applyFill="1" applyBorder="1" applyAlignment="1">
      <alignment horizontal="left"/>
    </xf>
    <xf numFmtId="0" fontId="50" fillId="2" borderId="109" xfId="4" applyFont="1" applyFill="1" applyBorder="1" applyAlignment="1">
      <alignment horizontal="left"/>
    </xf>
    <xf numFmtId="0" fontId="52" fillId="2" borderId="110" xfId="4" applyFont="1" applyFill="1" applyBorder="1" applyAlignment="1">
      <alignment horizontal="center"/>
    </xf>
    <xf numFmtId="0" fontId="52" fillId="0" borderId="110" xfId="4" applyFont="1" applyBorder="1" applyAlignment="1">
      <alignment horizontal="center"/>
    </xf>
    <xf numFmtId="169" fontId="52" fillId="2" borderId="85" xfId="4" applyNumberFormat="1" applyFont="1" applyFill="1" applyBorder="1" applyAlignment="1">
      <alignment horizontal="center"/>
    </xf>
    <xf numFmtId="169" fontId="52" fillId="2" borderId="86" xfId="4" applyNumberFormat="1" applyFont="1" applyFill="1" applyBorder="1" applyAlignment="1">
      <alignment horizontal="center"/>
    </xf>
    <xf numFmtId="1" fontId="52" fillId="2" borderId="118" xfId="4" applyNumberFormat="1" applyFont="1" applyFill="1" applyBorder="1" applyAlignment="1">
      <alignment horizontal="center"/>
    </xf>
    <xf numFmtId="1" fontId="52" fillId="2" borderId="119" xfId="4" applyNumberFormat="1" applyFont="1" applyFill="1" applyBorder="1" applyAlignment="1">
      <alignment horizontal="center"/>
    </xf>
    <xf numFmtId="0" fontId="47" fillId="0" borderId="125" xfId="4" applyFont="1" applyBorder="1" applyAlignment="1">
      <alignment horizontal="left"/>
    </xf>
    <xf numFmtId="0" fontId="47" fillId="0" borderId="97" xfId="4" applyFont="1" applyBorder="1" applyAlignment="1">
      <alignment horizontal="left"/>
    </xf>
    <xf numFmtId="14" fontId="45" fillId="2" borderId="138" xfId="4" applyNumberFormat="1" applyFont="1" applyFill="1" applyBorder="1" applyAlignment="1">
      <alignment horizontal="center"/>
    </xf>
    <xf numFmtId="14" fontId="45" fillId="2" borderId="139" xfId="4" applyNumberFormat="1" applyFont="1" applyFill="1" applyBorder="1" applyAlignment="1">
      <alignment horizontal="center"/>
    </xf>
    <xf numFmtId="0" fontId="47" fillId="0" borderId="7" xfId="4" applyFont="1" applyBorder="1" applyAlignment="1">
      <alignment horizontal="center"/>
    </xf>
    <xf numFmtId="0" fontId="47" fillId="0" borderId="0" xfId="4" applyFont="1" applyAlignment="1">
      <alignment horizontal="center"/>
    </xf>
    <xf numFmtId="0" fontId="47" fillId="0" borderId="20" xfId="4" applyFont="1" applyBorder="1" applyAlignment="1">
      <alignment horizontal="center"/>
    </xf>
    <xf numFmtId="0" fontId="47" fillId="0" borderId="8" xfId="4" applyFont="1" applyBorder="1" applyAlignment="1">
      <alignment horizontal="center"/>
    </xf>
    <xf numFmtId="0" fontId="47" fillId="0" borderId="10" xfId="4" applyFont="1" applyBorder="1" applyAlignment="1">
      <alignment horizontal="center"/>
    </xf>
    <xf numFmtId="0" fontId="47" fillId="0" borderId="9" xfId="4" applyFont="1" applyBorder="1" applyAlignment="1">
      <alignment horizontal="center"/>
    </xf>
    <xf numFmtId="0" fontId="41" fillId="0" borderId="120" xfId="4" applyFont="1" applyBorder="1" applyAlignment="1">
      <alignment horizontal="left"/>
    </xf>
    <xf numFmtId="0" fontId="41" fillId="0" borderId="30" xfId="4" applyFont="1" applyBorder="1" applyAlignment="1">
      <alignment horizontal="left"/>
    </xf>
    <xf numFmtId="0" fontId="41" fillId="0" borderId="31" xfId="4" applyFont="1" applyBorder="1" applyAlignment="1">
      <alignment horizontal="left"/>
    </xf>
    <xf numFmtId="0" fontId="47" fillId="0" borderId="12" xfId="4" applyFont="1" applyBorder="1" applyAlignment="1">
      <alignment horizontal="center"/>
    </xf>
    <xf numFmtId="0" fontId="47" fillId="0" borderId="13" xfId="4" applyFont="1" applyBorder="1" applyAlignment="1">
      <alignment horizontal="center"/>
    </xf>
    <xf numFmtId="0" fontId="47" fillId="0" borderId="14" xfId="4" applyFont="1" applyBorder="1" applyAlignment="1">
      <alignment horizontal="center"/>
    </xf>
    <xf numFmtId="0" fontId="63" fillId="2" borderId="133" xfId="4" applyFont="1" applyFill="1" applyBorder="1" applyAlignment="1">
      <alignment horizontal="center"/>
    </xf>
    <xf numFmtId="0" fontId="63" fillId="2" borderId="134" xfId="4" applyFont="1" applyFill="1" applyBorder="1" applyAlignment="1">
      <alignment horizontal="center"/>
    </xf>
    <xf numFmtId="0" fontId="20" fillId="0" borderId="71" xfId="5" applyBorder="1" applyAlignment="1">
      <alignment horizontal="left"/>
    </xf>
    <xf numFmtId="0" fontId="20" fillId="0" borderId="5" xfId="5" applyBorder="1" applyAlignment="1">
      <alignment horizontal="left"/>
    </xf>
    <xf numFmtId="170" fontId="20" fillId="0" borderId="71" xfId="5" applyNumberFormat="1" applyBorder="1" applyAlignment="1">
      <alignment horizontal="center"/>
    </xf>
    <xf numFmtId="170" fontId="20" fillId="0" borderId="5" xfId="5" applyNumberFormat="1" applyBorder="1" applyAlignment="1">
      <alignment horizontal="center"/>
    </xf>
    <xf numFmtId="170" fontId="20" fillId="0" borderId="4" xfId="5" applyNumberFormat="1" applyBorder="1" applyAlignment="1">
      <alignment horizontal="center"/>
    </xf>
    <xf numFmtId="49" fontId="20" fillId="0" borderId="71" xfId="5" applyNumberFormat="1" applyBorder="1" applyAlignment="1">
      <alignment horizontal="center"/>
    </xf>
    <xf numFmtId="49" fontId="20" fillId="0" borderId="5" xfId="5" applyNumberFormat="1" applyBorder="1" applyAlignment="1">
      <alignment horizontal="center"/>
    </xf>
    <xf numFmtId="49" fontId="20" fillId="0" borderId="6" xfId="5" applyNumberFormat="1" applyBorder="1" applyAlignment="1">
      <alignment horizontal="center"/>
    </xf>
    <xf numFmtId="0" fontId="67" fillId="0" borderId="7" xfId="5" applyFont="1" applyBorder="1" applyAlignment="1">
      <alignment horizontal="center"/>
    </xf>
    <xf numFmtId="0" fontId="67" fillId="0" borderId="0" xfId="5" applyFont="1" applyAlignment="1">
      <alignment horizontal="center"/>
    </xf>
    <xf numFmtId="0" fontId="67" fillId="0" borderId="77" xfId="5" applyFont="1" applyBorder="1" applyAlignment="1">
      <alignment horizontal="center"/>
    </xf>
    <xf numFmtId="0" fontId="66" fillId="0" borderId="59" xfId="5" applyFont="1" applyBorder="1" applyAlignment="1">
      <alignment horizontal="center"/>
    </xf>
    <xf numFmtId="0" fontId="66" fillId="0" borderId="2" xfId="5" applyFont="1" applyBorder="1" applyAlignment="1">
      <alignment horizontal="center"/>
    </xf>
    <xf numFmtId="0" fontId="66" fillId="0" borderId="146" xfId="5" applyFont="1" applyBorder="1" applyAlignment="1">
      <alignment horizontal="center"/>
    </xf>
    <xf numFmtId="0" fontId="66" fillId="0" borderId="50" xfId="5" applyFont="1" applyBorder="1" applyAlignment="1">
      <alignment horizontal="center"/>
    </xf>
    <xf numFmtId="0" fontId="20" fillId="0" borderId="34" xfId="5" applyBorder="1" applyAlignment="1">
      <alignment horizontal="left"/>
    </xf>
    <xf numFmtId="0" fontId="20" fillId="0" borderId="35" xfId="5" applyBorder="1" applyAlignment="1">
      <alignment horizontal="left"/>
    </xf>
    <xf numFmtId="170" fontId="20" fillId="0" borderId="34" xfId="5" applyNumberFormat="1" applyBorder="1" applyAlignment="1">
      <alignment horizontal="center"/>
    </xf>
    <xf numFmtId="170" fontId="20" fillId="0" borderId="35" xfId="5" applyNumberFormat="1" applyBorder="1" applyAlignment="1">
      <alignment horizontal="center"/>
    </xf>
    <xf numFmtId="170" fontId="20" fillId="0" borderId="36" xfId="5" applyNumberFormat="1" applyBorder="1" applyAlignment="1">
      <alignment horizontal="center"/>
    </xf>
    <xf numFmtId="49" fontId="20" fillId="0" borderId="34" xfId="5" applyNumberFormat="1" applyBorder="1" applyAlignment="1">
      <alignment horizontal="center"/>
    </xf>
    <xf numFmtId="49" fontId="20" fillId="0" borderId="35" xfId="5" applyNumberFormat="1" applyBorder="1" applyAlignment="1">
      <alignment horizontal="center"/>
    </xf>
    <xf numFmtId="49" fontId="20" fillId="0" borderId="53" xfId="5" applyNumberFormat="1" applyBorder="1" applyAlignment="1">
      <alignment horizontal="center"/>
    </xf>
    <xf numFmtId="0" fontId="20" fillId="0" borderId="60" xfId="5" applyBorder="1" applyAlignment="1">
      <alignment horizontal="left"/>
    </xf>
    <xf numFmtId="0" fontId="20" fillId="0" borderId="147" xfId="5" applyBorder="1" applyAlignment="1">
      <alignment horizontal="left"/>
    </xf>
    <xf numFmtId="170" fontId="20" fillId="0" borderId="60" xfId="5" applyNumberFormat="1" applyBorder="1" applyAlignment="1">
      <alignment horizontal="center"/>
    </xf>
    <xf numFmtId="170" fontId="20" fillId="0" borderId="147" xfId="5" applyNumberFormat="1" applyBorder="1" applyAlignment="1">
      <alignment horizontal="center"/>
    </xf>
    <xf numFmtId="170" fontId="20" fillId="0" borderId="46" xfId="5" applyNumberFormat="1" applyBorder="1" applyAlignment="1">
      <alignment horizontal="center"/>
    </xf>
    <xf numFmtId="49" fontId="20" fillId="0" borderId="60" xfId="5" applyNumberFormat="1" applyBorder="1" applyAlignment="1">
      <alignment horizontal="center"/>
    </xf>
    <xf numFmtId="49" fontId="20" fillId="0" borderId="147" xfId="5" applyNumberFormat="1" applyBorder="1" applyAlignment="1">
      <alignment horizontal="center"/>
    </xf>
    <xf numFmtId="49" fontId="20" fillId="0" borderId="61" xfId="5" applyNumberFormat="1" applyBorder="1" applyAlignment="1">
      <alignment horizontal="center"/>
    </xf>
    <xf numFmtId="0" fontId="37" fillId="0" borderId="0" xfId="0" applyFont="1" applyAlignment="1">
      <alignment horizontal="center"/>
    </xf>
    <xf numFmtId="0" fontId="28" fillId="0" borderId="0" xfId="0" applyFont="1" applyAlignment="1">
      <alignment horizontal="center"/>
    </xf>
    <xf numFmtId="0" fontId="19" fillId="0" borderId="3" xfId="0" applyFont="1" applyBorder="1" applyAlignment="1">
      <alignment horizontal="left"/>
    </xf>
    <xf numFmtId="0" fontId="19" fillId="0" borderId="5" xfId="0" applyFont="1" applyBorder="1" applyAlignment="1">
      <alignment horizontal="left"/>
    </xf>
    <xf numFmtId="0" fontId="19" fillId="0" borderId="6" xfId="0" applyFont="1" applyBorder="1" applyAlignment="1">
      <alignment horizontal="left"/>
    </xf>
    <xf numFmtId="0" fontId="44" fillId="0" borderId="29" xfId="0" applyFont="1" applyBorder="1" applyAlignment="1">
      <alignment horizontal="center"/>
    </xf>
    <xf numFmtId="0" fontId="44" fillId="0" borderId="69" xfId="0" applyFont="1" applyBorder="1" applyAlignment="1">
      <alignment horizontal="center"/>
    </xf>
    <xf numFmtId="0" fontId="70" fillId="0" borderId="120" xfId="0" applyFont="1" applyBorder="1" applyAlignment="1">
      <alignment horizontal="center"/>
    </xf>
    <xf numFmtId="0" fontId="70" fillId="0" borderId="30" xfId="0" applyFont="1" applyBorder="1" applyAlignment="1">
      <alignment horizontal="center"/>
    </xf>
    <xf numFmtId="0" fontId="70" fillId="0" borderId="69" xfId="0" applyFont="1" applyBorder="1" applyAlignment="1">
      <alignment horizontal="center"/>
    </xf>
    <xf numFmtId="0" fontId="71" fillId="0" borderId="149" xfId="0" applyFont="1" applyBorder="1" applyAlignment="1">
      <alignment horizontal="right"/>
    </xf>
    <xf numFmtId="0" fontId="71" fillId="0" borderId="147" xfId="0" applyFont="1" applyBorder="1" applyAlignment="1">
      <alignment horizontal="right"/>
    </xf>
    <xf numFmtId="0" fontId="44" fillId="0" borderId="147" xfId="0" applyFont="1" applyBorder="1" applyAlignment="1">
      <alignment horizontal="center"/>
    </xf>
    <xf numFmtId="0" fontId="44" fillId="0" borderId="74" xfId="0" applyFont="1" applyBorder="1" applyAlignment="1">
      <alignment horizontal="center"/>
    </xf>
    <xf numFmtId="0" fontId="44" fillId="0" borderId="75" xfId="0" applyFont="1" applyBorder="1" applyAlignment="1">
      <alignment horizontal="center"/>
    </xf>
    <xf numFmtId="0" fontId="44" fillId="0" borderId="12" xfId="0" applyFont="1" applyBorder="1" applyAlignment="1">
      <alignment horizontal="center"/>
    </xf>
    <xf numFmtId="0" fontId="44" fillId="0" borderId="13" xfId="0" applyFont="1" applyBorder="1" applyAlignment="1">
      <alignment horizontal="center"/>
    </xf>
    <xf numFmtId="0" fontId="44" fillId="0" borderId="15" xfId="0" applyFont="1" applyBorder="1" applyAlignment="1">
      <alignment horizontal="center"/>
    </xf>
    <xf numFmtId="0" fontId="70" fillId="0" borderId="29" xfId="0" applyFont="1" applyBorder="1" applyAlignment="1">
      <alignment horizontal="center"/>
    </xf>
    <xf numFmtId="0" fontId="0" fillId="0" borderId="69" xfId="0" applyBorder="1" applyAlignment="1">
      <alignment horizontal="center"/>
    </xf>
    <xf numFmtId="0" fontId="44" fillId="0" borderId="148" xfId="0" applyFont="1" applyBorder="1" applyAlignment="1">
      <alignment horizontal="center"/>
    </xf>
    <xf numFmtId="0" fontId="44" fillId="0" borderId="30" xfId="0" applyFont="1" applyBorder="1" applyAlignment="1">
      <alignment horizontal="center"/>
    </xf>
    <xf numFmtId="0" fontId="70" fillId="0" borderId="120" xfId="0" applyFont="1" applyBorder="1" applyAlignment="1">
      <alignment horizontal="right"/>
    </xf>
    <xf numFmtId="0" fontId="70" fillId="0" borderId="30" xfId="0" applyFont="1" applyBorder="1" applyAlignment="1">
      <alignment horizontal="right"/>
    </xf>
    <xf numFmtId="0" fontId="70" fillId="0" borderId="12" xfId="0" applyFont="1" applyBorder="1" applyAlignment="1">
      <alignment horizontal="right"/>
    </xf>
    <xf numFmtId="0" fontId="70" fillId="0" borderId="13" xfId="0" applyFont="1" applyBorder="1" applyAlignment="1">
      <alignment horizontal="right"/>
    </xf>
    <xf numFmtId="0" fontId="69" fillId="0" borderId="33" xfId="0" applyFont="1" applyBorder="1" applyAlignment="1">
      <alignment horizontal="center"/>
    </xf>
    <xf numFmtId="0" fontId="70" fillId="0" borderId="34" xfId="0" applyFont="1" applyBorder="1" applyAlignment="1">
      <alignment horizontal="center"/>
    </xf>
    <xf numFmtId="0" fontId="44" fillId="0" borderId="35" xfId="0" applyFont="1" applyBorder="1" applyAlignment="1">
      <alignment horizontal="center"/>
    </xf>
    <xf numFmtId="0" fontId="44" fillId="0" borderId="36" xfId="0" applyFont="1" applyBorder="1" applyAlignment="1">
      <alignment horizontal="center"/>
    </xf>
    <xf numFmtId="0" fontId="72" fillId="0" borderId="33" xfId="0" applyFont="1" applyBorder="1" applyAlignment="1">
      <alignment horizontal="center"/>
    </xf>
    <xf numFmtId="0" fontId="44" fillId="0" borderId="34" xfId="0" applyFont="1" applyBorder="1" applyAlignment="1">
      <alignment horizontal="center"/>
    </xf>
    <xf numFmtId="0" fontId="69" fillId="0" borderId="34" xfId="0" applyFont="1" applyBorder="1" applyAlignment="1">
      <alignment horizontal="right"/>
    </xf>
    <xf numFmtId="0" fontId="69" fillId="0" borderId="35" xfId="0" applyFont="1" applyBorder="1" applyAlignment="1">
      <alignment horizontal="right"/>
    </xf>
    <xf numFmtId="0" fontId="44" fillId="0" borderId="0" xfId="0" applyFont="1" applyAlignment="1">
      <alignment horizontal="center"/>
    </xf>
    <xf numFmtId="0" fontId="72" fillId="0" borderId="0" xfId="0" applyFont="1" applyAlignment="1">
      <alignment horizontal="right"/>
    </xf>
    <xf numFmtId="164" fontId="14" fillId="0" borderId="28" xfId="1" applyFont="1" applyBorder="1" applyAlignment="1" applyProtection="1">
      <alignment horizontal="center"/>
      <protection locked="0"/>
    </xf>
    <xf numFmtId="14" fontId="15" fillId="0" borderId="28" xfId="1" quotePrefix="1" applyNumberFormat="1" applyFont="1" applyBorder="1" applyAlignment="1" applyProtection="1">
      <alignment horizontal="center"/>
      <protection locked="0"/>
    </xf>
    <xf numFmtId="0" fontId="16" fillId="0" borderId="34" xfId="2" applyFont="1" applyBorder="1" applyAlignment="1">
      <alignment horizontal="center"/>
    </xf>
    <xf numFmtId="0" fontId="16" fillId="0" borderId="35" xfId="2" applyFont="1" applyBorder="1" applyAlignment="1">
      <alignment horizontal="center"/>
    </xf>
    <xf numFmtId="0" fontId="16" fillId="0" borderId="36" xfId="2" applyFont="1" applyBorder="1" applyAlignment="1">
      <alignment horizontal="center"/>
    </xf>
    <xf numFmtId="0" fontId="18" fillId="0" borderId="32" xfId="2" applyFont="1" applyBorder="1" applyAlignment="1">
      <alignment horizontal="center"/>
    </xf>
    <xf numFmtId="0" fontId="18" fillId="0" borderId="0" xfId="2" applyFont="1" applyAlignment="1">
      <alignment horizontal="center"/>
    </xf>
    <xf numFmtId="0" fontId="18" fillId="0" borderId="20" xfId="2" applyFont="1" applyBorder="1" applyAlignment="1">
      <alignment horizontal="center"/>
    </xf>
    <xf numFmtId="0" fontId="23" fillId="0" borderId="32" xfId="2" applyFont="1" applyBorder="1" applyAlignment="1">
      <alignment horizontal="center"/>
    </xf>
    <xf numFmtId="0" fontId="23" fillId="0" borderId="0" xfId="2" applyFont="1" applyAlignment="1">
      <alignment horizontal="center"/>
    </xf>
    <xf numFmtId="0" fontId="23" fillId="0" borderId="20" xfId="2" applyFont="1" applyBorder="1" applyAlignment="1">
      <alignment horizontal="center"/>
    </xf>
  </cellXfs>
  <cellStyles count="6">
    <cellStyle name="Normal" xfId="0" builtinId="0"/>
    <cellStyle name="Normal 2" xfId="3" xr:uid="{00000000-0005-0000-0000-000001000000}"/>
    <cellStyle name="Normal 3" xfId="2" xr:uid="{00000000-0005-0000-0000-000002000000}"/>
    <cellStyle name="Normal 4" xfId="1" xr:uid="{00000000-0005-0000-0000-000003000000}"/>
    <cellStyle name="Normal_OPTEST" xfId="4" xr:uid="{00000000-0005-0000-0000-000004000000}"/>
    <cellStyle name="Normal_PROJ_REV_HIST"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1" u="none" strike="noStrike" baseline="0">
                <a:solidFill>
                  <a:srgbClr val="000000"/>
                </a:solidFill>
                <a:latin typeface="Times New Roman"/>
                <a:ea typeface="Times New Roman"/>
                <a:cs typeface="Times New Roman"/>
              </a:defRPr>
            </a:pPr>
            <a:r>
              <a:rPr lang="en-US"/>
              <a:t>S-T Curve Estimation</a:t>
            </a:r>
          </a:p>
        </c:rich>
      </c:tx>
      <c:layout>
        <c:manualLayout>
          <c:xMode val="edge"/>
          <c:yMode val="edge"/>
          <c:x val="0.3396465037246067"/>
          <c:y val="2.1013255695979179E-2"/>
        </c:manualLayout>
      </c:layout>
      <c:overlay val="0"/>
      <c:spPr>
        <a:noFill/>
        <a:ln w="25400">
          <a:noFill/>
        </a:ln>
      </c:spPr>
    </c:title>
    <c:autoTitleDeleted val="0"/>
    <c:plotArea>
      <c:layout>
        <c:manualLayout>
          <c:layoutTarget val="inner"/>
          <c:xMode val="edge"/>
          <c:yMode val="edge"/>
          <c:x val="0.16982326707498097"/>
          <c:y val="0.1134708694282645"/>
          <c:w val="0.67929306829992409"/>
          <c:h val="0.68082521656958772"/>
        </c:manualLayout>
      </c:layout>
      <c:scatterChart>
        <c:scatterStyle val="lineMarker"/>
        <c:varyColors val="0"/>
        <c:ser>
          <c:idx val="0"/>
          <c:order val="0"/>
          <c:spPr>
            <a:ln w="12700">
              <a:solidFill>
                <a:srgbClr val="000000"/>
              </a:solidFill>
              <a:prstDash val="solid"/>
            </a:ln>
          </c:spPr>
          <c:marker>
            <c:symbol val="none"/>
          </c:marker>
          <c:xVal>
            <c:numRef>
              <c:f>(DesignSheet!$A$59:$A$68,DesignSheet!$D$59:$D$62)</c:f>
              <c:numCache>
                <c:formatCode>0.000</c:formatCode>
                <c:ptCount val="14"/>
                <c:pt idx="0" formatCode="0.00">
                  <c:v>0</c:v>
                </c:pt>
                <c:pt idx="1">
                  <c:v>2.0000003278255463E-3</c:v>
                </c:pt>
                <c:pt idx="2">
                  <c:v>1.0000001639127731E-2</c:v>
                </c:pt>
                <c:pt idx="3" formatCode="0.00">
                  <c:v>6.4444445073604584E-2</c:v>
                </c:pt>
                <c:pt idx="4" formatCode="0.00">
                  <c:v>0.11888889968395233</c:v>
                </c:pt>
                <c:pt idx="5" formatCode="0.00">
                  <c:v>0.17333333194255829</c:v>
                </c:pt>
                <c:pt idx="6" formatCode="0.00">
                  <c:v>0.28222224116325378</c:v>
                </c:pt>
                <c:pt idx="7" formatCode="0.00">
                  <c:v>0.3911111056804657</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(DesignSheet!$B$59:$B$68,DesignSheet!$E$59:$E$62)</c:f>
              <c:numCache>
                <c:formatCode>0.0</c:formatCode>
                <c:ptCount val="14"/>
                <c:pt idx="0">
                  <c:v>0</c:v>
                </c:pt>
                <c:pt idx="1">
                  <c:v>149.24866256139649</c:v>
                </c:pt>
                <c:pt idx="2">
                  <c:v>250</c:v>
                </c:pt>
                <c:pt idx="3">
                  <c:v>181.82645791408112</c:v>
                </c:pt>
                <c:pt idx="4">
                  <c:v>165.17085249910858</c:v>
                </c:pt>
                <c:pt idx="5">
                  <c:v>161.49236910202396</c:v>
                </c:pt>
                <c:pt idx="6">
                  <c:v>161.06708463561313</c:v>
                </c:pt>
                <c:pt idx="7">
                  <c:v>160.59233218109694</c:v>
                </c:pt>
                <c:pt idx="8">
                  <c:v>160</c:v>
                </c:pt>
                <c:pt idx="9">
                  <c:v>161.35362606834053</c:v>
                </c:pt>
                <c:pt idx="10">
                  <c:v>164.43058675800376</c:v>
                </c:pt>
                <c:pt idx="11">
                  <c:v>170.28850285903093</c:v>
                </c:pt>
                <c:pt idx="12">
                  <c:v>180.96489573774099</c:v>
                </c:pt>
                <c:pt idx="13">
                  <c:v>200</c:v>
                </c:pt>
              </c:numCache>
            </c:numRef>
          </c:yVal>
          <c:smooth val="1"/>
          <c:extLst>
            <c:ext xmlns:c16="http://schemas.microsoft.com/office/drawing/2014/chart" uri="{C3380CC4-5D6E-409C-BE32-E72D297353CC}">
              <c16:uniqueId val="{00000000-ED7A-44DB-A329-E8C6FFAE37EF}"/>
            </c:ext>
          </c:extLst>
        </c:ser>
        <c:dLbls>
          <c:showLegendKey val="0"/>
          <c:showVal val="0"/>
          <c:showCatName val="0"/>
          <c:showSerName val="0"/>
          <c:showPercent val="0"/>
          <c:showBubbleSize val="0"/>
        </c:dLbls>
        <c:axId val="130649088"/>
        <c:axId val="130651264"/>
      </c:scatterChart>
      <c:scatterChart>
        <c:scatterStyle val="lineMarker"/>
        <c:varyColors val="0"/>
        <c:ser>
          <c:idx val="1"/>
          <c:order val="1"/>
          <c:spPr>
            <a:ln w="12700">
              <a:solidFill>
                <a:srgbClr val="000000"/>
              </a:solidFill>
              <a:prstDash val="sysDash"/>
            </a:ln>
          </c:spPr>
          <c:marker>
            <c:symbol val="none"/>
          </c:marker>
          <c:xVal>
            <c:numRef>
              <c:f>(DesignSheet!$A$59:$A$68,DesignSheet!$D$59:$D$62)</c:f>
              <c:numCache>
                <c:formatCode>0.000</c:formatCode>
                <c:ptCount val="14"/>
                <c:pt idx="0" formatCode="0.00">
                  <c:v>0</c:v>
                </c:pt>
                <c:pt idx="1">
                  <c:v>2.0000003278255463E-3</c:v>
                </c:pt>
                <c:pt idx="2">
                  <c:v>1.0000001639127731E-2</c:v>
                </c:pt>
                <c:pt idx="3" formatCode="0.00">
                  <c:v>6.4444445073604584E-2</c:v>
                </c:pt>
                <c:pt idx="4" formatCode="0.00">
                  <c:v>0.11888889968395233</c:v>
                </c:pt>
                <c:pt idx="5" formatCode="0.00">
                  <c:v>0.17333333194255829</c:v>
                </c:pt>
                <c:pt idx="6" formatCode="0.00">
                  <c:v>0.28222224116325378</c:v>
                </c:pt>
                <c:pt idx="7" formatCode="0.00">
                  <c:v>0.3911111056804657</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(DesignSheet!$C$59:$C$68,DesignSheet!$F$59:$F$62)</c:f>
              <c:numCache>
                <c:formatCode>0.0</c:formatCode>
                <c:ptCount val="14"/>
                <c:pt idx="0">
                  <c:v>0.30468457937240601</c:v>
                </c:pt>
                <c:pt idx="1">
                  <c:v>186.48269653320313</c:v>
                </c:pt>
                <c:pt idx="2">
                  <c:v>524.08502197265625</c:v>
                </c:pt>
                <c:pt idx="3">
                  <c:v>601.06640625</c:v>
                </c:pt>
                <c:pt idx="4">
                  <c:v>622.5517578125</c:v>
                </c:pt>
                <c:pt idx="5">
                  <c:v>633.2818603515625</c:v>
                </c:pt>
                <c:pt idx="6">
                  <c:v>646.8851318359375</c:v>
                </c:pt>
                <c:pt idx="7">
                  <c:v>657.76348876953125</c:v>
                </c:pt>
                <c:pt idx="8">
                  <c:v>667.12347412109375</c:v>
                </c:pt>
                <c:pt idx="9">
                  <c:v>675.67401123046875</c:v>
                </c:pt>
                <c:pt idx="10">
                  <c:v>683.1319580078125</c:v>
                </c:pt>
                <c:pt idx="11">
                  <c:v>689.41552734375</c:v>
                </c:pt>
                <c:pt idx="12">
                  <c:v>694.603515625</c:v>
                </c:pt>
                <c:pt idx="13">
                  <c:v>698.3050537109375</c:v>
                </c:pt>
              </c:numCache>
            </c:numRef>
          </c:yVal>
          <c:smooth val="1"/>
          <c:extLst>
            <c:ext xmlns:c16="http://schemas.microsoft.com/office/drawing/2014/chart" uri="{C3380CC4-5D6E-409C-BE32-E72D297353CC}">
              <c16:uniqueId val="{00000001-ED7A-44DB-A329-E8C6FFAE37EF}"/>
            </c:ext>
          </c:extLst>
        </c:ser>
        <c:dLbls>
          <c:showLegendKey val="0"/>
          <c:showVal val="0"/>
          <c:showCatName val="0"/>
          <c:showSerName val="0"/>
          <c:showPercent val="0"/>
          <c:showBubbleSize val="0"/>
        </c:dLbls>
        <c:axId val="130653184"/>
        <c:axId val="130654976"/>
      </c:scatterChart>
      <c:valAx>
        <c:axId val="130649088"/>
        <c:scaling>
          <c:orientation val="maxMin"/>
          <c:max val="1"/>
        </c:scaling>
        <c:delete val="0"/>
        <c:axPos val="b"/>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Slip (p.u.)</a:t>
                </a:r>
              </a:p>
            </c:rich>
          </c:tx>
          <c:layout>
            <c:manualLayout>
              <c:xMode val="edge"/>
              <c:yMode val="edge"/>
              <c:x val="0.43751065798856065"/>
              <c:y val="0.89095657160501995"/>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30651264"/>
        <c:crossesAt val="0"/>
        <c:crossBetween val="midCat"/>
        <c:majorUnit val="0.2"/>
        <c:minorUnit val="0.2"/>
      </c:valAx>
      <c:valAx>
        <c:axId val="130651264"/>
        <c:scaling>
          <c:orientation val="minMax"/>
        </c:scaling>
        <c:delete val="0"/>
        <c:axPos val="l"/>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Torque (%) </a:t>
                </a:r>
              </a:p>
            </c:rich>
          </c:tx>
          <c:layout>
            <c:manualLayout>
              <c:xMode val="edge"/>
              <c:yMode val="edge"/>
              <c:x val="1.4391698147558146E-2"/>
              <c:y val="0.2899812523434570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30649088"/>
        <c:crosses val="max"/>
        <c:crossBetween val="midCat"/>
        <c:majorUnit val="50"/>
        <c:minorUnit val="50"/>
      </c:valAx>
      <c:valAx>
        <c:axId val="130653184"/>
        <c:scaling>
          <c:orientation val="maxMin"/>
        </c:scaling>
        <c:delete val="1"/>
        <c:axPos val="b"/>
        <c:numFmt formatCode="0.00" sourceLinked="1"/>
        <c:majorTickMark val="out"/>
        <c:minorTickMark val="none"/>
        <c:tickLblPos val="nextTo"/>
        <c:crossAx val="130654976"/>
        <c:crosses val="autoZero"/>
        <c:crossBetween val="midCat"/>
      </c:valAx>
      <c:valAx>
        <c:axId val="130654976"/>
        <c:scaling>
          <c:orientation val="minMax"/>
        </c:scaling>
        <c:delete val="0"/>
        <c:axPos val="r"/>
        <c:title>
          <c:tx>
            <c:rich>
              <a:bodyPr/>
              <a:lstStyle/>
              <a:p>
                <a:pPr>
                  <a:defRPr sz="800" b="0" i="1" u="none" strike="noStrike" baseline="0">
                    <a:solidFill>
                      <a:srgbClr val="000000"/>
                    </a:solidFill>
                    <a:latin typeface="Times New Roman"/>
                    <a:ea typeface="Times New Roman"/>
                    <a:cs typeface="Times New Roman"/>
                  </a:defRPr>
                </a:pPr>
                <a:r>
                  <a:rPr lang="en-US"/>
                  <a:t>Current (%)</a:t>
                </a:r>
              </a:p>
            </c:rich>
          </c:tx>
          <c:layout>
            <c:manualLayout>
              <c:xMode val="edge"/>
              <c:yMode val="edge"/>
              <c:x val="0.92683203616888932"/>
              <c:y val="0.256360307902688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30653184"/>
        <c:crosses val="autoZero"/>
        <c:crossBetween val="midCat"/>
      </c:valAx>
      <c:spPr>
        <a:solidFill>
          <a:srgbClr val="E3E3E3"/>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5" footer="0.5"/>
    <c:pageSetup paperSize="9" orientation="landscape" horizontalDpi="-4"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1" u="none" strike="noStrike" baseline="0">
                <a:solidFill>
                  <a:srgbClr val="000000"/>
                </a:solidFill>
                <a:latin typeface="Times New Roman"/>
                <a:ea typeface="Times New Roman"/>
                <a:cs typeface="Times New Roman"/>
              </a:defRPr>
            </a:pPr>
            <a:r>
              <a:rPr lang="en-US"/>
              <a:t>Design Values</a:t>
            </a:r>
          </a:p>
        </c:rich>
      </c:tx>
      <c:layout>
        <c:manualLayout>
          <c:xMode val="edge"/>
          <c:yMode val="edge"/>
          <c:x val="0.39122874045494183"/>
          <c:y val="2.851713673837105E-2"/>
        </c:manualLayout>
      </c:layout>
      <c:overlay val="0"/>
      <c:spPr>
        <a:noFill/>
        <a:ln w="25400">
          <a:noFill/>
        </a:ln>
      </c:spPr>
    </c:title>
    <c:autoTitleDeleted val="0"/>
    <c:plotArea>
      <c:layout>
        <c:manualLayout>
          <c:layoutTarget val="inner"/>
          <c:xMode val="edge"/>
          <c:yMode val="edge"/>
          <c:x val="0.13859672868134712"/>
          <c:y val="0.14068454124263052"/>
          <c:w val="0.71228192208388519"/>
          <c:h val="0.63308043559183735"/>
        </c:manualLayout>
      </c:layout>
      <c:scatterChart>
        <c:scatterStyle val="lineMarker"/>
        <c:varyColors val="0"/>
        <c:ser>
          <c:idx val="2"/>
          <c:order val="2"/>
          <c:tx>
            <c:v>Load (Fan / Pump)</c:v>
          </c:tx>
          <c:spPr>
            <a:ln w="25400">
              <a:solidFill>
                <a:srgbClr val="000000"/>
              </a:solidFill>
              <a:prstDash val="sysDash"/>
            </a:ln>
            <a:effectLst/>
          </c:spPr>
          <c:marker>
            <c:symbol val="none"/>
          </c:marker>
          <c:xVal>
            <c:numRef>
              <c:f>STCurve!$A$54:$A$67</c:f>
              <c:numCache>
                <c:formatCode>0.0</c:formatCode>
                <c:ptCount val="14"/>
                <c:pt idx="0">
                  <c:v>100</c:v>
                </c:pt>
                <c:pt idx="1">
                  <c:v>99.000000022351742</c:v>
                </c:pt>
                <c:pt idx="2">
                  <c:v>94.999999925494194</c:v>
                </c:pt>
                <c:pt idx="3">
                  <c:v>89.999999850988388</c:v>
                </c:pt>
                <c:pt idx="4">
                  <c:v>84.999999403953552</c:v>
                </c:pt>
                <c:pt idx="5">
                  <c:v>79.999999701976776</c:v>
                </c:pt>
                <c:pt idx="6">
                  <c:v>69.999998807907104</c:v>
                </c:pt>
                <c:pt idx="7">
                  <c:v>59.999999403953552</c:v>
                </c:pt>
                <c:pt idx="8">
                  <c:v>50</c:v>
                </c:pt>
                <c:pt idx="9">
                  <c:v>39.999997615814209</c:v>
                </c:pt>
                <c:pt idx="10">
                  <c:v>30.000001192092896</c:v>
                </c:pt>
                <c:pt idx="11">
                  <c:v>19.999998807907104</c:v>
                </c:pt>
                <c:pt idx="12">
                  <c:v>10.000002384185791</c:v>
                </c:pt>
                <c:pt idx="13">
                  <c:v>0</c:v>
                </c:pt>
              </c:numCache>
            </c:numRef>
          </c:xVal>
          <c:yVal>
            <c:numRef>
              <c:f>STCurve!$D$54:$D$67</c:f>
              <c:numCache>
                <c:formatCode>0.0</c:formatCode>
                <c:ptCount val="14"/>
                <c:pt idx="0">
                  <c:v>100</c:v>
                </c:pt>
                <c:pt idx="1">
                  <c:v>98</c:v>
                </c:pt>
                <c:pt idx="2">
                  <c:v>87</c:v>
                </c:pt>
                <c:pt idx="3">
                  <c:v>74</c:v>
                </c:pt>
                <c:pt idx="4">
                  <c:v>61</c:v>
                </c:pt>
                <c:pt idx="5">
                  <c:v>50</c:v>
                </c:pt>
                <c:pt idx="6">
                  <c:v>33</c:v>
                </c:pt>
                <c:pt idx="7">
                  <c:v>22</c:v>
                </c:pt>
                <c:pt idx="8">
                  <c:v>14</c:v>
                </c:pt>
                <c:pt idx="9">
                  <c:v>7.9999995231628418</c:v>
                </c:pt>
                <c:pt idx="10">
                  <c:v>5.9999995231628418</c:v>
                </c:pt>
                <c:pt idx="11">
                  <c:v>8.0000009536743164</c:v>
                </c:pt>
                <c:pt idx="12">
                  <c:v>14.999996185302734</c:v>
                </c:pt>
                <c:pt idx="13">
                  <c:v>30</c:v>
                </c:pt>
              </c:numCache>
            </c:numRef>
          </c:yVal>
          <c:smooth val="1"/>
          <c:extLst>
            <c:ext xmlns:c16="http://schemas.microsoft.com/office/drawing/2014/chart" uri="{C3380CC4-5D6E-409C-BE32-E72D297353CC}">
              <c16:uniqueId val="{00000000-E6E2-4F86-9D28-5F520748FCB6}"/>
            </c:ext>
          </c:extLst>
        </c:ser>
        <c:dLbls>
          <c:showLegendKey val="0"/>
          <c:showVal val="0"/>
          <c:showCatName val="0"/>
          <c:showSerName val="0"/>
          <c:showPercent val="0"/>
          <c:showBubbleSize val="0"/>
        </c:dLbls>
        <c:axId val="162595968"/>
        <c:axId val="162597888"/>
      </c:scatterChart>
      <c:scatterChart>
        <c:scatterStyle val="smoothMarker"/>
        <c:varyColors val="0"/>
        <c:ser>
          <c:idx val="0"/>
          <c:order val="0"/>
          <c:tx>
            <c:v>Torque (FV)</c:v>
          </c:tx>
          <c:spPr>
            <a:ln w="25400">
              <a:solidFill>
                <a:srgbClr val="000000"/>
              </a:solidFill>
              <a:prstDash val="solid"/>
            </a:ln>
          </c:spPr>
          <c:marker>
            <c:symbol val="none"/>
          </c:marker>
          <c:xVal>
            <c:numRef>
              <c:f>STCurve!$A$54:$A$67</c:f>
              <c:numCache>
                <c:formatCode>0.0</c:formatCode>
                <c:ptCount val="14"/>
                <c:pt idx="0">
                  <c:v>100</c:v>
                </c:pt>
                <c:pt idx="1">
                  <c:v>99.000000022351742</c:v>
                </c:pt>
                <c:pt idx="2">
                  <c:v>94.999999925494194</c:v>
                </c:pt>
                <c:pt idx="3">
                  <c:v>89.999999850988388</c:v>
                </c:pt>
                <c:pt idx="4">
                  <c:v>84.999999403953552</c:v>
                </c:pt>
                <c:pt idx="5">
                  <c:v>79.999999701976776</c:v>
                </c:pt>
                <c:pt idx="6">
                  <c:v>69.999998807907104</c:v>
                </c:pt>
                <c:pt idx="7">
                  <c:v>59.999999403953552</c:v>
                </c:pt>
                <c:pt idx="8">
                  <c:v>50</c:v>
                </c:pt>
                <c:pt idx="9">
                  <c:v>39.999997615814209</c:v>
                </c:pt>
                <c:pt idx="10">
                  <c:v>30.000001192092896</c:v>
                </c:pt>
                <c:pt idx="11">
                  <c:v>19.999998807907104</c:v>
                </c:pt>
                <c:pt idx="12">
                  <c:v>10.000002384185791</c:v>
                </c:pt>
                <c:pt idx="13">
                  <c:v>0</c:v>
                </c:pt>
              </c:numCache>
            </c:numRef>
          </c:xVal>
          <c:yVal>
            <c:numRef>
              <c:f>STCurve!$B$54:$B$67</c:f>
              <c:numCache>
                <c:formatCode>0.0</c:formatCode>
                <c:ptCount val="14"/>
                <c:pt idx="0">
                  <c:v>0</c:v>
                </c:pt>
                <c:pt idx="1">
                  <c:v>149.24866256139649</c:v>
                </c:pt>
                <c:pt idx="2">
                  <c:v>250</c:v>
                </c:pt>
                <c:pt idx="3">
                  <c:v>182.56007983657682</c:v>
                </c:pt>
                <c:pt idx="4">
                  <c:v>157.26921656041685</c:v>
                </c:pt>
                <c:pt idx="5">
                  <c:v>150.57365611554496</c:v>
                </c:pt>
                <c:pt idx="6">
                  <c:v>150.3089318254178</c:v>
                </c:pt>
                <c:pt idx="7">
                  <c:v>150</c:v>
                </c:pt>
                <c:pt idx="8">
                  <c:v>150.4143364705522</c:v>
                </c:pt>
                <c:pt idx="9">
                  <c:v>152.24763642599206</c:v>
                </c:pt>
                <c:pt idx="10">
                  <c:v>156.14762401491896</c:v>
                </c:pt>
                <c:pt idx="11">
                  <c:v>163.4349393589801</c:v>
                </c:pt>
                <c:pt idx="12">
                  <c:v>176.60009469301932</c:v>
                </c:pt>
                <c:pt idx="13">
                  <c:v>200</c:v>
                </c:pt>
              </c:numCache>
            </c:numRef>
          </c:yVal>
          <c:smooth val="1"/>
          <c:extLst>
            <c:ext xmlns:c16="http://schemas.microsoft.com/office/drawing/2014/chart" uri="{C3380CC4-5D6E-409C-BE32-E72D297353CC}">
              <c16:uniqueId val="{00000001-E6E2-4F86-9D28-5F520748FCB6}"/>
            </c:ext>
          </c:extLst>
        </c:ser>
        <c:dLbls>
          <c:showLegendKey val="0"/>
          <c:showVal val="0"/>
          <c:showCatName val="0"/>
          <c:showSerName val="0"/>
          <c:showPercent val="0"/>
          <c:showBubbleSize val="0"/>
        </c:dLbls>
        <c:axId val="162595968"/>
        <c:axId val="162597888"/>
      </c:scatterChart>
      <c:scatterChart>
        <c:scatterStyle val="lineMarker"/>
        <c:varyColors val="0"/>
        <c:ser>
          <c:idx val="1"/>
          <c:order val="1"/>
          <c:tx>
            <c:v>Current</c:v>
          </c:tx>
          <c:spPr>
            <a:ln w="25400">
              <a:solidFill>
                <a:srgbClr val="000000"/>
              </a:solidFill>
              <a:prstDash val="lgDash"/>
            </a:ln>
          </c:spPr>
          <c:marker>
            <c:symbol val="none"/>
          </c:marker>
          <c:xVal>
            <c:numRef>
              <c:f>STCurve!$A$54:$A$67</c:f>
              <c:numCache>
                <c:formatCode>0.0</c:formatCode>
                <c:ptCount val="14"/>
                <c:pt idx="0">
                  <c:v>100</c:v>
                </c:pt>
                <c:pt idx="1">
                  <c:v>99.000000022351742</c:v>
                </c:pt>
                <c:pt idx="2">
                  <c:v>94.999999925494194</c:v>
                </c:pt>
                <c:pt idx="3">
                  <c:v>89.999999850988388</c:v>
                </c:pt>
                <c:pt idx="4">
                  <c:v>84.999999403953552</c:v>
                </c:pt>
                <c:pt idx="5">
                  <c:v>79.999999701976776</c:v>
                </c:pt>
                <c:pt idx="6">
                  <c:v>69.999998807907104</c:v>
                </c:pt>
                <c:pt idx="7">
                  <c:v>59.999999403953552</c:v>
                </c:pt>
                <c:pt idx="8">
                  <c:v>50</c:v>
                </c:pt>
                <c:pt idx="9">
                  <c:v>39.999997615814209</c:v>
                </c:pt>
                <c:pt idx="10">
                  <c:v>30.000001192092896</c:v>
                </c:pt>
                <c:pt idx="11">
                  <c:v>19.999998807907104</c:v>
                </c:pt>
                <c:pt idx="12">
                  <c:v>10.000002384185791</c:v>
                </c:pt>
                <c:pt idx="13">
                  <c:v>0</c:v>
                </c:pt>
              </c:numCache>
            </c:numRef>
          </c:xVal>
          <c:yVal>
            <c:numRef>
              <c:f>STCurve!$C$54:$C$67</c:f>
              <c:numCache>
                <c:formatCode>0.0</c:formatCode>
                <c:ptCount val="14"/>
                <c:pt idx="0">
                  <c:v>0.30468457937240601</c:v>
                </c:pt>
                <c:pt idx="1">
                  <c:v>186.48269653320313</c:v>
                </c:pt>
                <c:pt idx="2">
                  <c:v>524.08502197265625</c:v>
                </c:pt>
                <c:pt idx="3">
                  <c:v>601.06640625</c:v>
                </c:pt>
                <c:pt idx="4">
                  <c:v>622.5517578125</c:v>
                </c:pt>
                <c:pt idx="5">
                  <c:v>633.2818603515625</c:v>
                </c:pt>
                <c:pt idx="6">
                  <c:v>646.8851318359375</c:v>
                </c:pt>
                <c:pt idx="7">
                  <c:v>657.76348876953125</c:v>
                </c:pt>
                <c:pt idx="8">
                  <c:v>667.12347412109375</c:v>
                </c:pt>
                <c:pt idx="9">
                  <c:v>675.67401123046875</c:v>
                </c:pt>
                <c:pt idx="10">
                  <c:v>683.1319580078125</c:v>
                </c:pt>
                <c:pt idx="11">
                  <c:v>689.41552734375</c:v>
                </c:pt>
                <c:pt idx="12">
                  <c:v>694.603515625</c:v>
                </c:pt>
                <c:pt idx="13">
                  <c:v>698.3050537109375</c:v>
                </c:pt>
              </c:numCache>
            </c:numRef>
          </c:yVal>
          <c:smooth val="1"/>
          <c:extLst>
            <c:ext xmlns:c16="http://schemas.microsoft.com/office/drawing/2014/chart" uri="{C3380CC4-5D6E-409C-BE32-E72D297353CC}">
              <c16:uniqueId val="{00000002-E6E2-4F86-9D28-5F520748FCB6}"/>
            </c:ext>
          </c:extLst>
        </c:ser>
        <c:dLbls>
          <c:showLegendKey val="0"/>
          <c:showVal val="0"/>
          <c:showCatName val="0"/>
          <c:showSerName val="0"/>
          <c:showPercent val="0"/>
          <c:showBubbleSize val="0"/>
        </c:dLbls>
        <c:axId val="162600064"/>
        <c:axId val="162601600"/>
      </c:scatterChart>
      <c:valAx>
        <c:axId val="162595968"/>
        <c:scaling>
          <c:orientation val="minMax"/>
          <c:max val="100"/>
        </c:scaling>
        <c:delete val="0"/>
        <c:axPos val="b"/>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Synchronous Speed</a:t>
                </a:r>
              </a:p>
            </c:rich>
          </c:tx>
          <c:layout>
            <c:manualLayout>
              <c:xMode val="edge"/>
              <c:yMode val="edge"/>
              <c:x val="0.33508829339414303"/>
              <c:y val="0.8460083899050078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162597888"/>
        <c:crosses val="autoZero"/>
        <c:crossBetween val="midCat"/>
        <c:majorUnit val="20"/>
        <c:minorUnit val="20"/>
      </c:valAx>
      <c:valAx>
        <c:axId val="162597888"/>
        <c:scaling>
          <c:orientation val="minMax"/>
        </c:scaling>
        <c:delete val="0"/>
        <c:axPos val="l"/>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Full-Load Torque</a:t>
                </a:r>
              </a:p>
            </c:rich>
          </c:tx>
          <c:layout>
            <c:manualLayout>
              <c:xMode val="edge"/>
              <c:yMode val="edge"/>
              <c:x val="2.8070223530399414E-2"/>
              <c:y val="0.2965782220790589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162595968"/>
        <c:crosses val="autoZero"/>
        <c:crossBetween val="midCat"/>
      </c:valAx>
      <c:valAx>
        <c:axId val="162600064"/>
        <c:scaling>
          <c:orientation val="minMax"/>
        </c:scaling>
        <c:delete val="1"/>
        <c:axPos val="b"/>
        <c:numFmt formatCode="0.0" sourceLinked="1"/>
        <c:majorTickMark val="out"/>
        <c:minorTickMark val="none"/>
        <c:tickLblPos val="nextTo"/>
        <c:crossAx val="162601600"/>
        <c:crosses val="autoZero"/>
        <c:crossBetween val="midCat"/>
      </c:valAx>
      <c:valAx>
        <c:axId val="162601600"/>
        <c:scaling>
          <c:orientation val="minMax"/>
          <c:max val="900"/>
        </c:scaling>
        <c:delete val="0"/>
        <c:axPos val="r"/>
        <c:title>
          <c:tx>
            <c:rich>
              <a:bodyPr/>
              <a:lstStyle/>
              <a:p>
                <a:pPr>
                  <a:defRPr sz="1100" b="0" i="1" u="none" strike="noStrike" baseline="0">
                    <a:solidFill>
                      <a:srgbClr val="000000"/>
                    </a:solidFill>
                    <a:latin typeface="Times New Roman"/>
                    <a:ea typeface="Times New Roman"/>
                    <a:cs typeface="Times New Roman"/>
                  </a:defRPr>
                </a:pPr>
                <a:r>
                  <a:rPr lang="en-US"/>
                  <a:t>Percent Full-Load Current</a:t>
                </a:r>
              </a:p>
            </c:rich>
          </c:tx>
          <c:layout>
            <c:manualLayout>
              <c:xMode val="edge"/>
              <c:yMode val="edge"/>
              <c:x val="0.92456298753253074"/>
              <c:y val="0.29277593718060946"/>
            </c:manualLayout>
          </c:layout>
          <c:overlay val="0"/>
          <c:spPr>
            <a:solidFill>
              <a:srgbClr val="FFFFFF"/>
            </a:solid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162600064"/>
        <c:crosses val="max"/>
        <c:crossBetween val="midCat"/>
        <c:majorUnit val="150"/>
      </c:valAx>
      <c:spPr>
        <a:solidFill>
          <a:srgbClr val="FFFFFF"/>
        </a:solidFill>
        <a:ln w="12700">
          <a:solidFill>
            <a:srgbClr val="000000"/>
          </a:solidFill>
          <a:prstDash val="solid"/>
        </a:ln>
      </c:spPr>
    </c:plotArea>
    <c:legend>
      <c:legendPos val="r"/>
      <c:layout>
        <c:manualLayout>
          <c:xMode val="edge"/>
          <c:yMode val="edge"/>
          <c:x val="0.34210584927674287"/>
          <c:y val="0.90304262347434705"/>
          <c:w val="0.25090132154533312"/>
          <c:h val="9.6957376525652922E-2"/>
        </c:manualLayout>
      </c:layout>
      <c:overlay val="0"/>
      <c:spPr>
        <a:solidFill>
          <a:srgbClr val="FFFFFF"/>
        </a:solidFill>
        <a:ln w="25400">
          <a:noFill/>
        </a:ln>
      </c:spPr>
      <c:txPr>
        <a:bodyPr/>
        <a:lstStyle/>
        <a:p>
          <a:pPr>
            <a:defRPr sz="92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0" verticalDpi="30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82084690553746"/>
          <c:y val="2.3668656149350608E-2"/>
          <c:w val="0.81921824104234531"/>
          <c:h val="0.86834382247930042"/>
        </c:manualLayout>
      </c:layout>
      <c:scatterChart>
        <c:scatterStyle val="smoothMarker"/>
        <c:varyColors val="0"/>
        <c:ser>
          <c:idx val="0"/>
          <c:order val="0"/>
          <c:tx>
            <c:v>Cold Stall</c:v>
          </c:tx>
          <c:spPr>
            <a:ln w="25400">
              <a:solidFill>
                <a:srgbClr val="0080C0"/>
              </a:solidFill>
              <a:prstDash val="solid"/>
            </a:ln>
          </c:spPr>
          <c:marker>
            <c:symbol val="none"/>
          </c:marker>
          <c:xVal>
            <c:numRef>
              <c:f>Thermdam!$A$68:$A$71</c:f>
              <c:numCache>
                <c:formatCode>0</c:formatCode>
                <c:ptCount val="4"/>
                <c:pt idx="0">
                  <c:v>708.47457627118649</c:v>
                </c:pt>
                <c:pt idx="1">
                  <c:v>700</c:v>
                </c:pt>
                <c:pt idx="2">
                  <c:v>600</c:v>
                </c:pt>
                <c:pt idx="3">
                  <c:v>500</c:v>
                </c:pt>
              </c:numCache>
            </c:numRef>
          </c:xVal>
          <c:yVal>
            <c:numRef>
              <c:f>Thermdam!$B$68:$B$71</c:f>
              <c:numCache>
                <c:formatCode>0.00</c:formatCode>
                <c:ptCount val="4"/>
                <c:pt idx="0">
                  <c:v>14.445968355451312</c:v>
                </c:pt>
                <c:pt idx="1">
                  <c:v>14.79786699187939</c:v>
                </c:pt>
                <c:pt idx="2">
                  <c:v>20.141541183391393</c:v>
                </c:pt>
                <c:pt idx="3">
                  <c:v>29.003819304083603</c:v>
                </c:pt>
              </c:numCache>
            </c:numRef>
          </c:yVal>
          <c:smooth val="1"/>
          <c:extLst>
            <c:ext xmlns:c16="http://schemas.microsoft.com/office/drawing/2014/chart" uri="{C3380CC4-5D6E-409C-BE32-E72D297353CC}">
              <c16:uniqueId val="{00000000-681E-418C-B2A4-9C533B65ACFA}"/>
            </c:ext>
          </c:extLst>
        </c:ser>
        <c:ser>
          <c:idx val="1"/>
          <c:order val="1"/>
          <c:tx>
            <c:v>Hot Stall</c:v>
          </c:tx>
          <c:spPr>
            <a:ln w="25400">
              <a:solidFill>
                <a:srgbClr val="996666"/>
              </a:solidFill>
              <a:prstDash val="solid"/>
            </a:ln>
          </c:spPr>
          <c:marker>
            <c:symbol val="none"/>
          </c:marker>
          <c:xVal>
            <c:numRef>
              <c:f>Thermdam!$A$68:$A$71</c:f>
              <c:numCache>
                <c:formatCode>0</c:formatCode>
                <c:ptCount val="4"/>
                <c:pt idx="0">
                  <c:v>708.47457627118649</c:v>
                </c:pt>
                <c:pt idx="1">
                  <c:v>700</c:v>
                </c:pt>
                <c:pt idx="2">
                  <c:v>600</c:v>
                </c:pt>
                <c:pt idx="3">
                  <c:v>500</c:v>
                </c:pt>
              </c:numCache>
            </c:numRef>
          </c:xVal>
          <c:yVal>
            <c:numRef>
              <c:f>Thermdam!$C$68:$C$71</c:f>
              <c:numCache>
                <c:formatCode>0.00</c:formatCode>
                <c:ptCount val="4"/>
                <c:pt idx="0">
                  <c:v>6.0525574002947131</c:v>
                </c:pt>
                <c:pt idx="1">
                  <c:v>6.1999955396883006</c:v>
                </c:pt>
                <c:pt idx="2">
                  <c:v>8.4388828179090751</c:v>
                </c:pt>
                <c:pt idx="3">
                  <c:v>12.151991257789067</c:v>
                </c:pt>
              </c:numCache>
            </c:numRef>
          </c:yVal>
          <c:smooth val="1"/>
          <c:extLst>
            <c:ext xmlns:c16="http://schemas.microsoft.com/office/drawing/2014/chart" uri="{C3380CC4-5D6E-409C-BE32-E72D297353CC}">
              <c16:uniqueId val="{00000001-681E-418C-B2A4-9C533B65ACFA}"/>
            </c:ext>
          </c:extLst>
        </c:ser>
        <c:ser>
          <c:idx val="2"/>
          <c:order val="2"/>
          <c:tx>
            <c:v>Running Condition</c:v>
          </c:tx>
          <c:spPr>
            <a:ln w="25400">
              <a:solidFill>
                <a:srgbClr val="000000"/>
              </a:solidFill>
              <a:prstDash val="solid"/>
            </a:ln>
          </c:spPr>
          <c:marker>
            <c:symbol val="none"/>
          </c:marker>
          <c:xVal>
            <c:numRef>
              <c:f>Thermdam!$A$72:$A$79</c:f>
              <c:numCache>
                <c:formatCode>0</c:formatCode>
                <c:ptCount val="8"/>
                <c:pt idx="0">
                  <c:v>400</c:v>
                </c:pt>
                <c:pt idx="1">
                  <c:v>300</c:v>
                </c:pt>
                <c:pt idx="2">
                  <c:v>255</c:v>
                </c:pt>
                <c:pt idx="3" formatCode="General">
                  <c:v>180</c:v>
                </c:pt>
                <c:pt idx="4" formatCode="General">
                  <c:v>120</c:v>
                </c:pt>
                <c:pt idx="5" formatCode="General">
                  <c:v>110</c:v>
                </c:pt>
                <c:pt idx="6" formatCode="General">
                  <c:v>110</c:v>
                </c:pt>
                <c:pt idx="7" formatCode="General">
                  <c:v>110</c:v>
                </c:pt>
              </c:numCache>
            </c:numRef>
          </c:xVal>
          <c:yVal>
            <c:numRef>
              <c:f>Thermdam!$C$72:$C$79</c:f>
              <c:numCache>
                <c:formatCode>0.00</c:formatCode>
                <c:ptCount val="8"/>
                <c:pt idx="2">
                  <c:v>46.720458507455085</c:v>
                </c:pt>
                <c:pt idx="3">
                  <c:v>93.765364643434154</c:v>
                </c:pt>
                <c:pt idx="4">
                  <c:v>210.97207044772685</c:v>
                </c:pt>
                <c:pt idx="5" formatCode="0">
                  <c:v>500</c:v>
                </c:pt>
                <c:pt idx="6" formatCode="0">
                  <c:v>1000</c:v>
                </c:pt>
                <c:pt idx="7" formatCode="General">
                  <c:v>10000</c:v>
                </c:pt>
              </c:numCache>
            </c:numRef>
          </c:yVal>
          <c:smooth val="1"/>
          <c:extLst>
            <c:ext xmlns:c16="http://schemas.microsoft.com/office/drawing/2014/chart" uri="{C3380CC4-5D6E-409C-BE32-E72D297353CC}">
              <c16:uniqueId val="{00000002-681E-418C-B2A4-9C533B65ACFA}"/>
            </c:ext>
          </c:extLst>
        </c:ser>
        <c:ser>
          <c:idx val="3"/>
          <c:order val="3"/>
          <c:tx>
            <c:v>Acceleration Curve</c:v>
          </c:tx>
          <c:spPr>
            <a:ln w="25400">
              <a:solidFill>
                <a:srgbClr val="336666"/>
              </a:solidFill>
              <a:prstDash val="solid"/>
            </a:ln>
          </c:spPr>
          <c:marker>
            <c:symbol val="none"/>
          </c:marker>
          <c:xVal>
            <c:numRef>
              <c:f>Thermdam!$E$68:$E$81</c:f>
              <c:numCache>
                <c:formatCode>0</c:formatCode>
                <c:ptCount val="14"/>
                <c:pt idx="0">
                  <c:v>708.47457627118649</c:v>
                </c:pt>
                <c:pt idx="1">
                  <c:v>706.61016949152543</c:v>
                </c:pt>
                <c:pt idx="2">
                  <c:v>702.03389830508479</c:v>
                </c:pt>
                <c:pt idx="3">
                  <c:v>696.27118644067798</c:v>
                </c:pt>
                <c:pt idx="4">
                  <c:v>689.32203389830511</c:v>
                </c:pt>
                <c:pt idx="5">
                  <c:v>681.18644067796606</c:v>
                </c:pt>
                <c:pt idx="6">
                  <c:v>672.03389830508479</c:v>
                </c:pt>
                <c:pt idx="7">
                  <c:v>661.86440677966107</c:v>
                </c:pt>
                <c:pt idx="8">
                  <c:v>649.32203389830511</c:v>
                </c:pt>
                <c:pt idx="9">
                  <c:v>637.11864406779659</c:v>
                </c:pt>
                <c:pt idx="10">
                  <c:v>620.67796610169489</c:v>
                </c:pt>
                <c:pt idx="11">
                  <c:v>570.84745762711862</c:v>
                </c:pt>
                <c:pt idx="12">
                  <c:v>360.50847457627117</c:v>
                </c:pt>
                <c:pt idx="13">
                  <c:v>110</c:v>
                </c:pt>
              </c:numCache>
            </c:numRef>
          </c:xVal>
          <c:yVal>
            <c:numRef>
              <c:f>Thermdam!$F$68:$F$81</c:f>
              <c:numCache>
                <c:formatCode>0.00</c:formatCode>
                <c:ptCount val="14"/>
                <c:pt idx="0">
                  <c:v>1E-4</c:v>
                </c:pt>
                <c:pt idx="1">
                  <c:v>0.24188471868932249</c:v>
                </c:pt>
                <c:pt idx="2">
                  <c:v>0.49240815977811814</c:v>
                </c:pt>
                <c:pt idx="3">
                  <c:v>0.75078501678228382</c:v>
                </c:pt>
                <c:pt idx="4">
                  <c:v>1.0170152662968637</c:v>
                </c:pt>
                <c:pt idx="5">
                  <c:v>1.2950256045770645</c:v>
                </c:pt>
                <c:pt idx="6">
                  <c:v>1.5871720680999757</c:v>
                </c:pt>
                <c:pt idx="7">
                  <c:v>1.8989521065187456</c:v>
                </c:pt>
                <c:pt idx="8">
                  <c:v>2.2445017514562609</c:v>
                </c:pt>
                <c:pt idx="9">
                  <c:v>2.4345541123437884</c:v>
                </c:pt>
                <c:pt idx="10">
                  <c:v>2.6206796833562853</c:v>
                </c:pt>
                <c:pt idx="11">
                  <c:v>2.766753008737564</c:v>
                </c:pt>
                <c:pt idx="12">
                  <c:v>2.9167529367542269</c:v>
                </c:pt>
                <c:pt idx="13">
                  <c:v>2.9968576152563098</c:v>
                </c:pt>
              </c:numCache>
            </c:numRef>
          </c:yVal>
          <c:smooth val="1"/>
          <c:extLst>
            <c:ext xmlns:c16="http://schemas.microsoft.com/office/drawing/2014/chart" uri="{C3380CC4-5D6E-409C-BE32-E72D297353CC}">
              <c16:uniqueId val="{00000003-681E-418C-B2A4-9C533B65ACFA}"/>
            </c:ext>
          </c:extLst>
        </c:ser>
        <c:dLbls>
          <c:showLegendKey val="0"/>
          <c:showVal val="0"/>
          <c:showCatName val="0"/>
          <c:showSerName val="0"/>
          <c:showPercent val="0"/>
          <c:showBubbleSize val="0"/>
        </c:dLbls>
        <c:axId val="163473664"/>
        <c:axId val="163492224"/>
      </c:scatterChart>
      <c:valAx>
        <c:axId val="163473664"/>
        <c:scaling>
          <c:orientation val="minMax"/>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Percent of Full Load Current</a:t>
                </a:r>
              </a:p>
            </c:rich>
          </c:tx>
          <c:layout>
            <c:manualLayout>
              <c:xMode val="edge"/>
              <c:yMode val="edge"/>
              <c:x val="0.41530944625407168"/>
              <c:y val="0.94970482799269307"/>
            </c:manualLayout>
          </c:layout>
          <c:overlay val="0"/>
          <c:spPr>
            <a:noFill/>
            <a:ln w="25400">
              <a:noFill/>
            </a:ln>
          </c:spPr>
        </c:title>
        <c:numFmt formatCode="0" sourceLinked="1"/>
        <c:majorTickMark val="out"/>
        <c:minorTickMark val="in"/>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63492224"/>
        <c:crossesAt val="0.1"/>
        <c:crossBetween val="midCat"/>
      </c:valAx>
      <c:valAx>
        <c:axId val="163492224"/>
        <c:scaling>
          <c:logBase val="10"/>
          <c:orientation val="minMax"/>
          <c:max val="10000"/>
          <c:min val="1"/>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Time in Seconds</a:t>
                </a:r>
              </a:p>
            </c:rich>
          </c:tx>
          <c:layout>
            <c:manualLayout>
              <c:xMode val="edge"/>
              <c:yMode val="edge"/>
              <c:x val="3.5830618892508145E-2"/>
              <c:y val="0.375739916370940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63473664"/>
        <c:crosses val="autoZero"/>
        <c:crossBetween val="midCat"/>
        <c:minorUnit val="10"/>
      </c:valAx>
      <c:spPr>
        <a:noFill/>
        <a:ln w="25400">
          <a:noFill/>
        </a:ln>
      </c:spPr>
    </c:plotArea>
    <c:plotVisOnly val="1"/>
    <c:dispBlanksAs val="gap"/>
    <c:showDLblsOverMax val="0"/>
  </c:chart>
  <c:spPr>
    <a:solidFill>
      <a:srgbClr val="FFFFFF"/>
    </a:solidFill>
    <a:ln w="9525">
      <a:noFill/>
    </a:ln>
  </c:spPr>
  <c:txPr>
    <a:bodyPr/>
    <a:lstStyle/>
    <a:p>
      <a:pPr>
        <a:defRPr sz="1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689952292200055"/>
          <c:y val="3.5984915040754913E-2"/>
          <c:w val="0.6201559777070883"/>
          <c:h val="0.82386516014359934"/>
        </c:manualLayout>
      </c:layout>
      <c:scatterChart>
        <c:scatterStyle val="smoothMarker"/>
        <c:varyColors val="0"/>
        <c:ser>
          <c:idx val="0"/>
          <c:order val="0"/>
          <c:tx>
            <c:v>Efficiency</c:v>
          </c:tx>
          <c:spPr>
            <a:ln w="25400">
              <a:solidFill>
                <a:srgbClr val="000080"/>
              </a:solidFill>
              <a:prstDash val="solid"/>
            </a:ln>
          </c:spPr>
          <c:marker>
            <c:symbol val="none"/>
          </c:marker>
          <c:xVal>
            <c:numRef>
              <c:f>'Performance 4000V'!$A$54:$A$59</c:f>
              <c:numCache>
                <c:formatCode>0.0</c:formatCode>
                <c:ptCount val="6"/>
                <c:pt idx="0">
                  <c:v>0</c:v>
                </c:pt>
                <c:pt idx="1">
                  <c:v>25</c:v>
                </c:pt>
                <c:pt idx="2">
                  <c:v>50</c:v>
                </c:pt>
                <c:pt idx="3">
                  <c:v>75</c:v>
                </c:pt>
                <c:pt idx="4">
                  <c:v>100</c:v>
                </c:pt>
                <c:pt idx="5">
                  <c:v>125</c:v>
                </c:pt>
              </c:numCache>
            </c:numRef>
          </c:xVal>
          <c:yVal>
            <c:numRef>
              <c:f>'Performance 4000V'!$B$54:$B$59</c:f>
              <c:numCache>
                <c:formatCode>0.0</c:formatCode>
                <c:ptCount val="6"/>
                <c:pt idx="1">
                  <c:v>85.411460876464844</c:v>
                </c:pt>
                <c:pt idx="2">
                  <c:v>91.649429321289063</c:v>
                </c:pt>
                <c:pt idx="3">
                  <c:v>93.773727416992188</c:v>
                </c:pt>
                <c:pt idx="4">
                  <c:v>94.744537353515625</c:v>
                </c:pt>
                <c:pt idx="5">
                  <c:v>95.228584289550781</c:v>
                </c:pt>
              </c:numCache>
            </c:numRef>
          </c:yVal>
          <c:smooth val="1"/>
          <c:extLst>
            <c:ext xmlns:c16="http://schemas.microsoft.com/office/drawing/2014/chart" uri="{C3380CC4-5D6E-409C-BE32-E72D297353CC}">
              <c16:uniqueId val="{00000000-0440-449F-BA9E-893D28BD92A4}"/>
            </c:ext>
          </c:extLst>
        </c:ser>
        <c:ser>
          <c:idx val="1"/>
          <c:order val="1"/>
          <c:spPr>
            <a:ln w="25400">
              <a:solidFill>
                <a:srgbClr val="000000"/>
              </a:solidFill>
              <a:prstDash val="solid"/>
            </a:ln>
          </c:spPr>
          <c:marker>
            <c:symbol val="none"/>
          </c:marker>
          <c:xVal>
            <c:numRef>
              <c:f>'Performance 4000V'!$A$55:$A$59</c:f>
              <c:numCache>
                <c:formatCode>0.0</c:formatCode>
                <c:ptCount val="5"/>
                <c:pt idx="0">
                  <c:v>25</c:v>
                </c:pt>
                <c:pt idx="1">
                  <c:v>50</c:v>
                </c:pt>
                <c:pt idx="2">
                  <c:v>75</c:v>
                </c:pt>
                <c:pt idx="3">
                  <c:v>100</c:v>
                </c:pt>
                <c:pt idx="4">
                  <c:v>125</c:v>
                </c:pt>
              </c:numCache>
            </c:numRef>
          </c:xVal>
          <c:yVal>
            <c:numRef>
              <c:f>'Performance 4000V'!$C$55:$C$59</c:f>
              <c:numCache>
                <c:formatCode>0.0</c:formatCode>
                <c:ptCount val="5"/>
                <c:pt idx="0">
                  <c:v>56.454250335693359</c:v>
                </c:pt>
                <c:pt idx="1">
                  <c:v>76.265098571777344</c:v>
                </c:pt>
                <c:pt idx="2">
                  <c:v>83.521492004394531</c:v>
                </c:pt>
                <c:pt idx="3">
                  <c:v>86.402099609375</c:v>
                </c:pt>
                <c:pt idx="4">
                  <c:v>87.474609375</c:v>
                </c:pt>
              </c:numCache>
            </c:numRef>
          </c:yVal>
          <c:smooth val="1"/>
          <c:extLst>
            <c:ext xmlns:c16="http://schemas.microsoft.com/office/drawing/2014/chart" uri="{C3380CC4-5D6E-409C-BE32-E72D297353CC}">
              <c16:uniqueId val="{00000001-0440-449F-BA9E-893D28BD92A4}"/>
            </c:ext>
          </c:extLst>
        </c:ser>
        <c:ser>
          <c:idx val="3"/>
          <c:order val="3"/>
          <c:spPr>
            <a:ln w="25400">
              <a:solidFill>
                <a:srgbClr val="3333CC"/>
              </a:solidFill>
              <a:prstDash val="solid"/>
            </a:ln>
          </c:spPr>
          <c:marker>
            <c:symbol val="none"/>
          </c:marker>
          <c:xVal>
            <c:numRef>
              <c:f>'Performance 4000V'!$A$54:$A$59</c:f>
              <c:numCache>
                <c:formatCode>0.0</c:formatCode>
                <c:ptCount val="6"/>
                <c:pt idx="0">
                  <c:v>0</c:v>
                </c:pt>
                <c:pt idx="1">
                  <c:v>25</c:v>
                </c:pt>
                <c:pt idx="2">
                  <c:v>50</c:v>
                </c:pt>
                <c:pt idx="3">
                  <c:v>75</c:v>
                </c:pt>
                <c:pt idx="4">
                  <c:v>100</c:v>
                </c:pt>
                <c:pt idx="5">
                  <c:v>125</c:v>
                </c:pt>
              </c:numCache>
            </c:numRef>
          </c:xVal>
          <c:yVal>
            <c:numRef>
              <c:f>'Performance 4000V'!$E$54:$E$59</c:f>
              <c:numCache>
                <c:formatCode>0.0</c:formatCode>
                <c:ptCount val="6"/>
                <c:pt idx="0">
                  <c:v>100</c:v>
                </c:pt>
                <c:pt idx="1">
                  <c:v>69.19772758337038</c:v>
                </c:pt>
                <c:pt idx="2">
                  <c:v>58.866101094005899</c:v>
                </c:pt>
                <c:pt idx="3">
                  <c:v>48.323519173264714</c:v>
                </c:pt>
                <c:pt idx="4">
                  <c:v>37.578915250430327</c:v>
                </c:pt>
                <c:pt idx="5">
                  <c:v>26.521485529593818</c:v>
                </c:pt>
              </c:numCache>
            </c:numRef>
          </c:yVal>
          <c:smooth val="1"/>
          <c:extLst>
            <c:ext xmlns:c16="http://schemas.microsoft.com/office/drawing/2014/chart" uri="{C3380CC4-5D6E-409C-BE32-E72D297353CC}">
              <c16:uniqueId val="{00000002-0440-449F-BA9E-893D28BD92A4}"/>
            </c:ext>
          </c:extLst>
        </c:ser>
        <c:ser>
          <c:idx val="4"/>
          <c:order val="4"/>
          <c:spPr>
            <a:ln w="25400">
              <a:solidFill>
                <a:srgbClr val="339933"/>
              </a:solidFill>
              <a:prstDash val="solid"/>
            </a:ln>
          </c:spPr>
          <c:marker>
            <c:symbol val="none"/>
          </c:marker>
          <c:xVal>
            <c:numRef>
              <c:f>'Performance 4000V'!$A$54:$A$59</c:f>
              <c:numCache>
                <c:formatCode>0.0</c:formatCode>
                <c:ptCount val="6"/>
                <c:pt idx="0">
                  <c:v>0</c:v>
                </c:pt>
                <c:pt idx="1">
                  <c:v>25</c:v>
                </c:pt>
                <c:pt idx="2">
                  <c:v>50</c:v>
                </c:pt>
                <c:pt idx="3">
                  <c:v>75</c:v>
                </c:pt>
                <c:pt idx="4">
                  <c:v>100</c:v>
                </c:pt>
                <c:pt idx="5">
                  <c:v>125</c:v>
                </c:pt>
              </c:numCache>
            </c:numRef>
          </c:xVal>
          <c:yVal>
            <c:numRef>
              <c:f>'Performance 4000V'!$F$54:$F$59</c:f>
              <c:numCache>
                <c:formatCode>0.0</c:formatCode>
                <c:ptCount val="6"/>
                <c:pt idx="0">
                  <c:v>0.93300000000000005</c:v>
                </c:pt>
                <c:pt idx="1">
                  <c:v>9.8289939644072408</c:v>
                </c:pt>
                <c:pt idx="2">
                  <c:v>18.319999012316089</c:v>
                </c:pt>
                <c:pt idx="3">
                  <c:v>26.857480909913008</c:v>
                </c:pt>
                <c:pt idx="4">
                  <c:v>35.44304089066501</c:v>
                </c:pt>
                <c:pt idx="5">
                  <c:v>44.078604877853685</c:v>
                </c:pt>
              </c:numCache>
            </c:numRef>
          </c:yVal>
          <c:smooth val="1"/>
          <c:extLst>
            <c:ext xmlns:c16="http://schemas.microsoft.com/office/drawing/2014/chart" uri="{C3380CC4-5D6E-409C-BE32-E72D297353CC}">
              <c16:uniqueId val="{00000003-0440-449F-BA9E-893D28BD92A4}"/>
            </c:ext>
          </c:extLst>
        </c:ser>
        <c:dLbls>
          <c:showLegendKey val="0"/>
          <c:showVal val="0"/>
          <c:showCatName val="0"/>
          <c:showSerName val="0"/>
          <c:showPercent val="0"/>
          <c:showBubbleSize val="0"/>
        </c:dLbls>
        <c:axId val="163701120"/>
        <c:axId val="163703040"/>
      </c:scatterChart>
      <c:scatterChart>
        <c:scatterStyle val="lineMarker"/>
        <c:varyColors val="0"/>
        <c:ser>
          <c:idx val="2"/>
          <c:order val="2"/>
          <c:spPr>
            <a:ln w="25400">
              <a:solidFill>
                <a:srgbClr val="333300"/>
              </a:solidFill>
              <a:prstDash val="solid"/>
            </a:ln>
          </c:spPr>
          <c:marker>
            <c:symbol val="none"/>
          </c:marker>
          <c:xVal>
            <c:numRef>
              <c:f>'Performance 4000V'!$A$54:$A$59</c:f>
              <c:numCache>
                <c:formatCode>0.0</c:formatCode>
                <c:ptCount val="6"/>
                <c:pt idx="0">
                  <c:v>0</c:v>
                </c:pt>
                <c:pt idx="1">
                  <c:v>25</c:v>
                </c:pt>
                <c:pt idx="2">
                  <c:v>50</c:v>
                </c:pt>
                <c:pt idx="3">
                  <c:v>75</c:v>
                </c:pt>
                <c:pt idx="4">
                  <c:v>100</c:v>
                </c:pt>
                <c:pt idx="5">
                  <c:v>125</c:v>
                </c:pt>
              </c:numCache>
            </c:numRef>
          </c:xVal>
          <c:yVal>
            <c:numRef>
              <c:f>'Performance 4000V'!$D$54:$D$59</c:f>
              <c:numCache>
                <c:formatCode>0.0</c:formatCode>
                <c:ptCount val="6"/>
                <c:pt idx="0">
                  <c:v>18.332451235473265</c:v>
                </c:pt>
                <c:pt idx="1">
                  <c:v>25.130697250366211</c:v>
                </c:pt>
                <c:pt idx="2">
                  <c:v>34.673027038574219</c:v>
                </c:pt>
                <c:pt idx="3">
                  <c:v>46.415084838867188</c:v>
                </c:pt>
                <c:pt idx="4">
                  <c:v>59.210506439208984</c:v>
                </c:pt>
                <c:pt idx="5">
                  <c:v>72.734085083007813</c:v>
                </c:pt>
              </c:numCache>
            </c:numRef>
          </c:yVal>
          <c:smooth val="1"/>
          <c:extLst>
            <c:ext xmlns:c16="http://schemas.microsoft.com/office/drawing/2014/chart" uri="{C3380CC4-5D6E-409C-BE32-E72D297353CC}">
              <c16:uniqueId val="{00000004-0440-449F-BA9E-893D28BD92A4}"/>
            </c:ext>
          </c:extLst>
        </c:ser>
        <c:dLbls>
          <c:showLegendKey val="0"/>
          <c:showVal val="0"/>
          <c:showCatName val="0"/>
          <c:showSerName val="0"/>
          <c:showPercent val="0"/>
          <c:showBubbleSize val="0"/>
        </c:dLbls>
        <c:axId val="163578240"/>
        <c:axId val="163579776"/>
      </c:scatterChart>
      <c:valAx>
        <c:axId val="163701120"/>
        <c:scaling>
          <c:orientation val="minMax"/>
          <c:max val="125"/>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Percent Load </a:t>
                </a:r>
              </a:p>
            </c:rich>
          </c:tx>
          <c:layout>
            <c:manualLayout>
              <c:xMode val="edge"/>
              <c:yMode val="edge"/>
              <c:x val="0.43565957433922958"/>
              <c:y val="0.9204562478845730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163703040"/>
        <c:crossesAt val="0"/>
        <c:crossBetween val="midCat"/>
        <c:majorUnit val="25"/>
        <c:minorUnit val="12.5"/>
      </c:valAx>
      <c:valAx>
        <c:axId val="163703040"/>
        <c:scaling>
          <c:orientation val="minMax"/>
          <c:max val="100"/>
          <c:min val="0"/>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Efficiency &amp; Power Factor (%)</a:t>
                </a:r>
              </a:p>
            </c:rich>
          </c:tx>
          <c:layout>
            <c:manualLayout>
              <c:xMode val="edge"/>
              <c:yMode val="edge"/>
              <c:x val="0.1193800257086145"/>
              <c:y val="0.25568229107904805"/>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163701120"/>
        <c:crosses val="autoZero"/>
        <c:crossBetween val="midCat"/>
        <c:majorUnit val="10"/>
        <c:minorUnit val="5"/>
      </c:valAx>
      <c:valAx>
        <c:axId val="163578240"/>
        <c:scaling>
          <c:orientation val="minMax"/>
        </c:scaling>
        <c:delete val="1"/>
        <c:axPos val="b"/>
        <c:numFmt formatCode="0.0" sourceLinked="1"/>
        <c:majorTickMark val="out"/>
        <c:minorTickMark val="none"/>
        <c:tickLblPos val="nextTo"/>
        <c:crossAx val="163579776"/>
        <c:crosses val="autoZero"/>
        <c:crossBetween val="midCat"/>
      </c:valAx>
      <c:valAx>
        <c:axId val="163579776"/>
        <c:scaling>
          <c:orientation val="minMax"/>
          <c:max val="80"/>
        </c:scaling>
        <c:delete val="0"/>
        <c:axPos val="r"/>
        <c:title>
          <c:tx>
            <c:rich>
              <a:bodyPr/>
              <a:lstStyle/>
              <a:p>
                <a:pPr>
                  <a:defRPr sz="1125" b="1" i="0" u="none" strike="noStrike" baseline="0">
                    <a:solidFill>
                      <a:srgbClr val="000000"/>
                    </a:solidFill>
                    <a:latin typeface="Times New Roman"/>
                    <a:ea typeface="Times New Roman"/>
                    <a:cs typeface="Times New Roman"/>
                  </a:defRPr>
                </a:pPr>
                <a:r>
                  <a:rPr lang="en-US"/>
                  <a:t>Load Current (Amps)</a:t>
                </a:r>
              </a:p>
            </c:rich>
          </c:tx>
          <c:layout>
            <c:manualLayout>
              <c:xMode val="edge"/>
              <c:yMode val="edge"/>
              <c:x val="0.87907109839979769"/>
              <c:y val="0.32007634957303055"/>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Arial"/>
                <a:ea typeface="Arial"/>
                <a:cs typeface="Arial"/>
              </a:defRPr>
            </a:pPr>
            <a:endParaRPr lang="en-US"/>
          </a:p>
        </c:txPr>
        <c:crossAx val="163578240"/>
        <c:crosses val="max"/>
        <c:crossBetween val="midCat"/>
        <c:majorUnit val="8"/>
      </c:valAx>
      <c:spPr>
        <a:solidFill>
          <a:srgbClr val="FFFFFF"/>
        </a:solidFill>
        <a:ln w="12700">
          <a:solidFill>
            <a:srgbClr val="808080"/>
          </a:solidFill>
          <a:prstDash val="solid"/>
        </a:ln>
      </c:spPr>
    </c:plotArea>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689952292200055"/>
          <c:y val="3.5984915040754913E-2"/>
          <c:w val="0.6201559777070883"/>
          <c:h val="0.82386516014359934"/>
        </c:manualLayout>
      </c:layout>
      <c:scatterChart>
        <c:scatterStyle val="smoothMarker"/>
        <c:varyColors val="0"/>
        <c:ser>
          <c:idx val="0"/>
          <c:order val="0"/>
          <c:tx>
            <c:v>Efficiency</c:v>
          </c:tx>
          <c:spPr>
            <a:ln w="25400">
              <a:solidFill>
                <a:srgbClr val="000080"/>
              </a:solidFill>
              <a:prstDash val="solid"/>
            </a:ln>
          </c:spPr>
          <c:marker>
            <c:symbol val="none"/>
          </c:marker>
          <c:xVal>
            <c:numRef>
              <c:f>'Performance 2300V'!$A$54:$A$59</c:f>
              <c:numCache>
                <c:formatCode>0.0</c:formatCode>
                <c:ptCount val="6"/>
                <c:pt idx="0">
                  <c:v>0</c:v>
                </c:pt>
                <c:pt idx="1">
                  <c:v>25</c:v>
                </c:pt>
                <c:pt idx="2">
                  <c:v>50</c:v>
                </c:pt>
                <c:pt idx="3">
                  <c:v>75</c:v>
                </c:pt>
                <c:pt idx="4">
                  <c:v>100</c:v>
                </c:pt>
                <c:pt idx="5">
                  <c:v>125</c:v>
                </c:pt>
              </c:numCache>
            </c:numRef>
          </c:xVal>
          <c:yVal>
            <c:numRef>
              <c:f>'Performance 2300V'!$B$54:$B$59</c:f>
              <c:numCache>
                <c:formatCode>0.0</c:formatCode>
                <c:ptCount val="6"/>
                <c:pt idx="1">
                  <c:v>85.411460876464844</c:v>
                </c:pt>
                <c:pt idx="2">
                  <c:v>91.649429321289063</c:v>
                </c:pt>
                <c:pt idx="3">
                  <c:v>93.773727416992188</c:v>
                </c:pt>
                <c:pt idx="4">
                  <c:v>94.744537353515625</c:v>
                </c:pt>
                <c:pt idx="5">
                  <c:v>95.228584289550781</c:v>
                </c:pt>
              </c:numCache>
            </c:numRef>
          </c:yVal>
          <c:smooth val="1"/>
          <c:extLst>
            <c:ext xmlns:c16="http://schemas.microsoft.com/office/drawing/2014/chart" uri="{C3380CC4-5D6E-409C-BE32-E72D297353CC}">
              <c16:uniqueId val="{00000000-44E3-46C4-84E8-7101064469D6}"/>
            </c:ext>
          </c:extLst>
        </c:ser>
        <c:ser>
          <c:idx val="1"/>
          <c:order val="1"/>
          <c:spPr>
            <a:ln w="25400">
              <a:solidFill>
                <a:srgbClr val="000000"/>
              </a:solidFill>
              <a:prstDash val="solid"/>
            </a:ln>
          </c:spPr>
          <c:marker>
            <c:symbol val="none"/>
          </c:marker>
          <c:xVal>
            <c:numRef>
              <c:f>'Performance 2300V'!$A$55:$A$59</c:f>
              <c:numCache>
                <c:formatCode>0.0</c:formatCode>
                <c:ptCount val="5"/>
                <c:pt idx="0">
                  <c:v>25</c:v>
                </c:pt>
                <c:pt idx="1">
                  <c:v>50</c:v>
                </c:pt>
                <c:pt idx="2">
                  <c:v>75</c:v>
                </c:pt>
                <c:pt idx="3">
                  <c:v>100</c:v>
                </c:pt>
                <c:pt idx="4">
                  <c:v>125</c:v>
                </c:pt>
              </c:numCache>
            </c:numRef>
          </c:xVal>
          <c:yVal>
            <c:numRef>
              <c:f>'Performance 2300V'!$C$55:$C$59</c:f>
              <c:numCache>
                <c:formatCode>0.0</c:formatCode>
                <c:ptCount val="5"/>
                <c:pt idx="0">
                  <c:v>56.454250335693359</c:v>
                </c:pt>
                <c:pt idx="1">
                  <c:v>76.265098571777344</c:v>
                </c:pt>
                <c:pt idx="2">
                  <c:v>83.521492004394531</c:v>
                </c:pt>
                <c:pt idx="3">
                  <c:v>86.402099609375</c:v>
                </c:pt>
                <c:pt idx="4">
                  <c:v>87.474609375</c:v>
                </c:pt>
              </c:numCache>
            </c:numRef>
          </c:yVal>
          <c:smooth val="1"/>
          <c:extLst>
            <c:ext xmlns:c16="http://schemas.microsoft.com/office/drawing/2014/chart" uri="{C3380CC4-5D6E-409C-BE32-E72D297353CC}">
              <c16:uniqueId val="{00000001-44E3-46C4-84E8-7101064469D6}"/>
            </c:ext>
          </c:extLst>
        </c:ser>
        <c:ser>
          <c:idx val="3"/>
          <c:order val="3"/>
          <c:spPr>
            <a:ln w="25400">
              <a:solidFill>
                <a:srgbClr val="3333CC"/>
              </a:solidFill>
              <a:prstDash val="solid"/>
            </a:ln>
          </c:spPr>
          <c:marker>
            <c:symbol val="none"/>
          </c:marker>
          <c:xVal>
            <c:numRef>
              <c:f>'Performance 2300V'!$A$54:$A$59</c:f>
              <c:numCache>
                <c:formatCode>0.0</c:formatCode>
                <c:ptCount val="6"/>
                <c:pt idx="0">
                  <c:v>0</c:v>
                </c:pt>
                <c:pt idx="1">
                  <c:v>25</c:v>
                </c:pt>
                <c:pt idx="2">
                  <c:v>50</c:v>
                </c:pt>
                <c:pt idx="3">
                  <c:v>75</c:v>
                </c:pt>
                <c:pt idx="4">
                  <c:v>100</c:v>
                </c:pt>
                <c:pt idx="5">
                  <c:v>125</c:v>
                </c:pt>
              </c:numCache>
            </c:numRef>
          </c:xVal>
          <c:yVal>
            <c:numRef>
              <c:f>'Performance 2300V'!$E$54:$E$59</c:f>
              <c:numCache>
                <c:formatCode>0.0</c:formatCode>
                <c:ptCount val="6"/>
                <c:pt idx="0">
                  <c:v>100</c:v>
                </c:pt>
                <c:pt idx="1">
                  <c:v>69.19772758337038</c:v>
                </c:pt>
                <c:pt idx="2">
                  <c:v>58.866101094005899</c:v>
                </c:pt>
                <c:pt idx="3">
                  <c:v>48.323519173264714</c:v>
                </c:pt>
                <c:pt idx="4">
                  <c:v>37.578915250430327</c:v>
                </c:pt>
                <c:pt idx="5">
                  <c:v>26.521485529593818</c:v>
                </c:pt>
              </c:numCache>
            </c:numRef>
          </c:yVal>
          <c:smooth val="1"/>
          <c:extLst>
            <c:ext xmlns:c16="http://schemas.microsoft.com/office/drawing/2014/chart" uri="{C3380CC4-5D6E-409C-BE32-E72D297353CC}">
              <c16:uniqueId val="{00000002-44E3-46C4-84E8-7101064469D6}"/>
            </c:ext>
          </c:extLst>
        </c:ser>
        <c:ser>
          <c:idx val="4"/>
          <c:order val="4"/>
          <c:spPr>
            <a:ln w="25400">
              <a:solidFill>
                <a:srgbClr val="339933"/>
              </a:solidFill>
              <a:prstDash val="solid"/>
            </a:ln>
          </c:spPr>
          <c:marker>
            <c:symbol val="none"/>
          </c:marker>
          <c:xVal>
            <c:numRef>
              <c:f>'Performance 2300V'!$A$54:$A$59</c:f>
              <c:numCache>
                <c:formatCode>0.0</c:formatCode>
                <c:ptCount val="6"/>
                <c:pt idx="0">
                  <c:v>0</c:v>
                </c:pt>
                <c:pt idx="1">
                  <c:v>25</c:v>
                </c:pt>
                <c:pt idx="2">
                  <c:v>50</c:v>
                </c:pt>
                <c:pt idx="3">
                  <c:v>75</c:v>
                </c:pt>
                <c:pt idx="4">
                  <c:v>100</c:v>
                </c:pt>
                <c:pt idx="5">
                  <c:v>125</c:v>
                </c:pt>
              </c:numCache>
            </c:numRef>
          </c:xVal>
          <c:yVal>
            <c:numRef>
              <c:f>'Performance 2300V'!$F$54:$F$59</c:f>
              <c:numCache>
                <c:formatCode>0.0</c:formatCode>
                <c:ptCount val="6"/>
                <c:pt idx="0">
                  <c:v>0.93300000000000005</c:v>
                </c:pt>
                <c:pt idx="1">
                  <c:v>9.8289939644072408</c:v>
                </c:pt>
                <c:pt idx="2">
                  <c:v>18.319999012316089</c:v>
                </c:pt>
                <c:pt idx="3">
                  <c:v>26.857480909913008</c:v>
                </c:pt>
                <c:pt idx="4">
                  <c:v>35.44304089066501</c:v>
                </c:pt>
                <c:pt idx="5">
                  <c:v>44.078604877853685</c:v>
                </c:pt>
              </c:numCache>
            </c:numRef>
          </c:yVal>
          <c:smooth val="1"/>
          <c:extLst>
            <c:ext xmlns:c16="http://schemas.microsoft.com/office/drawing/2014/chart" uri="{C3380CC4-5D6E-409C-BE32-E72D297353CC}">
              <c16:uniqueId val="{00000003-44E3-46C4-84E8-7101064469D6}"/>
            </c:ext>
          </c:extLst>
        </c:ser>
        <c:dLbls>
          <c:showLegendKey val="0"/>
          <c:showVal val="0"/>
          <c:showCatName val="0"/>
          <c:showSerName val="0"/>
          <c:showPercent val="0"/>
          <c:showBubbleSize val="0"/>
        </c:dLbls>
        <c:axId val="163701120"/>
        <c:axId val="163703040"/>
      </c:scatterChart>
      <c:scatterChart>
        <c:scatterStyle val="lineMarker"/>
        <c:varyColors val="0"/>
        <c:ser>
          <c:idx val="2"/>
          <c:order val="2"/>
          <c:spPr>
            <a:ln w="25400">
              <a:solidFill>
                <a:srgbClr val="333300"/>
              </a:solidFill>
              <a:prstDash val="solid"/>
            </a:ln>
          </c:spPr>
          <c:marker>
            <c:symbol val="none"/>
          </c:marker>
          <c:xVal>
            <c:numRef>
              <c:f>'Performance 2300V'!$A$54:$A$59</c:f>
              <c:numCache>
                <c:formatCode>0.0</c:formatCode>
                <c:ptCount val="6"/>
                <c:pt idx="0">
                  <c:v>0</c:v>
                </c:pt>
                <c:pt idx="1">
                  <c:v>25</c:v>
                </c:pt>
                <c:pt idx="2">
                  <c:v>50</c:v>
                </c:pt>
                <c:pt idx="3">
                  <c:v>75</c:v>
                </c:pt>
                <c:pt idx="4">
                  <c:v>100</c:v>
                </c:pt>
                <c:pt idx="5">
                  <c:v>125</c:v>
                </c:pt>
              </c:numCache>
            </c:numRef>
          </c:xVal>
          <c:yVal>
            <c:numRef>
              <c:f>'Performance 2300V'!$D$54:$D$59</c:f>
              <c:numCache>
                <c:formatCode>0.0</c:formatCode>
                <c:ptCount val="6"/>
                <c:pt idx="0">
                  <c:v>31.75273696711853</c:v>
                </c:pt>
                <c:pt idx="1">
                  <c:v>43.527644467265759</c:v>
                </c:pt>
                <c:pt idx="2">
                  <c:v>60.05544448301999</c:v>
                </c:pt>
                <c:pt idx="3">
                  <c:v>80.393285178537866</c:v>
                </c:pt>
                <c:pt idx="4">
                  <c:v>102.55560549459412</c:v>
                </c:pt>
                <c:pt idx="5">
                  <c:v>125.9791308058071</c:v>
                </c:pt>
              </c:numCache>
            </c:numRef>
          </c:yVal>
          <c:smooth val="1"/>
          <c:extLst>
            <c:ext xmlns:c16="http://schemas.microsoft.com/office/drawing/2014/chart" uri="{C3380CC4-5D6E-409C-BE32-E72D297353CC}">
              <c16:uniqueId val="{00000004-44E3-46C4-84E8-7101064469D6}"/>
            </c:ext>
          </c:extLst>
        </c:ser>
        <c:dLbls>
          <c:showLegendKey val="0"/>
          <c:showVal val="0"/>
          <c:showCatName val="0"/>
          <c:showSerName val="0"/>
          <c:showPercent val="0"/>
          <c:showBubbleSize val="0"/>
        </c:dLbls>
        <c:axId val="163578240"/>
        <c:axId val="163579776"/>
      </c:scatterChart>
      <c:valAx>
        <c:axId val="163701120"/>
        <c:scaling>
          <c:orientation val="minMax"/>
          <c:max val="125"/>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Percent Load </a:t>
                </a:r>
              </a:p>
            </c:rich>
          </c:tx>
          <c:layout>
            <c:manualLayout>
              <c:xMode val="edge"/>
              <c:yMode val="edge"/>
              <c:x val="0.43565957433922958"/>
              <c:y val="0.9204562478845730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163703040"/>
        <c:crossesAt val="0"/>
        <c:crossBetween val="midCat"/>
        <c:majorUnit val="25"/>
        <c:minorUnit val="12.5"/>
      </c:valAx>
      <c:valAx>
        <c:axId val="163703040"/>
        <c:scaling>
          <c:orientation val="minMax"/>
          <c:max val="100"/>
          <c:min val="0"/>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Efficiency &amp; Power Factor (%)</a:t>
                </a:r>
              </a:p>
            </c:rich>
          </c:tx>
          <c:layout>
            <c:manualLayout>
              <c:xMode val="edge"/>
              <c:yMode val="edge"/>
              <c:x val="0.1193800257086145"/>
              <c:y val="0.25568229107904805"/>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163701120"/>
        <c:crosses val="autoZero"/>
        <c:crossBetween val="midCat"/>
        <c:majorUnit val="10"/>
        <c:minorUnit val="5"/>
      </c:valAx>
      <c:valAx>
        <c:axId val="163578240"/>
        <c:scaling>
          <c:orientation val="minMax"/>
        </c:scaling>
        <c:delete val="1"/>
        <c:axPos val="b"/>
        <c:numFmt formatCode="0.0" sourceLinked="1"/>
        <c:majorTickMark val="out"/>
        <c:minorTickMark val="none"/>
        <c:tickLblPos val="nextTo"/>
        <c:crossAx val="163579776"/>
        <c:crosses val="autoZero"/>
        <c:crossBetween val="midCat"/>
      </c:valAx>
      <c:valAx>
        <c:axId val="163579776"/>
        <c:scaling>
          <c:orientation val="minMax"/>
          <c:max val="200"/>
        </c:scaling>
        <c:delete val="0"/>
        <c:axPos val="r"/>
        <c:title>
          <c:tx>
            <c:rich>
              <a:bodyPr/>
              <a:lstStyle/>
              <a:p>
                <a:pPr>
                  <a:defRPr sz="1125" b="1" i="0" u="none" strike="noStrike" baseline="0">
                    <a:solidFill>
                      <a:srgbClr val="000000"/>
                    </a:solidFill>
                    <a:latin typeface="Times New Roman"/>
                    <a:ea typeface="Times New Roman"/>
                    <a:cs typeface="Times New Roman"/>
                  </a:defRPr>
                </a:pPr>
                <a:r>
                  <a:rPr lang="en-US"/>
                  <a:t>Load Current (Amps)</a:t>
                </a:r>
              </a:p>
            </c:rich>
          </c:tx>
          <c:layout>
            <c:manualLayout>
              <c:xMode val="edge"/>
              <c:yMode val="edge"/>
              <c:x val="0.87907109839979769"/>
              <c:y val="0.32007634957303055"/>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Arial"/>
                <a:ea typeface="Arial"/>
                <a:cs typeface="Arial"/>
              </a:defRPr>
            </a:pPr>
            <a:endParaRPr lang="en-US"/>
          </a:p>
        </c:txPr>
        <c:crossAx val="163578240"/>
        <c:crosses val="max"/>
        <c:crossBetween val="midCat"/>
        <c:majorUnit val="20"/>
      </c:valAx>
      <c:spPr>
        <a:solidFill>
          <a:srgbClr val="FFFFFF"/>
        </a:solidFill>
        <a:ln w="12700">
          <a:solidFill>
            <a:srgbClr val="808080"/>
          </a:solidFill>
          <a:prstDash val="solid"/>
        </a:ln>
      </c:spPr>
    </c:plotArea>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9525</xdr:colOff>
      <xdr:row>56</xdr:row>
      <xdr:rowOff>9525</xdr:rowOff>
    </xdr:from>
    <xdr:to>
      <xdr:col>9</xdr:col>
      <xdr:colOff>809625</xdr:colOff>
      <xdr:row>67</xdr:row>
      <xdr:rowOff>180975</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152400</xdr:colOff>
      <xdr:row>43</xdr:row>
      <xdr:rowOff>0</xdr:rowOff>
    </xdr:from>
    <xdr:to>
      <xdr:col>9</xdr:col>
      <xdr:colOff>361950</xdr:colOff>
      <xdr:row>43</xdr:row>
      <xdr:rowOff>0</xdr:rowOff>
    </xdr:to>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bwMode="auto">
        <a:xfrm>
          <a:off x="5514975" y="9896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43</xdr:row>
      <xdr:rowOff>0</xdr:rowOff>
    </xdr:from>
    <xdr:to>
      <xdr:col>9</xdr:col>
      <xdr:colOff>333375</xdr:colOff>
      <xdr:row>43</xdr:row>
      <xdr:rowOff>0</xdr:rowOff>
    </xdr:to>
    <xdr:sp macro="" textlink="">
      <xdr:nvSpPr>
        <xdr:cNvPr id="3" name="Rectangle 2">
          <a:extLst>
            <a:ext uri="{FF2B5EF4-FFF2-40B4-BE49-F238E27FC236}">
              <a16:creationId xmlns:a16="http://schemas.microsoft.com/office/drawing/2014/main" id="{00000000-0008-0000-0100-000003000000}"/>
            </a:ext>
          </a:extLst>
        </xdr:cNvPr>
        <xdr:cNvSpPr>
          <a:spLocks noChangeArrowheads="1"/>
        </xdr:cNvSpPr>
      </xdr:nvSpPr>
      <xdr:spPr bwMode="auto">
        <a:xfrm>
          <a:off x="5381625"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43</xdr:row>
      <xdr:rowOff>0</xdr:rowOff>
    </xdr:from>
    <xdr:to>
      <xdr:col>9</xdr:col>
      <xdr:colOff>342900</xdr:colOff>
      <xdr:row>43</xdr:row>
      <xdr:rowOff>0</xdr:rowOff>
    </xdr:to>
    <xdr:sp macro="" textlink="">
      <xdr:nvSpPr>
        <xdr:cNvPr id="4" name="Rectangle 3">
          <a:extLst>
            <a:ext uri="{FF2B5EF4-FFF2-40B4-BE49-F238E27FC236}">
              <a16:creationId xmlns:a16="http://schemas.microsoft.com/office/drawing/2014/main" id="{00000000-0008-0000-0100-000004000000}"/>
            </a:ext>
          </a:extLst>
        </xdr:cNvPr>
        <xdr:cNvSpPr>
          <a:spLocks noChangeArrowheads="1"/>
        </xdr:cNvSpPr>
      </xdr:nvSpPr>
      <xdr:spPr bwMode="auto">
        <a:xfrm>
          <a:off x="5391150"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43</xdr:row>
      <xdr:rowOff>0</xdr:rowOff>
    </xdr:from>
    <xdr:to>
      <xdr:col>9</xdr:col>
      <xdr:colOff>409575</xdr:colOff>
      <xdr:row>43</xdr:row>
      <xdr:rowOff>0</xdr:rowOff>
    </xdr:to>
    <xdr:sp macro="" textlink="">
      <xdr:nvSpPr>
        <xdr:cNvPr id="5" name="Rectangle 4">
          <a:extLst>
            <a:ext uri="{FF2B5EF4-FFF2-40B4-BE49-F238E27FC236}">
              <a16:creationId xmlns:a16="http://schemas.microsoft.com/office/drawing/2014/main" id="{00000000-0008-0000-0100-000005000000}"/>
            </a:ext>
          </a:extLst>
        </xdr:cNvPr>
        <xdr:cNvSpPr>
          <a:spLocks noChangeArrowheads="1"/>
        </xdr:cNvSpPr>
      </xdr:nvSpPr>
      <xdr:spPr bwMode="auto">
        <a:xfrm>
          <a:off x="5362575" y="989647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43</xdr:row>
      <xdr:rowOff>0</xdr:rowOff>
    </xdr:from>
    <xdr:to>
      <xdr:col>9</xdr:col>
      <xdr:colOff>361950</xdr:colOff>
      <xdr:row>43</xdr:row>
      <xdr:rowOff>0</xdr:rowOff>
    </xdr:to>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bwMode="auto">
        <a:xfrm>
          <a:off x="5505450" y="989647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781050</xdr:colOff>
      <xdr:row>28</xdr:row>
      <xdr:rowOff>190500</xdr:rowOff>
    </xdr:from>
    <xdr:to>
      <xdr:col>4</xdr:col>
      <xdr:colOff>542925</xdr:colOff>
      <xdr:row>29</xdr:row>
      <xdr:rowOff>133350</xdr:rowOff>
    </xdr:to>
    <xdr:sp macro="" textlink="">
      <xdr:nvSpPr>
        <xdr:cNvPr id="7" name="Text 219">
          <a:extLst>
            <a:ext uri="{FF2B5EF4-FFF2-40B4-BE49-F238E27FC236}">
              <a16:creationId xmlns:a16="http://schemas.microsoft.com/office/drawing/2014/main" id="{00000000-0008-0000-0100-000007000000}"/>
            </a:ext>
          </a:extLst>
        </xdr:cNvPr>
        <xdr:cNvSpPr txBox="1">
          <a:spLocks noChangeArrowheads="1"/>
        </xdr:cNvSpPr>
      </xdr:nvSpPr>
      <xdr:spPr bwMode="auto">
        <a:xfrm>
          <a:off x="2476500" y="6657975"/>
          <a:ext cx="619125" cy="171450"/>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311-V110</a:t>
          </a:r>
        </a:p>
      </xdr:txBody>
    </xdr:sp>
    <xdr:clientData/>
  </xdr:twoCellAnchor>
  <xdr:twoCellAnchor>
    <xdr:from>
      <xdr:col>3</xdr:col>
      <xdr:colOff>781050</xdr:colOff>
      <xdr:row>34</xdr:row>
      <xdr:rowOff>200025</xdr:rowOff>
    </xdr:from>
    <xdr:to>
      <xdr:col>4</xdr:col>
      <xdr:colOff>552450</xdr:colOff>
      <xdr:row>35</xdr:row>
      <xdr:rowOff>142875</xdr:rowOff>
    </xdr:to>
    <xdr:sp macro="" textlink="">
      <xdr:nvSpPr>
        <xdr:cNvPr id="8" name="Text 219">
          <a:extLst>
            <a:ext uri="{FF2B5EF4-FFF2-40B4-BE49-F238E27FC236}">
              <a16:creationId xmlns:a16="http://schemas.microsoft.com/office/drawing/2014/main" id="{00000000-0008-0000-0100-000008000000}"/>
            </a:ext>
          </a:extLst>
        </xdr:cNvPr>
        <xdr:cNvSpPr txBox="1">
          <a:spLocks noChangeArrowheads="1"/>
        </xdr:cNvSpPr>
      </xdr:nvSpPr>
      <xdr:spPr bwMode="auto">
        <a:xfrm>
          <a:off x="2476500" y="8039100"/>
          <a:ext cx="628650" cy="171450"/>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411-V110</a:t>
          </a:r>
        </a:p>
      </xdr:txBody>
    </xdr:sp>
    <xdr:clientData/>
  </xdr:twoCellAnchor>
  <xdr:twoCellAnchor>
    <xdr:from>
      <xdr:col>3</xdr:col>
      <xdr:colOff>752475</xdr:colOff>
      <xdr:row>40</xdr:row>
      <xdr:rowOff>104775</xdr:rowOff>
    </xdr:from>
    <xdr:to>
      <xdr:col>4</xdr:col>
      <xdr:colOff>762000</xdr:colOff>
      <xdr:row>41</xdr:row>
      <xdr:rowOff>38100</xdr:rowOff>
    </xdr:to>
    <xdr:sp macro="" textlink="">
      <xdr:nvSpPr>
        <xdr:cNvPr id="9" name="Text 219">
          <a:extLst>
            <a:ext uri="{FF2B5EF4-FFF2-40B4-BE49-F238E27FC236}">
              <a16:creationId xmlns:a16="http://schemas.microsoft.com/office/drawing/2014/main" id="{00000000-0008-0000-0100-000009000000}"/>
            </a:ext>
          </a:extLst>
        </xdr:cNvPr>
        <xdr:cNvSpPr txBox="1">
          <a:spLocks noChangeArrowheads="1"/>
        </xdr:cNvSpPr>
      </xdr:nvSpPr>
      <xdr:spPr bwMode="auto">
        <a:xfrm>
          <a:off x="2447925" y="9315450"/>
          <a:ext cx="866775"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320X-NT&amp;FB</a:t>
          </a:r>
        </a:p>
      </xdr:txBody>
    </xdr:sp>
    <xdr:clientData/>
  </xdr:twoCellAnchor>
  <xdr:twoCellAnchor>
    <xdr:from>
      <xdr:col>3</xdr:col>
      <xdr:colOff>200025</xdr:colOff>
      <xdr:row>29</xdr:row>
      <xdr:rowOff>85725</xdr:rowOff>
    </xdr:from>
    <xdr:to>
      <xdr:col>3</xdr:col>
      <xdr:colOff>457200</xdr:colOff>
      <xdr:row>29</xdr:row>
      <xdr:rowOff>209550</xdr:rowOff>
    </xdr:to>
    <xdr:sp macro="" textlink="">
      <xdr:nvSpPr>
        <xdr:cNvPr id="10" name="Depth">
          <a:extLst>
            <a:ext uri="{FF2B5EF4-FFF2-40B4-BE49-F238E27FC236}">
              <a16:creationId xmlns:a16="http://schemas.microsoft.com/office/drawing/2014/main" id="{00000000-0008-0000-0100-00000A000000}"/>
            </a:ext>
          </a:extLst>
        </xdr:cNvPr>
        <xdr:cNvSpPr txBox="1">
          <a:spLocks noChangeArrowheads="1"/>
        </xdr:cNvSpPr>
      </xdr:nvSpPr>
      <xdr:spPr bwMode="auto">
        <a:xfrm>
          <a:off x="1895475" y="6781800"/>
          <a:ext cx="257175"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56.0</a:t>
          </a:r>
        </a:p>
      </xdr:txBody>
    </xdr:sp>
    <xdr:clientData/>
  </xdr:twoCellAnchor>
  <xdr:twoCellAnchor>
    <xdr:from>
      <xdr:col>1</xdr:col>
      <xdr:colOff>95250</xdr:colOff>
      <xdr:row>31</xdr:row>
      <xdr:rowOff>0</xdr:rowOff>
    </xdr:from>
    <xdr:to>
      <xdr:col>2</xdr:col>
      <xdr:colOff>76200</xdr:colOff>
      <xdr:row>31</xdr:row>
      <xdr:rowOff>104775</xdr:rowOff>
    </xdr:to>
    <xdr:sp macro="" textlink="">
      <xdr:nvSpPr>
        <xdr:cNvPr id="11" name="Tip">
          <a:extLst>
            <a:ext uri="{FF2B5EF4-FFF2-40B4-BE49-F238E27FC236}">
              <a16:creationId xmlns:a16="http://schemas.microsoft.com/office/drawing/2014/main" id="{00000000-0008-0000-0100-00000B000000}"/>
            </a:ext>
          </a:extLst>
        </xdr:cNvPr>
        <xdr:cNvSpPr txBox="1">
          <a:spLocks noChangeArrowheads="1"/>
        </xdr:cNvSpPr>
      </xdr:nvSpPr>
      <xdr:spPr bwMode="auto">
        <a:xfrm>
          <a:off x="904875" y="7153275"/>
          <a:ext cx="390525"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2.83</a:t>
          </a:r>
        </a:p>
      </xdr:txBody>
    </xdr:sp>
    <xdr:clientData/>
  </xdr:twoCellAnchor>
  <xdr:twoCellAnchor>
    <xdr:from>
      <xdr:col>2</xdr:col>
      <xdr:colOff>219075</xdr:colOff>
      <xdr:row>26</xdr:row>
      <xdr:rowOff>200025</xdr:rowOff>
    </xdr:from>
    <xdr:to>
      <xdr:col>3</xdr:col>
      <xdr:colOff>47625</xdr:colOff>
      <xdr:row>27</xdr:row>
      <xdr:rowOff>66675</xdr:rowOff>
    </xdr:to>
    <xdr:sp macro="" textlink="">
      <xdr:nvSpPr>
        <xdr:cNvPr id="12" name="Width">
          <a:extLst>
            <a:ext uri="{FF2B5EF4-FFF2-40B4-BE49-F238E27FC236}">
              <a16:creationId xmlns:a16="http://schemas.microsoft.com/office/drawing/2014/main" id="{00000000-0008-0000-0100-00000C000000}"/>
            </a:ext>
          </a:extLst>
        </xdr:cNvPr>
        <xdr:cNvSpPr txBox="1">
          <a:spLocks noChangeArrowheads="1"/>
        </xdr:cNvSpPr>
      </xdr:nvSpPr>
      <xdr:spPr bwMode="auto">
        <a:xfrm>
          <a:off x="1438275" y="6210300"/>
          <a:ext cx="304800"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14.0</a:t>
          </a:r>
        </a:p>
      </xdr:txBody>
    </xdr:sp>
    <xdr:clientData/>
  </xdr:twoCellAnchor>
  <xdr:twoCellAnchor>
    <xdr:from>
      <xdr:col>1</xdr:col>
      <xdr:colOff>390525</xdr:colOff>
      <xdr:row>27</xdr:row>
      <xdr:rowOff>57150</xdr:rowOff>
    </xdr:from>
    <xdr:to>
      <xdr:col>3</xdr:col>
      <xdr:colOff>447675</xdr:colOff>
      <xdr:row>31</xdr:row>
      <xdr:rowOff>219075</xdr:rowOff>
    </xdr:to>
    <xdr:grpSp>
      <xdr:nvGrpSpPr>
        <xdr:cNvPr id="13" name="Group 12">
          <a:extLst>
            <a:ext uri="{FF2B5EF4-FFF2-40B4-BE49-F238E27FC236}">
              <a16:creationId xmlns:a16="http://schemas.microsoft.com/office/drawing/2014/main" id="{00000000-0008-0000-0100-00000D000000}"/>
            </a:ext>
          </a:extLst>
        </xdr:cNvPr>
        <xdr:cNvGrpSpPr>
          <a:grpSpLocks/>
        </xdr:cNvGrpSpPr>
      </xdr:nvGrpSpPr>
      <xdr:grpSpPr bwMode="auto">
        <a:xfrm>
          <a:off x="1200150" y="6296025"/>
          <a:ext cx="942975" cy="1076325"/>
          <a:chOff x="126" y="661"/>
          <a:chExt cx="99" cy="113"/>
        </a:xfrm>
      </xdr:grpSpPr>
      <xdr:sp macro="" textlink="">
        <xdr:nvSpPr>
          <xdr:cNvPr id="14" name="Line 13">
            <a:extLst>
              <a:ext uri="{FF2B5EF4-FFF2-40B4-BE49-F238E27FC236}">
                <a16:creationId xmlns:a16="http://schemas.microsoft.com/office/drawing/2014/main" id="{00000000-0008-0000-0100-00000E000000}"/>
              </a:ext>
            </a:extLst>
          </xdr:cNvPr>
          <xdr:cNvSpPr>
            <a:spLocks noChangeShapeType="1"/>
          </xdr:cNvSpPr>
        </xdr:nvSpPr>
        <xdr:spPr bwMode="auto">
          <a:xfrm flipH="1">
            <a:off x="190" y="675"/>
            <a:ext cx="1" cy="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 name="Line 14">
            <a:extLst>
              <a:ext uri="{FF2B5EF4-FFF2-40B4-BE49-F238E27FC236}">
                <a16:creationId xmlns:a16="http://schemas.microsoft.com/office/drawing/2014/main" id="{00000000-0008-0000-0100-00000F000000}"/>
              </a:ext>
            </a:extLst>
          </xdr:cNvPr>
          <xdr:cNvSpPr>
            <a:spLocks noChangeShapeType="1"/>
          </xdr:cNvSpPr>
        </xdr:nvSpPr>
        <xdr:spPr bwMode="auto">
          <a:xfrm flipH="1">
            <a:off x="142" y="676"/>
            <a:ext cx="4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 name="Line 15">
            <a:extLst>
              <a:ext uri="{FF2B5EF4-FFF2-40B4-BE49-F238E27FC236}">
                <a16:creationId xmlns:a16="http://schemas.microsoft.com/office/drawing/2014/main" id="{00000000-0008-0000-0100-000010000000}"/>
              </a:ext>
            </a:extLst>
          </xdr:cNvPr>
          <xdr:cNvSpPr>
            <a:spLocks noChangeShapeType="1"/>
          </xdr:cNvSpPr>
        </xdr:nvSpPr>
        <xdr:spPr bwMode="auto">
          <a:xfrm>
            <a:off x="191" y="675"/>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16">
            <a:extLst>
              <a:ext uri="{FF2B5EF4-FFF2-40B4-BE49-F238E27FC236}">
                <a16:creationId xmlns:a16="http://schemas.microsoft.com/office/drawing/2014/main" id="{00000000-0008-0000-0100-000011000000}"/>
              </a:ext>
            </a:extLst>
          </xdr:cNvPr>
          <xdr:cNvSpPr>
            <a:spLocks noChangeShapeType="1"/>
          </xdr:cNvSpPr>
        </xdr:nvSpPr>
        <xdr:spPr bwMode="auto">
          <a:xfrm>
            <a:off x="144" y="676"/>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 name="Line 17">
            <a:extLst>
              <a:ext uri="{FF2B5EF4-FFF2-40B4-BE49-F238E27FC236}">
                <a16:creationId xmlns:a16="http://schemas.microsoft.com/office/drawing/2014/main" id="{00000000-0008-0000-0100-000012000000}"/>
              </a:ext>
            </a:extLst>
          </xdr:cNvPr>
          <xdr:cNvSpPr>
            <a:spLocks noChangeShapeType="1"/>
          </xdr:cNvSpPr>
        </xdr:nvSpPr>
        <xdr:spPr bwMode="auto">
          <a:xfrm>
            <a:off x="138" y="748"/>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Line 18">
            <a:extLst>
              <a:ext uri="{FF2B5EF4-FFF2-40B4-BE49-F238E27FC236}">
                <a16:creationId xmlns:a16="http://schemas.microsoft.com/office/drawing/2014/main" id="{00000000-0008-0000-0100-000013000000}"/>
              </a:ext>
            </a:extLst>
          </xdr:cNvPr>
          <xdr:cNvSpPr>
            <a:spLocks noChangeShapeType="1"/>
          </xdr:cNvSpPr>
        </xdr:nvSpPr>
        <xdr:spPr bwMode="auto">
          <a:xfrm flipH="1">
            <a:off x="198" y="753"/>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19">
            <a:extLst>
              <a:ext uri="{FF2B5EF4-FFF2-40B4-BE49-F238E27FC236}">
                <a16:creationId xmlns:a16="http://schemas.microsoft.com/office/drawing/2014/main" id="{00000000-0008-0000-0100-000014000000}"/>
              </a:ext>
            </a:extLst>
          </xdr:cNvPr>
          <xdr:cNvSpPr>
            <a:spLocks noChangeShapeType="1"/>
          </xdr:cNvSpPr>
        </xdr:nvSpPr>
        <xdr:spPr bwMode="auto">
          <a:xfrm>
            <a:off x="138" y="754"/>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 name="Line 20">
            <a:extLst>
              <a:ext uri="{FF2B5EF4-FFF2-40B4-BE49-F238E27FC236}">
                <a16:creationId xmlns:a16="http://schemas.microsoft.com/office/drawing/2014/main" id="{00000000-0008-0000-0100-000015000000}"/>
              </a:ext>
            </a:extLst>
          </xdr:cNvPr>
          <xdr:cNvSpPr>
            <a:spLocks noChangeShapeType="1"/>
          </xdr:cNvSpPr>
        </xdr:nvSpPr>
        <xdr:spPr bwMode="auto">
          <a:xfrm>
            <a:off x="190" y="753"/>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 name="Line 21">
            <a:extLst>
              <a:ext uri="{FF2B5EF4-FFF2-40B4-BE49-F238E27FC236}">
                <a16:creationId xmlns:a16="http://schemas.microsoft.com/office/drawing/2014/main" id="{00000000-0008-0000-0100-000016000000}"/>
              </a:ext>
            </a:extLst>
          </xdr:cNvPr>
          <xdr:cNvSpPr>
            <a:spLocks noChangeShapeType="1"/>
          </xdr:cNvSpPr>
        </xdr:nvSpPr>
        <xdr:spPr bwMode="auto">
          <a:xfrm>
            <a:off x="145" y="755"/>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22">
            <a:extLst>
              <a:ext uri="{FF2B5EF4-FFF2-40B4-BE49-F238E27FC236}">
                <a16:creationId xmlns:a16="http://schemas.microsoft.com/office/drawing/2014/main" id="{00000000-0008-0000-0100-000017000000}"/>
              </a:ext>
            </a:extLst>
          </xdr:cNvPr>
          <xdr:cNvSpPr>
            <a:spLocks noChangeShapeType="1"/>
          </xdr:cNvSpPr>
        </xdr:nvSpPr>
        <xdr:spPr bwMode="auto">
          <a:xfrm>
            <a:off x="190" y="763"/>
            <a:ext cx="1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23">
            <a:extLst>
              <a:ext uri="{FF2B5EF4-FFF2-40B4-BE49-F238E27FC236}">
                <a16:creationId xmlns:a16="http://schemas.microsoft.com/office/drawing/2014/main" id="{00000000-0008-0000-0100-000018000000}"/>
              </a:ext>
            </a:extLst>
          </xdr:cNvPr>
          <xdr:cNvSpPr>
            <a:spLocks noChangeShapeType="1"/>
          </xdr:cNvSpPr>
        </xdr:nvSpPr>
        <xdr:spPr bwMode="auto">
          <a:xfrm flipH="1">
            <a:off x="129" y="763"/>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24">
            <a:extLst>
              <a:ext uri="{FF2B5EF4-FFF2-40B4-BE49-F238E27FC236}">
                <a16:creationId xmlns:a16="http://schemas.microsoft.com/office/drawing/2014/main" id="{00000000-0008-0000-0100-000019000000}"/>
              </a:ext>
            </a:extLst>
          </xdr:cNvPr>
          <xdr:cNvSpPr>
            <a:spLocks noChangeShapeType="1"/>
          </xdr:cNvSpPr>
        </xdr:nvSpPr>
        <xdr:spPr bwMode="auto">
          <a:xfrm>
            <a:off x="198" y="677"/>
            <a:ext cx="2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25">
            <a:extLst>
              <a:ext uri="{FF2B5EF4-FFF2-40B4-BE49-F238E27FC236}">
                <a16:creationId xmlns:a16="http://schemas.microsoft.com/office/drawing/2014/main" id="{00000000-0008-0000-0100-00001A000000}"/>
              </a:ext>
            </a:extLst>
          </xdr:cNvPr>
          <xdr:cNvSpPr>
            <a:spLocks noChangeShapeType="1"/>
          </xdr:cNvSpPr>
        </xdr:nvSpPr>
        <xdr:spPr bwMode="auto">
          <a:xfrm flipV="1">
            <a:off x="208" y="678"/>
            <a:ext cx="0" cy="31"/>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27" name="Line 26">
            <a:extLst>
              <a:ext uri="{FF2B5EF4-FFF2-40B4-BE49-F238E27FC236}">
                <a16:creationId xmlns:a16="http://schemas.microsoft.com/office/drawing/2014/main" id="{00000000-0008-0000-0100-00001B000000}"/>
              </a:ext>
            </a:extLst>
          </xdr:cNvPr>
          <xdr:cNvSpPr>
            <a:spLocks noChangeShapeType="1"/>
          </xdr:cNvSpPr>
        </xdr:nvSpPr>
        <xdr:spPr bwMode="auto">
          <a:xfrm>
            <a:off x="208" y="732"/>
            <a:ext cx="0" cy="29"/>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28" name="Line 27">
            <a:extLst>
              <a:ext uri="{FF2B5EF4-FFF2-40B4-BE49-F238E27FC236}">
                <a16:creationId xmlns:a16="http://schemas.microsoft.com/office/drawing/2014/main" id="{00000000-0008-0000-0100-00001C000000}"/>
              </a:ext>
            </a:extLst>
          </xdr:cNvPr>
          <xdr:cNvSpPr>
            <a:spLocks noChangeShapeType="1"/>
          </xdr:cNvSpPr>
        </xdr:nvSpPr>
        <xdr:spPr bwMode="auto">
          <a:xfrm flipV="1">
            <a:off x="132" y="764"/>
            <a:ext cx="0" cy="1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9" name="Line 28">
            <a:extLst>
              <a:ext uri="{FF2B5EF4-FFF2-40B4-BE49-F238E27FC236}">
                <a16:creationId xmlns:a16="http://schemas.microsoft.com/office/drawing/2014/main" id="{00000000-0008-0000-0100-00001D000000}"/>
              </a:ext>
            </a:extLst>
          </xdr:cNvPr>
          <xdr:cNvSpPr>
            <a:spLocks noChangeShapeType="1"/>
          </xdr:cNvSpPr>
        </xdr:nvSpPr>
        <xdr:spPr bwMode="auto">
          <a:xfrm>
            <a:off x="130" y="738"/>
            <a:ext cx="0" cy="8"/>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30" name="Line 29">
            <a:extLst>
              <a:ext uri="{FF2B5EF4-FFF2-40B4-BE49-F238E27FC236}">
                <a16:creationId xmlns:a16="http://schemas.microsoft.com/office/drawing/2014/main" id="{00000000-0008-0000-0100-00001E000000}"/>
              </a:ext>
            </a:extLst>
          </xdr:cNvPr>
          <xdr:cNvSpPr>
            <a:spLocks noChangeShapeType="1"/>
          </xdr:cNvSpPr>
        </xdr:nvSpPr>
        <xdr:spPr bwMode="auto">
          <a:xfrm>
            <a:off x="126" y="748"/>
            <a:ext cx="1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30">
            <a:extLst>
              <a:ext uri="{FF2B5EF4-FFF2-40B4-BE49-F238E27FC236}">
                <a16:creationId xmlns:a16="http://schemas.microsoft.com/office/drawing/2014/main" id="{00000000-0008-0000-0100-00001F000000}"/>
              </a:ext>
            </a:extLst>
          </xdr:cNvPr>
          <xdr:cNvSpPr>
            <a:spLocks noChangeShapeType="1"/>
          </xdr:cNvSpPr>
        </xdr:nvSpPr>
        <xdr:spPr bwMode="auto">
          <a:xfrm flipV="1">
            <a:off x="191" y="661"/>
            <a:ext cx="0"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 name="Line 31">
            <a:extLst>
              <a:ext uri="{FF2B5EF4-FFF2-40B4-BE49-F238E27FC236}">
                <a16:creationId xmlns:a16="http://schemas.microsoft.com/office/drawing/2014/main" id="{00000000-0008-0000-0100-000020000000}"/>
              </a:ext>
            </a:extLst>
          </xdr:cNvPr>
          <xdr:cNvSpPr>
            <a:spLocks noChangeShapeType="1"/>
          </xdr:cNvSpPr>
        </xdr:nvSpPr>
        <xdr:spPr bwMode="auto">
          <a:xfrm flipV="1">
            <a:off x="143" y="662"/>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32">
            <a:extLst>
              <a:ext uri="{FF2B5EF4-FFF2-40B4-BE49-F238E27FC236}">
                <a16:creationId xmlns:a16="http://schemas.microsoft.com/office/drawing/2014/main" id="{00000000-0008-0000-0100-000021000000}"/>
              </a:ext>
            </a:extLst>
          </xdr:cNvPr>
          <xdr:cNvSpPr>
            <a:spLocks noChangeShapeType="1"/>
          </xdr:cNvSpPr>
        </xdr:nvSpPr>
        <xdr:spPr bwMode="auto">
          <a:xfrm>
            <a:off x="152" y="667"/>
            <a:ext cx="3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34" name="Line 33">
            <a:extLst>
              <a:ext uri="{FF2B5EF4-FFF2-40B4-BE49-F238E27FC236}">
                <a16:creationId xmlns:a16="http://schemas.microsoft.com/office/drawing/2014/main" id="{00000000-0008-0000-0100-000022000000}"/>
              </a:ext>
            </a:extLst>
          </xdr:cNvPr>
          <xdr:cNvSpPr>
            <a:spLocks noChangeShapeType="1"/>
          </xdr:cNvSpPr>
        </xdr:nvSpPr>
        <xdr:spPr bwMode="auto">
          <a:xfrm flipH="1">
            <a:off x="147" y="667"/>
            <a:ext cx="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35" name="Line 34">
            <a:extLst>
              <a:ext uri="{FF2B5EF4-FFF2-40B4-BE49-F238E27FC236}">
                <a16:creationId xmlns:a16="http://schemas.microsoft.com/office/drawing/2014/main" id="{00000000-0008-0000-0100-000023000000}"/>
              </a:ext>
            </a:extLst>
          </xdr:cNvPr>
          <xdr:cNvSpPr>
            <a:spLocks noChangeShapeType="1"/>
          </xdr:cNvSpPr>
        </xdr:nvSpPr>
        <xdr:spPr bwMode="auto">
          <a:xfrm>
            <a:off x="138" y="748"/>
            <a:ext cx="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35">
            <a:extLst>
              <a:ext uri="{FF2B5EF4-FFF2-40B4-BE49-F238E27FC236}">
                <a16:creationId xmlns:a16="http://schemas.microsoft.com/office/drawing/2014/main" id="{00000000-0008-0000-0100-000024000000}"/>
              </a:ext>
            </a:extLst>
          </xdr:cNvPr>
          <xdr:cNvSpPr>
            <a:spLocks noChangeShapeType="1"/>
          </xdr:cNvSpPr>
        </xdr:nvSpPr>
        <xdr:spPr bwMode="auto">
          <a:xfrm>
            <a:off x="190" y="754"/>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36">
            <a:extLst>
              <a:ext uri="{FF2B5EF4-FFF2-40B4-BE49-F238E27FC236}">
                <a16:creationId xmlns:a16="http://schemas.microsoft.com/office/drawing/2014/main" id="{00000000-0008-0000-0100-000025000000}"/>
              </a:ext>
            </a:extLst>
          </xdr:cNvPr>
          <xdr:cNvSpPr>
            <a:spLocks noChangeShapeType="1"/>
          </xdr:cNvSpPr>
        </xdr:nvSpPr>
        <xdr:spPr bwMode="auto">
          <a:xfrm flipV="1">
            <a:off x="198" y="746"/>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37">
            <a:extLst>
              <a:ext uri="{FF2B5EF4-FFF2-40B4-BE49-F238E27FC236}">
                <a16:creationId xmlns:a16="http://schemas.microsoft.com/office/drawing/2014/main" id="{00000000-0008-0000-0100-000026000000}"/>
              </a:ext>
            </a:extLst>
          </xdr:cNvPr>
          <xdr:cNvSpPr>
            <a:spLocks noChangeShapeType="1"/>
          </xdr:cNvSpPr>
        </xdr:nvSpPr>
        <xdr:spPr bwMode="auto">
          <a:xfrm>
            <a:off x="191" y="747"/>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2</xdr:col>
      <xdr:colOff>438150</xdr:colOff>
      <xdr:row>42</xdr:row>
      <xdr:rowOff>180975</xdr:rowOff>
    </xdr:from>
    <xdr:to>
      <xdr:col>3</xdr:col>
      <xdr:colOff>304800</xdr:colOff>
      <xdr:row>43</xdr:row>
      <xdr:rowOff>66675</xdr:rowOff>
    </xdr:to>
    <xdr:sp macro="" textlink="">
      <xdr:nvSpPr>
        <xdr:cNvPr id="39" name="Area">
          <a:extLst>
            <a:ext uri="{FF2B5EF4-FFF2-40B4-BE49-F238E27FC236}">
              <a16:creationId xmlns:a16="http://schemas.microsoft.com/office/drawing/2014/main" id="{00000000-0008-0000-0100-000027000000}"/>
            </a:ext>
          </a:extLst>
        </xdr:cNvPr>
        <xdr:cNvSpPr txBox="1">
          <a:spLocks noChangeArrowheads="1"/>
        </xdr:cNvSpPr>
      </xdr:nvSpPr>
      <xdr:spPr bwMode="auto">
        <a:xfrm>
          <a:off x="1657350" y="9848850"/>
          <a:ext cx="342900"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2340.0</a:t>
          </a:r>
        </a:p>
      </xdr:txBody>
    </xdr:sp>
    <xdr:clientData/>
  </xdr:twoCellAnchor>
  <xdr:twoCellAnchor>
    <xdr:from>
      <xdr:col>1</xdr:col>
      <xdr:colOff>257175</xdr:colOff>
      <xdr:row>40</xdr:row>
      <xdr:rowOff>200025</xdr:rowOff>
    </xdr:from>
    <xdr:to>
      <xdr:col>2</xdr:col>
      <xdr:colOff>247650</xdr:colOff>
      <xdr:row>41</xdr:row>
      <xdr:rowOff>104775</xdr:rowOff>
    </xdr:to>
    <xdr:sp macro="" textlink="">
      <xdr:nvSpPr>
        <xdr:cNvPr id="40" name="OD">
          <a:extLst>
            <a:ext uri="{FF2B5EF4-FFF2-40B4-BE49-F238E27FC236}">
              <a16:creationId xmlns:a16="http://schemas.microsoft.com/office/drawing/2014/main" id="{00000000-0008-0000-0100-000028000000}"/>
            </a:ext>
          </a:extLst>
        </xdr:cNvPr>
        <xdr:cNvSpPr txBox="1">
          <a:spLocks noChangeArrowheads="1"/>
        </xdr:cNvSpPr>
      </xdr:nvSpPr>
      <xdr:spPr bwMode="auto">
        <a:xfrm>
          <a:off x="1066800" y="9410700"/>
          <a:ext cx="400050" cy="1333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315.0</a:t>
          </a:r>
        </a:p>
      </xdr:txBody>
    </xdr:sp>
    <xdr:clientData/>
  </xdr:twoCellAnchor>
  <xdr:twoCellAnchor>
    <xdr:from>
      <xdr:col>2</xdr:col>
      <xdr:colOff>66675</xdr:colOff>
      <xdr:row>40</xdr:row>
      <xdr:rowOff>57150</xdr:rowOff>
    </xdr:from>
    <xdr:to>
      <xdr:col>2</xdr:col>
      <xdr:colOff>342900</xdr:colOff>
      <xdr:row>40</xdr:row>
      <xdr:rowOff>152400</xdr:rowOff>
    </xdr:to>
    <xdr:sp macro="" textlink="">
      <xdr:nvSpPr>
        <xdr:cNvPr id="41" name="Height">
          <a:extLst>
            <a:ext uri="{FF2B5EF4-FFF2-40B4-BE49-F238E27FC236}">
              <a16:creationId xmlns:a16="http://schemas.microsoft.com/office/drawing/2014/main" id="{00000000-0008-0000-0100-000029000000}"/>
            </a:ext>
          </a:extLst>
        </xdr:cNvPr>
        <xdr:cNvSpPr txBox="1">
          <a:spLocks noChangeArrowheads="1"/>
        </xdr:cNvSpPr>
      </xdr:nvSpPr>
      <xdr:spPr bwMode="auto">
        <a:xfrm>
          <a:off x="1285875" y="9267825"/>
          <a:ext cx="276225"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55.0</a:t>
          </a:r>
        </a:p>
      </xdr:txBody>
    </xdr:sp>
    <xdr:clientData/>
  </xdr:twoCellAnchor>
  <xdr:twoCellAnchor>
    <xdr:from>
      <xdr:col>2</xdr:col>
      <xdr:colOff>352425</xdr:colOff>
      <xdr:row>40</xdr:row>
      <xdr:rowOff>57150</xdr:rowOff>
    </xdr:from>
    <xdr:to>
      <xdr:col>3</xdr:col>
      <xdr:colOff>180975</xdr:colOff>
      <xdr:row>40</xdr:row>
      <xdr:rowOff>180975</xdr:rowOff>
    </xdr:to>
    <xdr:sp macro="" textlink="">
      <xdr:nvSpPr>
        <xdr:cNvPr id="42" name="Thickness">
          <a:extLst>
            <a:ext uri="{FF2B5EF4-FFF2-40B4-BE49-F238E27FC236}">
              <a16:creationId xmlns:a16="http://schemas.microsoft.com/office/drawing/2014/main" id="{00000000-0008-0000-0100-00002A000000}"/>
            </a:ext>
          </a:extLst>
        </xdr:cNvPr>
        <xdr:cNvSpPr txBox="1">
          <a:spLocks noChangeArrowheads="1"/>
        </xdr:cNvSpPr>
      </xdr:nvSpPr>
      <xdr:spPr bwMode="auto">
        <a:xfrm>
          <a:off x="1571625" y="9267825"/>
          <a:ext cx="304800"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45.0</a:t>
          </a:r>
        </a:p>
      </xdr:txBody>
    </xdr:sp>
    <xdr:clientData/>
  </xdr:twoCellAnchor>
  <xdr:twoCellAnchor>
    <xdr:from>
      <xdr:col>1</xdr:col>
      <xdr:colOff>295275</xdr:colOff>
      <xdr:row>42</xdr:row>
      <xdr:rowOff>0</xdr:rowOff>
    </xdr:from>
    <xdr:to>
      <xdr:col>2</xdr:col>
      <xdr:colOff>190500</xdr:colOff>
      <xdr:row>42</xdr:row>
      <xdr:rowOff>123825</xdr:rowOff>
    </xdr:to>
    <xdr:sp macro="" textlink="">
      <xdr:nvSpPr>
        <xdr:cNvPr id="43" name="ID">
          <a:extLst>
            <a:ext uri="{FF2B5EF4-FFF2-40B4-BE49-F238E27FC236}">
              <a16:creationId xmlns:a16="http://schemas.microsoft.com/office/drawing/2014/main" id="{00000000-0008-0000-0100-00002B000000}"/>
            </a:ext>
          </a:extLst>
        </xdr:cNvPr>
        <xdr:cNvSpPr txBox="1">
          <a:spLocks noChangeArrowheads="1"/>
        </xdr:cNvSpPr>
      </xdr:nvSpPr>
      <xdr:spPr bwMode="auto">
        <a:xfrm>
          <a:off x="1104900" y="9667875"/>
          <a:ext cx="304800"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205.0</a:t>
          </a:r>
        </a:p>
      </xdr:txBody>
    </xdr:sp>
    <xdr:clientData/>
  </xdr:twoCellAnchor>
  <xdr:twoCellAnchor>
    <xdr:from>
      <xdr:col>3</xdr:col>
      <xdr:colOff>133350</xdr:colOff>
      <xdr:row>32</xdr:row>
      <xdr:rowOff>85725</xdr:rowOff>
    </xdr:from>
    <xdr:to>
      <xdr:col>3</xdr:col>
      <xdr:colOff>381000</xdr:colOff>
      <xdr:row>32</xdr:row>
      <xdr:rowOff>200025</xdr:rowOff>
    </xdr:to>
    <xdr:sp macro="" textlink="">
      <xdr:nvSpPr>
        <xdr:cNvPr id="44" name="Tip2">
          <a:extLst>
            <a:ext uri="{FF2B5EF4-FFF2-40B4-BE49-F238E27FC236}">
              <a16:creationId xmlns:a16="http://schemas.microsoft.com/office/drawing/2014/main" id="{00000000-0008-0000-0100-00002C000000}"/>
            </a:ext>
          </a:extLst>
        </xdr:cNvPr>
        <xdr:cNvSpPr txBox="1">
          <a:spLocks noChangeArrowheads="1"/>
        </xdr:cNvSpPr>
      </xdr:nvSpPr>
      <xdr:spPr bwMode="auto">
        <a:xfrm>
          <a:off x="1828800" y="7467600"/>
          <a:ext cx="247650"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0.80</a:t>
          </a:r>
        </a:p>
      </xdr:txBody>
    </xdr:sp>
    <xdr:clientData/>
  </xdr:twoCellAnchor>
  <xdr:twoCellAnchor>
    <xdr:from>
      <xdr:col>3</xdr:col>
      <xdr:colOff>209550</xdr:colOff>
      <xdr:row>35</xdr:row>
      <xdr:rowOff>47625</xdr:rowOff>
    </xdr:from>
    <xdr:to>
      <xdr:col>3</xdr:col>
      <xdr:colOff>485775</xdr:colOff>
      <xdr:row>35</xdr:row>
      <xdr:rowOff>161925</xdr:rowOff>
    </xdr:to>
    <xdr:sp macro="" textlink="">
      <xdr:nvSpPr>
        <xdr:cNvPr id="45" name="Depth2">
          <a:extLst>
            <a:ext uri="{FF2B5EF4-FFF2-40B4-BE49-F238E27FC236}">
              <a16:creationId xmlns:a16="http://schemas.microsoft.com/office/drawing/2014/main" id="{00000000-0008-0000-0100-00002D000000}"/>
            </a:ext>
          </a:extLst>
        </xdr:cNvPr>
        <xdr:cNvSpPr txBox="1">
          <a:spLocks noChangeArrowheads="1"/>
        </xdr:cNvSpPr>
      </xdr:nvSpPr>
      <xdr:spPr bwMode="auto">
        <a:xfrm>
          <a:off x="1905000" y="8115300"/>
          <a:ext cx="276225"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43.30</a:t>
          </a:r>
        </a:p>
      </xdr:txBody>
    </xdr:sp>
    <xdr:clientData/>
  </xdr:twoCellAnchor>
  <xdr:twoCellAnchor>
    <xdr:from>
      <xdr:col>2</xdr:col>
      <xdr:colOff>409575</xdr:colOff>
      <xdr:row>33</xdr:row>
      <xdr:rowOff>142875</xdr:rowOff>
    </xdr:from>
    <xdr:to>
      <xdr:col>3</xdr:col>
      <xdr:colOff>171450</xdr:colOff>
      <xdr:row>34</xdr:row>
      <xdr:rowOff>9525</xdr:rowOff>
    </xdr:to>
    <xdr:sp macro="" textlink="">
      <xdr:nvSpPr>
        <xdr:cNvPr id="46" name="Hat Depth">
          <a:extLst>
            <a:ext uri="{FF2B5EF4-FFF2-40B4-BE49-F238E27FC236}">
              <a16:creationId xmlns:a16="http://schemas.microsoft.com/office/drawing/2014/main" id="{00000000-0008-0000-0100-00002E000000}"/>
            </a:ext>
          </a:extLst>
        </xdr:cNvPr>
        <xdr:cNvSpPr txBox="1">
          <a:spLocks noChangeArrowheads="1"/>
        </xdr:cNvSpPr>
      </xdr:nvSpPr>
      <xdr:spPr bwMode="auto">
        <a:xfrm>
          <a:off x="1628775" y="7753350"/>
          <a:ext cx="238125"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1.5</a:t>
          </a:r>
        </a:p>
      </xdr:txBody>
    </xdr:sp>
    <xdr:clientData/>
  </xdr:twoCellAnchor>
  <xdr:twoCellAnchor>
    <xdr:from>
      <xdr:col>2</xdr:col>
      <xdr:colOff>390525</xdr:colOff>
      <xdr:row>34</xdr:row>
      <xdr:rowOff>38100</xdr:rowOff>
    </xdr:from>
    <xdr:to>
      <xdr:col>3</xdr:col>
      <xdr:colOff>180975</xdr:colOff>
      <xdr:row>34</xdr:row>
      <xdr:rowOff>161925</xdr:rowOff>
    </xdr:to>
    <xdr:sp macro="" textlink="">
      <xdr:nvSpPr>
        <xdr:cNvPr id="47" name="Up Bar Depth">
          <a:extLst>
            <a:ext uri="{FF2B5EF4-FFF2-40B4-BE49-F238E27FC236}">
              <a16:creationId xmlns:a16="http://schemas.microsoft.com/office/drawing/2014/main" id="{00000000-0008-0000-0100-00002F000000}"/>
            </a:ext>
          </a:extLst>
        </xdr:cNvPr>
        <xdr:cNvSpPr txBox="1">
          <a:spLocks noChangeArrowheads="1"/>
        </xdr:cNvSpPr>
      </xdr:nvSpPr>
      <xdr:spPr bwMode="auto">
        <a:xfrm>
          <a:off x="1609725" y="7877175"/>
          <a:ext cx="266700"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11.0</a:t>
          </a:r>
        </a:p>
      </xdr:txBody>
    </xdr:sp>
    <xdr:clientData/>
  </xdr:twoCellAnchor>
  <xdr:twoCellAnchor>
    <xdr:from>
      <xdr:col>1</xdr:col>
      <xdr:colOff>352425</xdr:colOff>
      <xdr:row>34</xdr:row>
      <xdr:rowOff>19050</xdr:rowOff>
    </xdr:from>
    <xdr:to>
      <xdr:col>2</xdr:col>
      <xdr:colOff>142875</xdr:colOff>
      <xdr:row>34</xdr:row>
      <xdr:rowOff>171450</xdr:rowOff>
    </xdr:to>
    <xdr:sp macro="" textlink="">
      <xdr:nvSpPr>
        <xdr:cNvPr id="48" name="Up Bar Width">
          <a:extLst>
            <a:ext uri="{FF2B5EF4-FFF2-40B4-BE49-F238E27FC236}">
              <a16:creationId xmlns:a16="http://schemas.microsoft.com/office/drawing/2014/main" id="{00000000-0008-0000-0100-000030000000}"/>
            </a:ext>
          </a:extLst>
        </xdr:cNvPr>
        <xdr:cNvSpPr txBox="1">
          <a:spLocks noChangeArrowheads="1"/>
        </xdr:cNvSpPr>
      </xdr:nvSpPr>
      <xdr:spPr bwMode="auto">
        <a:xfrm>
          <a:off x="1162050" y="7858125"/>
          <a:ext cx="200025" cy="1524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3.0</a:t>
          </a:r>
        </a:p>
      </xdr:txBody>
    </xdr:sp>
    <xdr:clientData/>
  </xdr:twoCellAnchor>
  <xdr:twoCellAnchor>
    <xdr:from>
      <xdr:col>2</xdr:col>
      <xdr:colOff>171450</xdr:colOff>
      <xdr:row>35</xdr:row>
      <xdr:rowOff>85725</xdr:rowOff>
    </xdr:from>
    <xdr:to>
      <xdr:col>2</xdr:col>
      <xdr:colOff>466725</xdr:colOff>
      <xdr:row>35</xdr:row>
      <xdr:rowOff>190500</xdr:rowOff>
    </xdr:to>
    <xdr:sp macro="" textlink="">
      <xdr:nvSpPr>
        <xdr:cNvPr id="49" name="Width2">
          <a:extLst>
            <a:ext uri="{FF2B5EF4-FFF2-40B4-BE49-F238E27FC236}">
              <a16:creationId xmlns:a16="http://schemas.microsoft.com/office/drawing/2014/main" id="{00000000-0008-0000-0100-000031000000}"/>
            </a:ext>
          </a:extLst>
        </xdr:cNvPr>
        <xdr:cNvSpPr txBox="1">
          <a:spLocks noChangeArrowheads="1"/>
        </xdr:cNvSpPr>
      </xdr:nvSpPr>
      <xdr:spPr bwMode="auto">
        <a:xfrm>
          <a:off x="1390650" y="8153400"/>
          <a:ext cx="295275"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16.68</a:t>
          </a:r>
        </a:p>
      </xdr:txBody>
    </xdr:sp>
    <xdr:clientData/>
  </xdr:twoCellAnchor>
  <xdr:twoCellAnchor>
    <xdr:from>
      <xdr:col>3</xdr:col>
      <xdr:colOff>57150</xdr:colOff>
      <xdr:row>36</xdr:row>
      <xdr:rowOff>19050</xdr:rowOff>
    </xdr:from>
    <xdr:to>
      <xdr:col>3</xdr:col>
      <xdr:colOff>352425</xdr:colOff>
      <xdr:row>36</xdr:row>
      <xdr:rowOff>142875</xdr:rowOff>
    </xdr:to>
    <xdr:sp macro="" textlink="">
      <xdr:nvSpPr>
        <xdr:cNvPr id="50" name="Low Bar Depth">
          <a:extLst>
            <a:ext uri="{FF2B5EF4-FFF2-40B4-BE49-F238E27FC236}">
              <a16:creationId xmlns:a16="http://schemas.microsoft.com/office/drawing/2014/main" id="{00000000-0008-0000-0100-000032000000}"/>
            </a:ext>
          </a:extLst>
        </xdr:cNvPr>
        <xdr:cNvSpPr txBox="1">
          <a:spLocks noChangeArrowheads="1"/>
        </xdr:cNvSpPr>
      </xdr:nvSpPr>
      <xdr:spPr bwMode="auto">
        <a:xfrm>
          <a:off x="1752600" y="8315325"/>
          <a:ext cx="295275"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30.00</a:t>
          </a:r>
        </a:p>
      </xdr:txBody>
    </xdr:sp>
    <xdr:clientData/>
  </xdr:twoCellAnchor>
  <xdr:twoCellAnchor>
    <xdr:from>
      <xdr:col>2</xdr:col>
      <xdr:colOff>190500</xdr:colOff>
      <xdr:row>36</xdr:row>
      <xdr:rowOff>152400</xdr:rowOff>
    </xdr:from>
    <xdr:to>
      <xdr:col>2</xdr:col>
      <xdr:colOff>419100</xdr:colOff>
      <xdr:row>37</xdr:row>
      <xdr:rowOff>28575</xdr:rowOff>
    </xdr:to>
    <xdr:sp macro="" textlink="">
      <xdr:nvSpPr>
        <xdr:cNvPr id="51" name="Width3">
          <a:extLst>
            <a:ext uri="{FF2B5EF4-FFF2-40B4-BE49-F238E27FC236}">
              <a16:creationId xmlns:a16="http://schemas.microsoft.com/office/drawing/2014/main" id="{00000000-0008-0000-0100-000033000000}"/>
            </a:ext>
          </a:extLst>
        </xdr:cNvPr>
        <xdr:cNvSpPr txBox="1">
          <a:spLocks noChangeArrowheads="1"/>
        </xdr:cNvSpPr>
      </xdr:nvSpPr>
      <xdr:spPr bwMode="auto">
        <a:xfrm>
          <a:off x="1409700" y="8448675"/>
          <a:ext cx="228600"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11.12</a:t>
          </a:r>
        </a:p>
      </xdr:txBody>
    </xdr:sp>
    <xdr:clientData/>
  </xdr:twoCellAnchor>
  <xdr:twoCellAnchor>
    <xdr:from>
      <xdr:col>1</xdr:col>
      <xdr:colOff>161925</xdr:colOff>
      <xdr:row>39</xdr:row>
      <xdr:rowOff>95250</xdr:rowOff>
    </xdr:from>
    <xdr:to>
      <xdr:col>3</xdr:col>
      <xdr:colOff>542925</xdr:colOff>
      <xdr:row>43</xdr:row>
      <xdr:rowOff>66675</xdr:rowOff>
    </xdr:to>
    <xdr:grpSp>
      <xdr:nvGrpSpPr>
        <xdr:cNvPr id="52" name="Group 51">
          <a:extLst>
            <a:ext uri="{FF2B5EF4-FFF2-40B4-BE49-F238E27FC236}">
              <a16:creationId xmlns:a16="http://schemas.microsoft.com/office/drawing/2014/main" id="{00000000-0008-0000-0100-000034000000}"/>
            </a:ext>
          </a:extLst>
        </xdr:cNvPr>
        <xdr:cNvGrpSpPr>
          <a:grpSpLocks/>
        </xdr:cNvGrpSpPr>
      </xdr:nvGrpSpPr>
      <xdr:grpSpPr bwMode="auto">
        <a:xfrm>
          <a:off x="971550" y="9077325"/>
          <a:ext cx="1266825" cy="885825"/>
          <a:chOff x="102" y="929"/>
          <a:chExt cx="133" cy="93"/>
        </a:xfrm>
      </xdr:grpSpPr>
      <xdr:sp macro="" textlink="">
        <xdr:nvSpPr>
          <xdr:cNvPr id="53" name="Line 52">
            <a:extLst>
              <a:ext uri="{FF2B5EF4-FFF2-40B4-BE49-F238E27FC236}">
                <a16:creationId xmlns:a16="http://schemas.microsoft.com/office/drawing/2014/main" id="{00000000-0008-0000-0100-000035000000}"/>
              </a:ext>
            </a:extLst>
          </xdr:cNvPr>
          <xdr:cNvSpPr>
            <a:spLocks noChangeShapeType="1"/>
          </xdr:cNvSpPr>
        </xdr:nvSpPr>
        <xdr:spPr bwMode="auto">
          <a:xfrm flipH="1" flipV="1">
            <a:off x="151" y="989"/>
            <a:ext cx="0" cy="13"/>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54" name="Line 53">
            <a:extLst>
              <a:ext uri="{FF2B5EF4-FFF2-40B4-BE49-F238E27FC236}">
                <a16:creationId xmlns:a16="http://schemas.microsoft.com/office/drawing/2014/main" id="{00000000-0008-0000-0100-000036000000}"/>
              </a:ext>
            </a:extLst>
          </xdr:cNvPr>
          <xdr:cNvSpPr>
            <a:spLocks noChangeShapeType="1"/>
          </xdr:cNvSpPr>
        </xdr:nvSpPr>
        <xdr:spPr bwMode="auto">
          <a:xfrm flipV="1">
            <a:off x="135" y="929"/>
            <a:ext cx="2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 name="Line 54">
            <a:extLst>
              <a:ext uri="{FF2B5EF4-FFF2-40B4-BE49-F238E27FC236}">
                <a16:creationId xmlns:a16="http://schemas.microsoft.com/office/drawing/2014/main" id="{00000000-0008-0000-0100-000037000000}"/>
              </a:ext>
            </a:extLst>
          </xdr:cNvPr>
          <xdr:cNvSpPr>
            <a:spLocks noChangeShapeType="1"/>
          </xdr:cNvSpPr>
        </xdr:nvSpPr>
        <xdr:spPr bwMode="auto">
          <a:xfrm>
            <a:off x="163" y="929"/>
            <a:ext cx="0" cy="7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55">
            <a:extLst>
              <a:ext uri="{FF2B5EF4-FFF2-40B4-BE49-F238E27FC236}">
                <a16:creationId xmlns:a16="http://schemas.microsoft.com/office/drawing/2014/main" id="{00000000-0008-0000-0100-000038000000}"/>
              </a:ext>
            </a:extLst>
          </xdr:cNvPr>
          <xdr:cNvSpPr>
            <a:spLocks noChangeShapeType="1"/>
          </xdr:cNvSpPr>
        </xdr:nvSpPr>
        <xdr:spPr bwMode="auto">
          <a:xfrm flipV="1">
            <a:off x="163" y="934"/>
            <a:ext cx="7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7" name="Line 56">
            <a:extLst>
              <a:ext uri="{FF2B5EF4-FFF2-40B4-BE49-F238E27FC236}">
                <a16:creationId xmlns:a16="http://schemas.microsoft.com/office/drawing/2014/main" id="{00000000-0008-0000-0100-000039000000}"/>
              </a:ext>
            </a:extLst>
          </xdr:cNvPr>
          <xdr:cNvSpPr>
            <a:spLocks noChangeShapeType="1"/>
          </xdr:cNvSpPr>
        </xdr:nvSpPr>
        <xdr:spPr bwMode="auto">
          <a:xfrm flipH="1">
            <a:off x="235" y="934"/>
            <a:ext cx="0" cy="4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8" name="Line 57">
            <a:extLst>
              <a:ext uri="{FF2B5EF4-FFF2-40B4-BE49-F238E27FC236}">
                <a16:creationId xmlns:a16="http://schemas.microsoft.com/office/drawing/2014/main" id="{00000000-0008-0000-0100-00003A000000}"/>
              </a:ext>
            </a:extLst>
          </xdr:cNvPr>
          <xdr:cNvSpPr>
            <a:spLocks noChangeShapeType="1"/>
          </xdr:cNvSpPr>
        </xdr:nvSpPr>
        <xdr:spPr bwMode="auto">
          <a:xfrm flipV="1">
            <a:off x="163" y="975"/>
            <a:ext cx="72" cy="1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9" name="Line 58">
            <a:extLst>
              <a:ext uri="{FF2B5EF4-FFF2-40B4-BE49-F238E27FC236}">
                <a16:creationId xmlns:a16="http://schemas.microsoft.com/office/drawing/2014/main" id="{00000000-0008-0000-0100-00003B000000}"/>
              </a:ext>
            </a:extLst>
          </xdr:cNvPr>
          <xdr:cNvSpPr>
            <a:spLocks noChangeShapeType="1"/>
          </xdr:cNvSpPr>
        </xdr:nvSpPr>
        <xdr:spPr bwMode="auto">
          <a:xfrm>
            <a:off x="191" y="934"/>
            <a:ext cx="0" cy="4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0" name="Line 59">
            <a:extLst>
              <a:ext uri="{FF2B5EF4-FFF2-40B4-BE49-F238E27FC236}">
                <a16:creationId xmlns:a16="http://schemas.microsoft.com/office/drawing/2014/main" id="{00000000-0008-0000-0100-00003C000000}"/>
              </a:ext>
            </a:extLst>
          </xdr:cNvPr>
          <xdr:cNvSpPr>
            <a:spLocks noChangeShapeType="1"/>
          </xdr:cNvSpPr>
        </xdr:nvSpPr>
        <xdr:spPr bwMode="auto">
          <a:xfrm flipH="1">
            <a:off x="130" y="934"/>
            <a:ext cx="3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 name="Line 60">
            <a:extLst>
              <a:ext uri="{FF2B5EF4-FFF2-40B4-BE49-F238E27FC236}">
                <a16:creationId xmlns:a16="http://schemas.microsoft.com/office/drawing/2014/main" id="{00000000-0008-0000-0100-00003D000000}"/>
              </a:ext>
            </a:extLst>
          </xdr:cNvPr>
          <xdr:cNvSpPr>
            <a:spLocks noChangeShapeType="1"/>
          </xdr:cNvSpPr>
        </xdr:nvSpPr>
        <xdr:spPr bwMode="auto">
          <a:xfrm flipH="1" flipV="1">
            <a:off x="142" y="988"/>
            <a:ext cx="2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 name="Line 61">
            <a:extLst>
              <a:ext uri="{FF2B5EF4-FFF2-40B4-BE49-F238E27FC236}">
                <a16:creationId xmlns:a16="http://schemas.microsoft.com/office/drawing/2014/main" id="{00000000-0008-0000-0100-00003E000000}"/>
              </a:ext>
            </a:extLst>
          </xdr:cNvPr>
          <xdr:cNvSpPr>
            <a:spLocks noChangeShapeType="1"/>
          </xdr:cNvSpPr>
        </xdr:nvSpPr>
        <xdr:spPr bwMode="auto">
          <a:xfrm flipV="1">
            <a:off x="145" y="934"/>
            <a:ext cx="0" cy="17"/>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3" name="Line 62">
            <a:extLst>
              <a:ext uri="{FF2B5EF4-FFF2-40B4-BE49-F238E27FC236}">
                <a16:creationId xmlns:a16="http://schemas.microsoft.com/office/drawing/2014/main" id="{00000000-0008-0000-0100-00003F000000}"/>
              </a:ext>
            </a:extLst>
          </xdr:cNvPr>
          <xdr:cNvSpPr>
            <a:spLocks noChangeShapeType="1"/>
          </xdr:cNvSpPr>
        </xdr:nvSpPr>
        <xdr:spPr bwMode="auto">
          <a:xfrm flipH="1">
            <a:off x="145" y="962"/>
            <a:ext cx="0" cy="26"/>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4" name="Line 63">
            <a:extLst>
              <a:ext uri="{FF2B5EF4-FFF2-40B4-BE49-F238E27FC236}">
                <a16:creationId xmlns:a16="http://schemas.microsoft.com/office/drawing/2014/main" id="{00000000-0008-0000-0100-000040000000}"/>
              </a:ext>
            </a:extLst>
          </xdr:cNvPr>
          <xdr:cNvSpPr>
            <a:spLocks noChangeShapeType="1"/>
          </xdr:cNvSpPr>
        </xdr:nvSpPr>
        <xdr:spPr bwMode="auto">
          <a:xfrm flipH="1" flipV="1">
            <a:off x="132" y="935"/>
            <a:ext cx="0" cy="27"/>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5" name="Line 64">
            <a:extLst>
              <a:ext uri="{FF2B5EF4-FFF2-40B4-BE49-F238E27FC236}">
                <a16:creationId xmlns:a16="http://schemas.microsoft.com/office/drawing/2014/main" id="{00000000-0008-0000-0100-000041000000}"/>
              </a:ext>
            </a:extLst>
          </xdr:cNvPr>
          <xdr:cNvSpPr>
            <a:spLocks noChangeShapeType="1"/>
          </xdr:cNvSpPr>
        </xdr:nvSpPr>
        <xdr:spPr bwMode="auto">
          <a:xfrm>
            <a:off x="163" y="966"/>
            <a:ext cx="25"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66" name="Text 1067">
            <a:extLst>
              <a:ext uri="{FF2B5EF4-FFF2-40B4-BE49-F238E27FC236}">
                <a16:creationId xmlns:a16="http://schemas.microsoft.com/office/drawing/2014/main" id="{00000000-0008-0000-0100-000042000000}"/>
              </a:ext>
            </a:extLst>
          </xdr:cNvPr>
          <xdr:cNvSpPr txBox="1">
            <a:spLocks noChangeArrowheads="1"/>
          </xdr:cNvSpPr>
        </xdr:nvSpPr>
        <xdr:spPr bwMode="auto">
          <a:xfrm>
            <a:off x="190" y="996"/>
            <a:ext cx="22" cy="12"/>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sp macro="" textlink="">
        <xdr:nvSpPr>
          <xdr:cNvPr id="67" name="Text 1068">
            <a:extLst>
              <a:ext uri="{FF2B5EF4-FFF2-40B4-BE49-F238E27FC236}">
                <a16:creationId xmlns:a16="http://schemas.microsoft.com/office/drawing/2014/main" id="{00000000-0008-0000-0100-000043000000}"/>
              </a:ext>
            </a:extLst>
          </xdr:cNvPr>
          <xdr:cNvSpPr txBox="1">
            <a:spLocks noChangeArrowheads="1"/>
          </xdr:cNvSpPr>
        </xdr:nvSpPr>
        <xdr:spPr bwMode="auto">
          <a:xfrm>
            <a:off x="121" y="1009"/>
            <a:ext cx="52" cy="12"/>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Section</a:t>
            </a:r>
          </a:p>
        </xdr:txBody>
      </xdr:sp>
      <xdr:sp macro="" textlink="">
        <xdr:nvSpPr>
          <xdr:cNvPr id="68" name="Text 1069">
            <a:extLst>
              <a:ext uri="{FF2B5EF4-FFF2-40B4-BE49-F238E27FC236}">
                <a16:creationId xmlns:a16="http://schemas.microsoft.com/office/drawing/2014/main" id="{00000000-0008-0000-0100-000044000000}"/>
              </a:ext>
            </a:extLst>
          </xdr:cNvPr>
          <xdr:cNvSpPr txBox="1">
            <a:spLocks noChangeArrowheads="1"/>
          </xdr:cNvSpPr>
        </xdr:nvSpPr>
        <xdr:spPr bwMode="auto">
          <a:xfrm>
            <a:off x="204" y="1008"/>
            <a:ext cx="31" cy="14"/>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mm</a:t>
            </a:r>
            <a:r>
              <a:rPr lang="en-US" sz="600" b="1" i="0" u="none" strike="noStrike" baseline="30000">
                <a:solidFill>
                  <a:srgbClr val="000000"/>
                </a:solidFill>
                <a:latin typeface="Univers (W1)"/>
              </a:rPr>
              <a:t>2</a:t>
            </a:r>
          </a:p>
        </xdr:txBody>
      </xdr:sp>
      <xdr:sp macro="" textlink="">
        <xdr:nvSpPr>
          <xdr:cNvPr id="69" name="Line 68">
            <a:extLst>
              <a:ext uri="{FF2B5EF4-FFF2-40B4-BE49-F238E27FC236}">
                <a16:creationId xmlns:a16="http://schemas.microsoft.com/office/drawing/2014/main" id="{00000000-0008-0000-0100-000045000000}"/>
              </a:ext>
            </a:extLst>
          </xdr:cNvPr>
          <xdr:cNvSpPr>
            <a:spLocks noChangeShapeType="1"/>
          </xdr:cNvSpPr>
        </xdr:nvSpPr>
        <xdr:spPr bwMode="auto">
          <a:xfrm flipV="1">
            <a:off x="135" y="929"/>
            <a:ext cx="2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0" name="Line 69">
            <a:extLst>
              <a:ext uri="{FF2B5EF4-FFF2-40B4-BE49-F238E27FC236}">
                <a16:creationId xmlns:a16="http://schemas.microsoft.com/office/drawing/2014/main" id="{00000000-0008-0000-0100-000046000000}"/>
              </a:ext>
            </a:extLst>
          </xdr:cNvPr>
          <xdr:cNvSpPr>
            <a:spLocks noChangeShapeType="1"/>
          </xdr:cNvSpPr>
        </xdr:nvSpPr>
        <xdr:spPr bwMode="auto">
          <a:xfrm>
            <a:off x="163" y="929"/>
            <a:ext cx="0" cy="7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 name="Line 70">
            <a:extLst>
              <a:ext uri="{FF2B5EF4-FFF2-40B4-BE49-F238E27FC236}">
                <a16:creationId xmlns:a16="http://schemas.microsoft.com/office/drawing/2014/main" id="{00000000-0008-0000-0100-000047000000}"/>
              </a:ext>
            </a:extLst>
          </xdr:cNvPr>
          <xdr:cNvSpPr>
            <a:spLocks noChangeShapeType="1"/>
          </xdr:cNvSpPr>
        </xdr:nvSpPr>
        <xdr:spPr bwMode="auto">
          <a:xfrm flipV="1">
            <a:off x="163" y="934"/>
            <a:ext cx="7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 name="Line 71">
            <a:extLst>
              <a:ext uri="{FF2B5EF4-FFF2-40B4-BE49-F238E27FC236}">
                <a16:creationId xmlns:a16="http://schemas.microsoft.com/office/drawing/2014/main" id="{00000000-0008-0000-0100-000048000000}"/>
              </a:ext>
            </a:extLst>
          </xdr:cNvPr>
          <xdr:cNvSpPr>
            <a:spLocks noChangeShapeType="1"/>
          </xdr:cNvSpPr>
        </xdr:nvSpPr>
        <xdr:spPr bwMode="auto">
          <a:xfrm flipH="1">
            <a:off x="235" y="934"/>
            <a:ext cx="0" cy="4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Line 72">
            <a:extLst>
              <a:ext uri="{FF2B5EF4-FFF2-40B4-BE49-F238E27FC236}">
                <a16:creationId xmlns:a16="http://schemas.microsoft.com/office/drawing/2014/main" id="{00000000-0008-0000-0100-000049000000}"/>
              </a:ext>
            </a:extLst>
          </xdr:cNvPr>
          <xdr:cNvSpPr>
            <a:spLocks noChangeShapeType="1"/>
          </xdr:cNvSpPr>
        </xdr:nvSpPr>
        <xdr:spPr bwMode="auto">
          <a:xfrm flipV="1">
            <a:off x="163" y="975"/>
            <a:ext cx="72" cy="1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Line 73">
            <a:extLst>
              <a:ext uri="{FF2B5EF4-FFF2-40B4-BE49-F238E27FC236}">
                <a16:creationId xmlns:a16="http://schemas.microsoft.com/office/drawing/2014/main" id="{00000000-0008-0000-0100-00004A000000}"/>
              </a:ext>
            </a:extLst>
          </xdr:cNvPr>
          <xdr:cNvSpPr>
            <a:spLocks noChangeShapeType="1"/>
          </xdr:cNvSpPr>
        </xdr:nvSpPr>
        <xdr:spPr bwMode="auto">
          <a:xfrm>
            <a:off x="191" y="934"/>
            <a:ext cx="0" cy="4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5" name="Line 74">
            <a:extLst>
              <a:ext uri="{FF2B5EF4-FFF2-40B4-BE49-F238E27FC236}">
                <a16:creationId xmlns:a16="http://schemas.microsoft.com/office/drawing/2014/main" id="{00000000-0008-0000-0100-00004B000000}"/>
              </a:ext>
            </a:extLst>
          </xdr:cNvPr>
          <xdr:cNvSpPr>
            <a:spLocks noChangeShapeType="1"/>
          </xdr:cNvSpPr>
        </xdr:nvSpPr>
        <xdr:spPr bwMode="auto">
          <a:xfrm flipH="1">
            <a:off x="130" y="934"/>
            <a:ext cx="3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6" name="Line 75">
            <a:extLst>
              <a:ext uri="{FF2B5EF4-FFF2-40B4-BE49-F238E27FC236}">
                <a16:creationId xmlns:a16="http://schemas.microsoft.com/office/drawing/2014/main" id="{00000000-0008-0000-0100-00004C000000}"/>
              </a:ext>
            </a:extLst>
          </xdr:cNvPr>
          <xdr:cNvSpPr>
            <a:spLocks noChangeShapeType="1"/>
          </xdr:cNvSpPr>
        </xdr:nvSpPr>
        <xdr:spPr bwMode="auto">
          <a:xfrm flipH="1" flipV="1">
            <a:off x="142" y="988"/>
            <a:ext cx="2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7" name="Line 76">
            <a:extLst>
              <a:ext uri="{FF2B5EF4-FFF2-40B4-BE49-F238E27FC236}">
                <a16:creationId xmlns:a16="http://schemas.microsoft.com/office/drawing/2014/main" id="{00000000-0008-0000-0100-00004D000000}"/>
              </a:ext>
            </a:extLst>
          </xdr:cNvPr>
          <xdr:cNvSpPr>
            <a:spLocks noChangeShapeType="1"/>
          </xdr:cNvSpPr>
        </xdr:nvSpPr>
        <xdr:spPr bwMode="auto">
          <a:xfrm flipV="1">
            <a:off x="145" y="934"/>
            <a:ext cx="0" cy="17"/>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8" name="Line 77">
            <a:extLst>
              <a:ext uri="{FF2B5EF4-FFF2-40B4-BE49-F238E27FC236}">
                <a16:creationId xmlns:a16="http://schemas.microsoft.com/office/drawing/2014/main" id="{00000000-0008-0000-0100-00004E000000}"/>
              </a:ext>
            </a:extLst>
          </xdr:cNvPr>
          <xdr:cNvSpPr>
            <a:spLocks noChangeShapeType="1"/>
          </xdr:cNvSpPr>
        </xdr:nvSpPr>
        <xdr:spPr bwMode="auto">
          <a:xfrm flipH="1">
            <a:off x="145" y="962"/>
            <a:ext cx="0" cy="26"/>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9" name="Line 78">
            <a:extLst>
              <a:ext uri="{FF2B5EF4-FFF2-40B4-BE49-F238E27FC236}">
                <a16:creationId xmlns:a16="http://schemas.microsoft.com/office/drawing/2014/main" id="{00000000-0008-0000-0100-00004F000000}"/>
              </a:ext>
            </a:extLst>
          </xdr:cNvPr>
          <xdr:cNvSpPr>
            <a:spLocks noChangeShapeType="1"/>
          </xdr:cNvSpPr>
        </xdr:nvSpPr>
        <xdr:spPr bwMode="auto">
          <a:xfrm flipH="1" flipV="1">
            <a:off x="132" y="935"/>
            <a:ext cx="0" cy="27"/>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80" name="Line 79">
            <a:extLst>
              <a:ext uri="{FF2B5EF4-FFF2-40B4-BE49-F238E27FC236}">
                <a16:creationId xmlns:a16="http://schemas.microsoft.com/office/drawing/2014/main" id="{00000000-0008-0000-0100-000050000000}"/>
              </a:ext>
            </a:extLst>
          </xdr:cNvPr>
          <xdr:cNvSpPr>
            <a:spLocks noChangeShapeType="1"/>
          </xdr:cNvSpPr>
        </xdr:nvSpPr>
        <xdr:spPr bwMode="auto">
          <a:xfrm>
            <a:off x="163" y="966"/>
            <a:ext cx="25"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81" name="Text 1067">
            <a:extLst>
              <a:ext uri="{FF2B5EF4-FFF2-40B4-BE49-F238E27FC236}">
                <a16:creationId xmlns:a16="http://schemas.microsoft.com/office/drawing/2014/main" id="{00000000-0008-0000-0100-000051000000}"/>
              </a:ext>
            </a:extLst>
          </xdr:cNvPr>
          <xdr:cNvSpPr txBox="1">
            <a:spLocks noChangeArrowheads="1"/>
          </xdr:cNvSpPr>
        </xdr:nvSpPr>
        <xdr:spPr bwMode="auto">
          <a:xfrm>
            <a:off x="190" y="996"/>
            <a:ext cx="22" cy="12"/>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sp macro="" textlink="">
        <xdr:nvSpPr>
          <xdr:cNvPr id="82" name="Text 1068">
            <a:extLst>
              <a:ext uri="{FF2B5EF4-FFF2-40B4-BE49-F238E27FC236}">
                <a16:creationId xmlns:a16="http://schemas.microsoft.com/office/drawing/2014/main" id="{00000000-0008-0000-0100-000052000000}"/>
              </a:ext>
            </a:extLst>
          </xdr:cNvPr>
          <xdr:cNvSpPr txBox="1">
            <a:spLocks noChangeArrowheads="1"/>
          </xdr:cNvSpPr>
        </xdr:nvSpPr>
        <xdr:spPr bwMode="auto">
          <a:xfrm>
            <a:off x="121" y="1009"/>
            <a:ext cx="52" cy="12"/>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Section</a:t>
            </a:r>
          </a:p>
        </xdr:txBody>
      </xdr:sp>
      <xdr:sp macro="" textlink="">
        <xdr:nvSpPr>
          <xdr:cNvPr id="83" name="Text 1069">
            <a:extLst>
              <a:ext uri="{FF2B5EF4-FFF2-40B4-BE49-F238E27FC236}">
                <a16:creationId xmlns:a16="http://schemas.microsoft.com/office/drawing/2014/main" id="{00000000-0008-0000-0100-000053000000}"/>
              </a:ext>
            </a:extLst>
          </xdr:cNvPr>
          <xdr:cNvSpPr txBox="1">
            <a:spLocks noChangeArrowheads="1"/>
          </xdr:cNvSpPr>
        </xdr:nvSpPr>
        <xdr:spPr bwMode="auto">
          <a:xfrm>
            <a:off x="204" y="1008"/>
            <a:ext cx="31" cy="14"/>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mm</a:t>
            </a:r>
            <a:r>
              <a:rPr lang="en-US" sz="600" b="1" i="0" u="none" strike="noStrike" baseline="30000">
                <a:solidFill>
                  <a:srgbClr val="000000"/>
                </a:solidFill>
                <a:latin typeface="Univers (W1)"/>
              </a:rPr>
              <a:t>2</a:t>
            </a:r>
          </a:p>
        </xdr:txBody>
      </xdr:sp>
      <xdr:sp macro="" textlink="">
        <xdr:nvSpPr>
          <xdr:cNvPr id="84" name="Text 1071">
            <a:extLst>
              <a:ext uri="{FF2B5EF4-FFF2-40B4-BE49-F238E27FC236}">
                <a16:creationId xmlns:a16="http://schemas.microsoft.com/office/drawing/2014/main" id="{00000000-0008-0000-0100-000054000000}"/>
              </a:ext>
            </a:extLst>
          </xdr:cNvPr>
          <xdr:cNvSpPr txBox="1">
            <a:spLocks noChangeArrowheads="1"/>
          </xdr:cNvSpPr>
        </xdr:nvSpPr>
        <xdr:spPr bwMode="auto">
          <a:xfrm>
            <a:off x="102" y="963"/>
            <a:ext cx="16" cy="14"/>
          </a:xfrm>
          <a:prstGeom prst="rect">
            <a:avLst/>
          </a:prstGeom>
          <a:solidFill>
            <a:srgbClr val="FFFFFF"/>
          </a:solidFill>
          <a:ln w="1">
            <a:noFill/>
            <a:miter lim="800000"/>
            <a:headEnd/>
            <a:tailEnd/>
          </a:ln>
        </xdr:spPr>
        <xdr:txBody>
          <a:bodyPr vertOverflow="clip" wrap="square" lIns="36576" tIns="18288" rIns="36576" bIns="0" anchor="t" upright="1"/>
          <a:lstStyle/>
          <a:p>
            <a:pPr algn="ctr" rtl="0">
              <a:defRPr sz="1000"/>
            </a:pPr>
            <a:r>
              <a:rPr lang="en-US" sz="600" b="1" i="0" u="none" strike="noStrike" baseline="0">
                <a:solidFill>
                  <a:srgbClr val="000000"/>
                </a:solidFill>
                <a:latin typeface="WP Greek Century"/>
              </a:rPr>
              <a:t>M</a:t>
            </a:r>
          </a:p>
        </xdr:txBody>
      </xdr:sp>
      <xdr:sp macro="" textlink="">
        <xdr:nvSpPr>
          <xdr:cNvPr id="85" name="Text 1071">
            <a:extLst>
              <a:ext uri="{FF2B5EF4-FFF2-40B4-BE49-F238E27FC236}">
                <a16:creationId xmlns:a16="http://schemas.microsoft.com/office/drawing/2014/main" id="{00000000-0008-0000-0100-000055000000}"/>
              </a:ext>
            </a:extLst>
          </xdr:cNvPr>
          <xdr:cNvSpPr txBox="1">
            <a:spLocks noChangeArrowheads="1"/>
          </xdr:cNvSpPr>
        </xdr:nvSpPr>
        <xdr:spPr bwMode="auto">
          <a:xfrm>
            <a:off x="102" y="991"/>
            <a:ext cx="16" cy="14"/>
          </a:xfrm>
          <a:prstGeom prst="rect">
            <a:avLst/>
          </a:prstGeom>
          <a:solidFill>
            <a:srgbClr val="FFFFFF"/>
          </a:solidFill>
          <a:ln w="1">
            <a:noFill/>
            <a:miter lim="800000"/>
            <a:headEnd/>
            <a:tailEnd/>
          </a:ln>
        </xdr:spPr>
        <xdr:txBody>
          <a:bodyPr vertOverflow="clip" wrap="square" lIns="36576" tIns="18288" rIns="36576" bIns="0" anchor="t" upright="1"/>
          <a:lstStyle/>
          <a:p>
            <a:pPr algn="ctr" rtl="0">
              <a:defRPr sz="1000"/>
            </a:pPr>
            <a:r>
              <a:rPr lang="en-US" sz="600" b="1" i="0" u="none" strike="noStrike" baseline="0">
                <a:solidFill>
                  <a:srgbClr val="000000"/>
                </a:solidFill>
                <a:latin typeface="WP Greek Century"/>
              </a:rPr>
              <a:t>M</a:t>
            </a:r>
          </a:p>
        </xdr:txBody>
      </xdr:sp>
    </xdr:grpSp>
    <xdr:clientData/>
  </xdr:twoCellAnchor>
  <xdr:twoCellAnchor>
    <xdr:from>
      <xdr:col>9</xdr:col>
      <xdr:colOff>152400</xdr:colOff>
      <xdr:row>44</xdr:row>
      <xdr:rowOff>0</xdr:rowOff>
    </xdr:from>
    <xdr:to>
      <xdr:col>9</xdr:col>
      <xdr:colOff>361950</xdr:colOff>
      <xdr:row>44</xdr:row>
      <xdr:rowOff>0</xdr:rowOff>
    </xdr:to>
    <xdr:sp macro="" textlink="">
      <xdr:nvSpPr>
        <xdr:cNvPr id="86" name="Rectangle 85">
          <a:extLst>
            <a:ext uri="{FF2B5EF4-FFF2-40B4-BE49-F238E27FC236}">
              <a16:creationId xmlns:a16="http://schemas.microsoft.com/office/drawing/2014/main" id="{00000000-0008-0000-0100-000056000000}"/>
            </a:ext>
          </a:extLst>
        </xdr:cNvPr>
        <xdr:cNvSpPr>
          <a:spLocks noChangeArrowheads="1"/>
        </xdr:cNvSpPr>
      </xdr:nvSpPr>
      <xdr:spPr bwMode="auto">
        <a:xfrm>
          <a:off x="5514975" y="101060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44</xdr:row>
      <xdr:rowOff>0</xdr:rowOff>
    </xdr:from>
    <xdr:to>
      <xdr:col>9</xdr:col>
      <xdr:colOff>333375</xdr:colOff>
      <xdr:row>44</xdr:row>
      <xdr:rowOff>0</xdr:rowOff>
    </xdr:to>
    <xdr:sp macro="" textlink="">
      <xdr:nvSpPr>
        <xdr:cNvPr id="87" name="Rectangle 86">
          <a:extLst>
            <a:ext uri="{FF2B5EF4-FFF2-40B4-BE49-F238E27FC236}">
              <a16:creationId xmlns:a16="http://schemas.microsoft.com/office/drawing/2014/main" id="{00000000-0008-0000-0100-000057000000}"/>
            </a:ext>
          </a:extLst>
        </xdr:cNvPr>
        <xdr:cNvSpPr>
          <a:spLocks noChangeArrowheads="1"/>
        </xdr:cNvSpPr>
      </xdr:nvSpPr>
      <xdr:spPr bwMode="auto">
        <a:xfrm>
          <a:off x="5381625"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44</xdr:row>
      <xdr:rowOff>0</xdr:rowOff>
    </xdr:from>
    <xdr:to>
      <xdr:col>9</xdr:col>
      <xdr:colOff>342900</xdr:colOff>
      <xdr:row>44</xdr:row>
      <xdr:rowOff>0</xdr:rowOff>
    </xdr:to>
    <xdr:sp macro="" textlink="">
      <xdr:nvSpPr>
        <xdr:cNvPr id="88" name="Rectangle 87">
          <a:extLst>
            <a:ext uri="{FF2B5EF4-FFF2-40B4-BE49-F238E27FC236}">
              <a16:creationId xmlns:a16="http://schemas.microsoft.com/office/drawing/2014/main" id="{00000000-0008-0000-0100-000058000000}"/>
            </a:ext>
          </a:extLst>
        </xdr:cNvPr>
        <xdr:cNvSpPr>
          <a:spLocks noChangeArrowheads="1"/>
        </xdr:cNvSpPr>
      </xdr:nvSpPr>
      <xdr:spPr bwMode="auto">
        <a:xfrm>
          <a:off x="5391150"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44</xdr:row>
      <xdr:rowOff>0</xdr:rowOff>
    </xdr:from>
    <xdr:to>
      <xdr:col>9</xdr:col>
      <xdr:colOff>409575</xdr:colOff>
      <xdr:row>44</xdr:row>
      <xdr:rowOff>0</xdr:rowOff>
    </xdr:to>
    <xdr:sp macro="" textlink="">
      <xdr:nvSpPr>
        <xdr:cNvPr id="89" name="Rectangle 88">
          <a:extLst>
            <a:ext uri="{FF2B5EF4-FFF2-40B4-BE49-F238E27FC236}">
              <a16:creationId xmlns:a16="http://schemas.microsoft.com/office/drawing/2014/main" id="{00000000-0008-0000-0100-000059000000}"/>
            </a:ext>
          </a:extLst>
        </xdr:cNvPr>
        <xdr:cNvSpPr>
          <a:spLocks noChangeArrowheads="1"/>
        </xdr:cNvSpPr>
      </xdr:nvSpPr>
      <xdr:spPr bwMode="auto">
        <a:xfrm>
          <a:off x="5362575" y="1010602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44</xdr:row>
      <xdr:rowOff>0</xdr:rowOff>
    </xdr:from>
    <xdr:to>
      <xdr:col>9</xdr:col>
      <xdr:colOff>361950</xdr:colOff>
      <xdr:row>44</xdr:row>
      <xdr:rowOff>0</xdr:rowOff>
    </xdr:to>
    <xdr:sp macro="" textlink="">
      <xdr:nvSpPr>
        <xdr:cNvPr id="90" name="Rectangle 89">
          <a:extLst>
            <a:ext uri="{FF2B5EF4-FFF2-40B4-BE49-F238E27FC236}">
              <a16:creationId xmlns:a16="http://schemas.microsoft.com/office/drawing/2014/main" id="{00000000-0008-0000-0100-00005A000000}"/>
            </a:ext>
          </a:extLst>
        </xdr:cNvPr>
        <xdr:cNvSpPr>
          <a:spLocks noChangeArrowheads="1"/>
        </xdr:cNvSpPr>
      </xdr:nvSpPr>
      <xdr:spPr bwMode="auto">
        <a:xfrm>
          <a:off x="5505450" y="1010602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381000</xdr:colOff>
      <xdr:row>32</xdr:row>
      <xdr:rowOff>180975</xdr:rowOff>
    </xdr:from>
    <xdr:to>
      <xdr:col>3</xdr:col>
      <xdr:colOff>323850</xdr:colOff>
      <xdr:row>37</xdr:row>
      <xdr:rowOff>152400</xdr:rowOff>
    </xdr:to>
    <xdr:grpSp>
      <xdr:nvGrpSpPr>
        <xdr:cNvPr id="91" name="Group 90">
          <a:extLst>
            <a:ext uri="{FF2B5EF4-FFF2-40B4-BE49-F238E27FC236}">
              <a16:creationId xmlns:a16="http://schemas.microsoft.com/office/drawing/2014/main" id="{00000000-0008-0000-0100-00005B000000}"/>
            </a:ext>
          </a:extLst>
        </xdr:cNvPr>
        <xdr:cNvGrpSpPr>
          <a:grpSpLocks/>
        </xdr:cNvGrpSpPr>
      </xdr:nvGrpSpPr>
      <xdr:grpSpPr bwMode="auto">
        <a:xfrm>
          <a:off x="1190625" y="7562850"/>
          <a:ext cx="828675" cy="1114425"/>
          <a:chOff x="774" y="670"/>
          <a:chExt cx="87" cy="117"/>
        </a:xfrm>
      </xdr:grpSpPr>
      <xdr:grpSp>
        <xdr:nvGrpSpPr>
          <xdr:cNvPr id="92" name="Group 91">
            <a:extLst>
              <a:ext uri="{FF2B5EF4-FFF2-40B4-BE49-F238E27FC236}">
                <a16:creationId xmlns:a16="http://schemas.microsoft.com/office/drawing/2014/main" id="{00000000-0008-0000-0100-00005C000000}"/>
              </a:ext>
            </a:extLst>
          </xdr:cNvPr>
          <xdr:cNvGrpSpPr>
            <a:grpSpLocks/>
          </xdr:cNvGrpSpPr>
        </xdr:nvGrpSpPr>
        <xdr:grpSpPr bwMode="auto">
          <a:xfrm>
            <a:off x="774" y="670"/>
            <a:ext cx="87" cy="117"/>
            <a:chOff x="774" y="670"/>
            <a:chExt cx="87" cy="117"/>
          </a:xfrm>
        </xdr:grpSpPr>
        <xdr:sp macro="" textlink="">
          <xdr:nvSpPr>
            <xdr:cNvPr id="94" name="Line 92">
              <a:extLst>
                <a:ext uri="{FF2B5EF4-FFF2-40B4-BE49-F238E27FC236}">
                  <a16:creationId xmlns:a16="http://schemas.microsoft.com/office/drawing/2014/main" id="{00000000-0008-0000-0100-00005E000000}"/>
                </a:ext>
              </a:extLst>
            </xdr:cNvPr>
            <xdr:cNvSpPr>
              <a:spLocks noChangeShapeType="1"/>
            </xdr:cNvSpPr>
          </xdr:nvSpPr>
          <xdr:spPr bwMode="auto">
            <a:xfrm flipH="1">
              <a:off x="798" y="688"/>
              <a:ext cx="1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5" name="Line 93">
              <a:extLst>
                <a:ext uri="{FF2B5EF4-FFF2-40B4-BE49-F238E27FC236}">
                  <a16:creationId xmlns:a16="http://schemas.microsoft.com/office/drawing/2014/main" id="{00000000-0008-0000-0100-00005F000000}"/>
                </a:ext>
              </a:extLst>
            </xdr:cNvPr>
            <xdr:cNvSpPr>
              <a:spLocks noChangeShapeType="1"/>
            </xdr:cNvSpPr>
          </xdr:nvSpPr>
          <xdr:spPr bwMode="auto">
            <a:xfrm>
              <a:off x="808" y="688"/>
              <a:ext cx="12" cy="1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6" name="Line 94">
              <a:extLst>
                <a:ext uri="{FF2B5EF4-FFF2-40B4-BE49-F238E27FC236}">
                  <a16:creationId xmlns:a16="http://schemas.microsoft.com/office/drawing/2014/main" id="{00000000-0008-0000-0100-000060000000}"/>
                </a:ext>
              </a:extLst>
            </xdr:cNvPr>
            <xdr:cNvSpPr>
              <a:spLocks noChangeShapeType="1"/>
            </xdr:cNvSpPr>
          </xdr:nvSpPr>
          <xdr:spPr bwMode="auto">
            <a:xfrm flipH="1">
              <a:off x="798" y="699"/>
              <a:ext cx="0" cy="2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7" name="Line 95">
              <a:extLst>
                <a:ext uri="{FF2B5EF4-FFF2-40B4-BE49-F238E27FC236}">
                  <a16:creationId xmlns:a16="http://schemas.microsoft.com/office/drawing/2014/main" id="{00000000-0008-0000-0100-000061000000}"/>
                </a:ext>
              </a:extLst>
            </xdr:cNvPr>
            <xdr:cNvSpPr>
              <a:spLocks noChangeShapeType="1"/>
            </xdr:cNvSpPr>
          </xdr:nvSpPr>
          <xdr:spPr bwMode="auto">
            <a:xfrm>
              <a:off x="820" y="701"/>
              <a:ext cx="0" cy="2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8" name="Line 96">
              <a:extLst>
                <a:ext uri="{FF2B5EF4-FFF2-40B4-BE49-F238E27FC236}">
                  <a16:creationId xmlns:a16="http://schemas.microsoft.com/office/drawing/2014/main" id="{00000000-0008-0000-0100-000062000000}"/>
                </a:ext>
              </a:extLst>
            </xdr:cNvPr>
            <xdr:cNvSpPr>
              <a:spLocks noChangeShapeType="1"/>
            </xdr:cNvSpPr>
          </xdr:nvSpPr>
          <xdr:spPr bwMode="auto">
            <a:xfrm flipH="1" flipV="1">
              <a:off x="785" y="721"/>
              <a:ext cx="1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9" name="Line 97">
              <a:extLst>
                <a:ext uri="{FF2B5EF4-FFF2-40B4-BE49-F238E27FC236}">
                  <a16:creationId xmlns:a16="http://schemas.microsoft.com/office/drawing/2014/main" id="{00000000-0008-0000-0100-000063000000}"/>
                </a:ext>
              </a:extLst>
            </xdr:cNvPr>
            <xdr:cNvSpPr>
              <a:spLocks noChangeShapeType="1"/>
            </xdr:cNvSpPr>
          </xdr:nvSpPr>
          <xdr:spPr bwMode="auto">
            <a:xfrm>
              <a:off x="820" y="721"/>
              <a:ext cx="1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Line 98">
              <a:extLst>
                <a:ext uri="{FF2B5EF4-FFF2-40B4-BE49-F238E27FC236}">
                  <a16:creationId xmlns:a16="http://schemas.microsoft.com/office/drawing/2014/main" id="{00000000-0008-0000-0100-000064000000}"/>
                </a:ext>
              </a:extLst>
            </xdr:cNvPr>
            <xdr:cNvSpPr>
              <a:spLocks noChangeShapeType="1"/>
            </xdr:cNvSpPr>
          </xdr:nvSpPr>
          <xdr:spPr bwMode="auto">
            <a:xfrm>
              <a:off x="792" y="787"/>
              <a:ext cx="3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 name="Line 99">
              <a:extLst>
                <a:ext uri="{FF2B5EF4-FFF2-40B4-BE49-F238E27FC236}">
                  <a16:creationId xmlns:a16="http://schemas.microsoft.com/office/drawing/2014/main" id="{00000000-0008-0000-0100-000065000000}"/>
                </a:ext>
              </a:extLst>
            </xdr:cNvPr>
            <xdr:cNvSpPr>
              <a:spLocks noChangeShapeType="1"/>
            </xdr:cNvSpPr>
          </xdr:nvSpPr>
          <xdr:spPr bwMode="auto">
            <a:xfrm>
              <a:off x="785" y="721"/>
              <a:ext cx="7" cy="6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100">
              <a:extLst>
                <a:ext uri="{FF2B5EF4-FFF2-40B4-BE49-F238E27FC236}">
                  <a16:creationId xmlns:a16="http://schemas.microsoft.com/office/drawing/2014/main" id="{00000000-0008-0000-0100-000066000000}"/>
                </a:ext>
              </a:extLst>
            </xdr:cNvPr>
            <xdr:cNvSpPr>
              <a:spLocks noChangeShapeType="1"/>
            </xdr:cNvSpPr>
          </xdr:nvSpPr>
          <xdr:spPr bwMode="auto">
            <a:xfrm flipH="1">
              <a:off x="824" y="721"/>
              <a:ext cx="8" cy="6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 name="Line 101">
              <a:extLst>
                <a:ext uri="{FF2B5EF4-FFF2-40B4-BE49-F238E27FC236}">
                  <a16:creationId xmlns:a16="http://schemas.microsoft.com/office/drawing/2014/main" id="{00000000-0008-0000-0100-000067000000}"/>
                </a:ext>
              </a:extLst>
            </xdr:cNvPr>
            <xdr:cNvSpPr>
              <a:spLocks noChangeShapeType="1"/>
            </xdr:cNvSpPr>
          </xdr:nvSpPr>
          <xdr:spPr bwMode="auto">
            <a:xfrm>
              <a:off x="774" y="684"/>
              <a:ext cx="8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 name="Line 102">
              <a:extLst>
                <a:ext uri="{FF2B5EF4-FFF2-40B4-BE49-F238E27FC236}">
                  <a16:creationId xmlns:a16="http://schemas.microsoft.com/office/drawing/2014/main" id="{00000000-0008-0000-0100-000068000000}"/>
                </a:ext>
              </a:extLst>
            </xdr:cNvPr>
            <xdr:cNvSpPr>
              <a:spLocks noChangeShapeType="1"/>
            </xdr:cNvSpPr>
          </xdr:nvSpPr>
          <xdr:spPr bwMode="auto">
            <a:xfrm>
              <a:off x="798" y="711"/>
              <a:ext cx="22"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105" name="Line 103">
              <a:extLst>
                <a:ext uri="{FF2B5EF4-FFF2-40B4-BE49-F238E27FC236}">
                  <a16:creationId xmlns:a16="http://schemas.microsoft.com/office/drawing/2014/main" id="{00000000-0008-0000-0100-000069000000}"/>
                </a:ext>
              </a:extLst>
            </xdr:cNvPr>
            <xdr:cNvSpPr>
              <a:spLocks noChangeShapeType="1"/>
            </xdr:cNvSpPr>
          </xdr:nvSpPr>
          <xdr:spPr bwMode="auto">
            <a:xfrm flipH="1">
              <a:off x="785" y="721"/>
              <a:ext cx="0" cy="2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6" name="Line 104">
              <a:extLst>
                <a:ext uri="{FF2B5EF4-FFF2-40B4-BE49-F238E27FC236}">
                  <a16:creationId xmlns:a16="http://schemas.microsoft.com/office/drawing/2014/main" id="{00000000-0008-0000-0100-00006A000000}"/>
                </a:ext>
              </a:extLst>
            </xdr:cNvPr>
            <xdr:cNvSpPr>
              <a:spLocks noChangeShapeType="1"/>
            </xdr:cNvSpPr>
          </xdr:nvSpPr>
          <xdr:spPr bwMode="auto">
            <a:xfrm>
              <a:off x="832" y="722"/>
              <a:ext cx="0" cy="2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7" name="Line 105">
              <a:extLst>
                <a:ext uri="{FF2B5EF4-FFF2-40B4-BE49-F238E27FC236}">
                  <a16:creationId xmlns:a16="http://schemas.microsoft.com/office/drawing/2014/main" id="{00000000-0008-0000-0100-00006B000000}"/>
                </a:ext>
              </a:extLst>
            </xdr:cNvPr>
            <xdr:cNvSpPr>
              <a:spLocks noChangeShapeType="1"/>
            </xdr:cNvSpPr>
          </xdr:nvSpPr>
          <xdr:spPr bwMode="auto">
            <a:xfrm flipH="1">
              <a:off x="785" y="739"/>
              <a:ext cx="11"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08" name="Line 106">
              <a:extLst>
                <a:ext uri="{FF2B5EF4-FFF2-40B4-BE49-F238E27FC236}">
                  <a16:creationId xmlns:a16="http://schemas.microsoft.com/office/drawing/2014/main" id="{00000000-0008-0000-0100-00006C000000}"/>
                </a:ext>
              </a:extLst>
            </xdr:cNvPr>
            <xdr:cNvSpPr>
              <a:spLocks noChangeShapeType="1"/>
            </xdr:cNvSpPr>
          </xdr:nvSpPr>
          <xdr:spPr bwMode="auto">
            <a:xfrm>
              <a:off x="823" y="739"/>
              <a:ext cx="9"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09" name="Line 107">
              <a:extLst>
                <a:ext uri="{FF2B5EF4-FFF2-40B4-BE49-F238E27FC236}">
                  <a16:creationId xmlns:a16="http://schemas.microsoft.com/office/drawing/2014/main" id="{00000000-0008-0000-0100-00006D000000}"/>
                </a:ext>
              </a:extLst>
            </xdr:cNvPr>
            <xdr:cNvSpPr>
              <a:spLocks noChangeShapeType="1"/>
            </xdr:cNvSpPr>
          </xdr:nvSpPr>
          <xdr:spPr bwMode="auto">
            <a:xfrm>
              <a:off x="792" y="711"/>
              <a:ext cx="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0" name="Line 108">
              <a:extLst>
                <a:ext uri="{FF2B5EF4-FFF2-40B4-BE49-F238E27FC236}">
                  <a16:creationId xmlns:a16="http://schemas.microsoft.com/office/drawing/2014/main" id="{00000000-0008-0000-0100-00006E000000}"/>
                </a:ext>
              </a:extLst>
            </xdr:cNvPr>
            <xdr:cNvSpPr>
              <a:spLocks noChangeShapeType="1"/>
            </xdr:cNvSpPr>
          </xdr:nvSpPr>
          <xdr:spPr bwMode="auto">
            <a:xfrm>
              <a:off x="832" y="721"/>
              <a:ext cx="14"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 name="Line 109">
              <a:extLst>
                <a:ext uri="{FF2B5EF4-FFF2-40B4-BE49-F238E27FC236}">
                  <a16:creationId xmlns:a16="http://schemas.microsoft.com/office/drawing/2014/main" id="{00000000-0008-0000-0100-00006F000000}"/>
                </a:ext>
              </a:extLst>
            </xdr:cNvPr>
            <xdr:cNvSpPr>
              <a:spLocks noChangeShapeType="1"/>
            </xdr:cNvSpPr>
          </xdr:nvSpPr>
          <xdr:spPr bwMode="auto">
            <a:xfrm>
              <a:off x="820" y="701"/>
              <a:ext cx="2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2" name="Line 110">
              <a:extLst>
                <a:ext uri="{FF2B5EF4-FFF2-40B4-BE49-F238E27FC236}">
                  <a16:creationId xmlns:a16="http://schemas.microsoft.com/office/drawing/2014/main" id="{00000000-0008-0000-0100-000070000000}"/>
                </a:ext>
              </a:extLst>
            </xdr:cNvPr>
            <xdr:cNvSpPr>
              <a:spLocks noChangeShapeType="1"/>
            </xdr:cNvSpPr>
          </xdr:nvSpPr>
          <xdr:spPr bwMode="auto">
            <a:xfrm flipV="1">
              <a:off x="824" y="787"/>
              <a:ext cx="3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3" name="Line 111">
              <a:extLst>
                <a:ext uri="{FF2B5EF4-FFF2-40B4-BE49-F238E27FC236}">
                  <a16:creationId xmlns:a16="http://schemas.microsoft.com/office/drawing/2014/main" id="{00000000-0008-0000-0100-000071000000}"/>
                </a:ext>
              </a:extLst>
            </xdr:cNvPr>
            <xdr:cNvSpPr>
              <a:spLocks noChangeShapeType="1"/>
            </xdr:cNvSpPr>
          </xdr:nvSpPr>
          <xdr:spPr bwMode="auto">
            <a:xfrm>
              <a:off x="808" y="688"/>
              <a:ext cx="3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4" name="Line 112">
              <a:extLst>
                <a:ext uri="{FF2B5EF4-FFF2-40B4-BE49-F238E27FC236}">
                  <a16:creationId xmlns:a16="http://schemas.microsoft.com/office/drawing/2014/main" id="{00000000-0008-0000-0100-000072000000}"/>
                </a:ext>
              </a:extLst>
            </xdr:cNvPr>
            <xdr:cNvSpPr>
              <a:spLocks noChangeShapeType="1"/>
            </xdr:cNvSpPr>
          </xdr:nvSpPr>
          <xdr:spPr bwMode="auto">
            <a:xfrm flipV="1">
              <a:off x="843" y="721"/>
              <a:ext cx="0" cy="28"/>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15" name="Line 113">
              <a:extLst>
                <a:ext uri="{FF2B5EF4-FFF2-40B4-BE49-F238E27FC236}">
                  <a16:creationId xmlns:a16="http://schemas.microsoft.com/office/drawing/2014/main" id="{00000000-0008-0000-0100-000073000000}"/>
                </a:ext>
              </a:extLst>
            </xdr:cNvPr>
            <xdr:cNvSpPr>
              <a:spLocks noChangeShapeType="1"/>
            </xdr:cNvSpPr>
          </xdr:nvSpPr>
          <xdr:spPr bwMode="auto">
            <a:xfrm>
              <a:off x="843" y="763"/>
              <a:ext cx="0" cy="24"/>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16" name="Line 114">
              <a:extLst>
                <a:ext uri="{FF2B5EF4-FFF2-40B4-BE49-F238E27FC236}">
                  <a16:creationId xmlns:a16="http://schemas.microsoft.com/office/drawing/2014/main" id="{00000000-0008-0000-0100-000074000000}"/>
                </a:ext>
              </a:extLst>
            </xdr:cNvPr>
            <xdr:cNvSpPr>
              <a:spLocks noChangeShapeType="1"/>
            </xdr:cNvSpPr>
          </xdr:nvSpPr>
          <xdr:spPr bwMode="auto">
            <a:xfrm flipH="1">
              <a:off x="843" y="670"/>
              <a:ext cx="0" cy="14"/>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17" name="Line 115">
              <a:extLst>
                <a:ext uri="{FF2B5EF4-FFF2-40B4-BE49-F238E27FC236}">
                  <a16:creationId xmlns:a16="http://schemas.microsoft.com/office/drawing/2014/main" id="{00000000-0008-0000-0100-000075000000}"/>
                </a:ext>
              </a:extLst>
            </xdr:cNvPr>
            <xdr:cNvSpPr>
              <a:spLocks noChangeShapeType="1"/>
            </xdr:cNvSpPr>
          </xdr:nvSpPr>
          <xdr:spPr bwMode="auto">
            <a:xfrm>
              <a:off x="843" y="683"/>
              <a:ext cx="0" cy="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8" name="Line 116">
              <a:extLst>
                <a:ext uri="{FF2B5EF4-FFF2-40B4-BE49-F238E27FC236}">
                  <a16:creationId xmlns:a16="http://schemas.microsoft.com/office/drawing/2014/main" id="{00000000-0008-0000-0100-000076000000}"/>
                </a:ext>
              </a:extLst>
            </xdr:cNvPr>
            <xdr:cNvSpPr>
              <a:spLocks noChangeShapeType="1"/>
            </xdr:cNvSpPr>
          </xdr:nvSpPr>
          <xdr:spPr bwMode="auto">
            <a:xfrm>
              <a:off x="843" y="701"/>
              <a:ext cx="0" cy="2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119" name="Line 117">
              <a:extLst>
                <a:ext uri="{FF2B5EF4-FFF2-40B4-BE49-F238E27FC236}">
                  <a16:creationId xmlns:a16="http://schemas.microsoft.com/office/drawing/2014/main" id="{00000000-0008-0000-0100-000077000000}"/>
                </a:ext>
              </a:extLst>
            </xdr:cNvPr>
            <xdr:cNvSpPr>
              <a:spLocks noChangeShapeType="1"/>
            </xdr:cNvSpPr>
          </xdr:nvSpPr>
          <xdr:spPr bwMode="auto">
            <a:xfrm flipV="1">
              <a:off x="792" y="763"/>
              <a:ext cx="0" cy="2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0" name="Line 118">
              <a:extLst>
                <a:ext uri="{FF2B5EF4-FFF2-40B4-BE49-F238E27FC236}">
                  <a16:creationId xmlns:a16="http://schemas.microsoft.com/office/drawing/2014/main" id="{00000000-0008-0000-0100-000078000000}"/>
                </a:ext>
              </a:extLst>
            </xdr:cNvPr>
            <xdr:cNvSpPr>
              <a:spLocks noChangeShapeType="1"/>
            </xdr:cNvSpPr>
          </xdr:nvSpPr>
          <xdr:spPr bwMode="auto">
            <a:xfrm flipV="1">
              <a:off x="824" y="763"/>
              <a:ext cx="0" cy="2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1" name="Line 119">
              <a:extLst>
                <a:ext uri="{FF2B5EF4-FFF2-40B4-BE49-F238E27FC236}">
                  <a16:creationId xmlns:a16="http://schemas.microsoft.com/office/drawing/2014/main" id="{00000000-0008-0000-0100-000079000000}"/>
                </a:ext>
              </a:extLst>
            </xdr:cNvPr>
            <xdr:cNvSpPr>
              <a:spLocks noChangeShapeType="1"/>
            </xdr:cNvSpPr>
          </xdr:nvSpPr>
          <xdr:spPr bwMode="auto">
            <a:xfrm flipH="1">
              <a:off x="792" y="774"/>
              <a:ext cx="7"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22" name="Line 120">
              <a:extLst>
                <a:ext uri="{FF2B5EF4-FFF2-40B4-BE49-F238E27FC236}">
                  <a16:creationId xmlns:a16="http://schemas.microsoft.com/office/drawing/2014/main" id="{00000000-0008-0000-0100-00007A000000}"/>
                </a:ext>
              </a:extLst>
            </xdr:cNvPr>
            <xdr:cNvSpPr>
              <a:spLocks noChangeShapeType="1"/>
            </xdr:cNvSpPr>
          </xdr:nvSpPr>
          <xdr:spPr bwMode="auto">
            <a:xfrm>
              <a:off x="817" y="774"/>
              <a:ext cx="7"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23" name="Line 121">
              <a:extLst>
                <a:ext uri="{FF2B5EF4-FFF2-40B4-BE49-F238E27FC236}">
                  <a16:creationId xmlns:a16="http://schemas.microsoft.com/office/drawing/2014/main" id="{00000000-0008-0000-0100-00007B000000}"/>
                </a:ext>
              </a:extLst>
            </xdr:cNvPr>
            <xdr:cNvSpPr>
              <a:spLocks noChangeShapeType="1"/>
            </xdr:cNvSpPr>
          </xdr:nvSpPr>
          <xdr:spPr bwMode="auto">
            <a:xfrm flipV="1">
              <a:off x="857" y="684"/>
              <a:ext cx="0" cy="42"/>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24" name="Line 122">
              <a:extLst>
                <a:ext uri="{FF2B5EF4-FFF2-40B4-BE49-F238E27FC236}">
                  <a16:creationId xmlns:a16="http://schemas.microsoft.com/office/drawing/2014/main" id="{00000000-0008-0000-0100-00007C000000}"/>
                </a:ext>
              </a:extLst>
            </xdr:cNvPr>
            <xdr:cNvSpPr>
              <a:spLocks noChangeShapeType="1"/>
            </xdr:cNvSpPr>
          </xdr:nvSpPr>
          <xdr:spPr bwMode="auto">
            <a:xfrm>
              <a:off x="857" y="743"/>
              <a:ext cx="0" cy="44"/>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grpSp>
      <xdr:sp macro="" textlink="">
        <xdr:nvSpPr>
          <xdr:cNvPr id="93" name="Line 123">
            <a:extLst>
              <a:ext uri="{FF2B5EF4-FFF2-40B4-BE49-F238E27FC236}">
                <a16:creationId xmlns:a16="http://schemas.microsoft.com/office/drawing/2014/main" id="{00000000-0008-0000-0100-00005D000000}"/>
              </a:ext>
            </a:extLst>
          </xdr:cNvPr>
          <xdr:cNvSpPr>
            <a:spLocks noChangeShapeType="1"/>
          </xdr:cNvSpPr>
        </xdr:nvSpPr>
        <xdr:spPr bwMode="auto">
          <a:xfrm flipV="1">
            <a:off x="843" y="687"/>
            <a:ext cx="0" cy="9"/>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grpSp>
    <xdr:clientData/>
  </xdr:twoCellAnchor>
  <xdr:twoCellAnchor>
    <xdr:from>
      <xdr:col>9</xdr:col>
      <xdr:colOff>152400</xdr:colOff>
      <xdr:row>42</xdr:row>
      <xdr:rowOff>0</xdr:rowOff>
    </xdr:from>
    <xdr:to>
      <xdr:col>9</xdr:col>
      <xdr:colOff>361950</xdr:colOff>
      <xdr:row>42</xdr:row>
      <xdr:rowOff>0</xdr:rowOff>
    </xdr:to>
    <xdr:sp macro="" textlink="">
      <xdr:nvSpPr>
        <xdr:cNvPr id="125" name="Rectangle 124">
          <a:extLst>
            <a:ext uri="{FF2B5EF4-FFF2-40B4-BE49-F238E27FC236}">
              <a16:creationId xmlns:a16="http://schemas.microsoft.com/office/drawing/2014/main" id="{E1CEE059-D7E6-471A-9709-FC95AFCAA7FD}"/>
            </a:ext>
          </a:extLst>
        </xdr:cNvPr>
        <xdr:cNvSpPr>
          <a:spLocks noChangeArrowheads="1"/>
        </xdr:cNvSpPr>
      </xdr:nvSpPr>
      <xdr:spPr bwMode="auto">
        <a:xfrm>
          <a:off x="5514975" y="9896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42</xdr:row>
      <xdr:rowOff>0</xdr:rowOff>
    </xdr:from>
    <xdr:to>
      <xdr:col>9</xdr:col>
      <xdr:colOff>333375</xdr:colOff>
      <xdr:row>42</xdr:row>
      <xdr:rowOff>0</xdr:rowOff>
    </xdr:to>
    <xdr:sp macro="" textlink="">
      <xdr:nvSpPr>
        <xdr:cNvPr id="126" name="Rectangle 125">
          <a:extLst>
            <a:ext uri="{FF2B5EF4-FFF2-40B4-BE49-F238E27FC236}">
              <a16:creationId xmlns:a16="http://schemas.microsoft.com/office/drawing/2014/main" id="{B2F87838-F9B5-4B03-B754-F4211AE15839}"/>
            </a:ext>
          </a:extLst>
        </xdr:cNvPr>
        <xdr:cNvSpPr>
          <a:spLocks noChangeArrowheads="1"/>
        </xdr:cNvSpPr>
      </xdr:nvSpPr>
      <xdr:spPr bwMode="auto">
        <a:xfrm>
          <a:off x="5381625"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42</xdr:row>
      <xdr:rowOff>0</xdr:rowOff>
    </xdr:from>
    <xdr:to>
      <xdr:col>9</xdr:col>
      <xdr:colOff>342900</xdr:colOff>
      <xdr:row>42</xdr:row>
      <xdr:rowOff>0</xdr:rowOff>
    </xdr:to>
    <xdr:sp macro="" textlink="">
      <xdr:nvSpPr>
        <xdr:cNvPr id="127" name="Rectangle 126">
          <a:extLst>
            <a:ext uri="{FF2B5EF4-FFF2-40B4-BE49-F238E27FC236}">
              <a16:creationId xmlns:a16="http://schemas.microsoft.com/office/drawing/2014/main" id="{92473881-F938-48A3-B603-348E3EE19C1B}"/>
            </a:ext>
          </a:extLst>
        </xdr:cNvPr>
        <xdr:cNvSpPr>
          <a:spLocks noChangeArrowheads="1"/>
        </xdr:cNvSpPr>
      </xdr:nvSpPr>
      <xdr:spPr bwMode="auto">
        <a:xfrm>
          <a:off x="5391150"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42</xdr:row>
      <xdr:rowOff>0</xdr:rowOff>
    </xdr:from>
    <xdr:to>
      <xdr:col>9</xdr:col>
      <xdr:colOff>409575</xdr:colOff>
      <xdr:row>42</xdr:row>
      <xdr:rowOff>0</xdr:rowOff>
    </xdr:to>
    <xdr:sp macro="" textlink="">
      <xdr:nvSpPr>
        <xdr:cNvPr id="128" name="Rectangle 127">
          <a:extLst>
            <a:ext uri="{FF2B5EF4-FFF2-40B4-BE49-F238E27FC236}">
              <a16:creationId xmlns:a16="http://schemas.microsoft.com/office/drawing/2014/main" id="{C80A093D-0ABA-477C-AA4E-ABC288728B64}"/>
            </a:ext>
          </a:extLst>
        </xdr:cNvPr>
        <xdr:cNvSpPr>
          <a:spLocks noChangeArrowheads="1"/>
        </xdr:cNvSpPr>
      </xdr:nvSpPr>
      <xdr:spPr bwMode="auto">
        <a:xfrm>
          <a:off x="5362575" y="989647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42</xdr:row>
      <xdr:rowOff>0</xdr:rowOff>
    </xdr:from>
    <xdr:to>
      <xdr:col>9</xdr:col>
      <xdr:colOff>361950</xdr:colOff>
      <xdr:row>42</xdr:row>
      <xdr:rowOff>0</xdr:rowOff>
    </xdr:to>
    <xdr:sp macro="" textlink="">
      <xdr:nvSpPr>
        <xdr:cNvPr id="129" name="Rectangle 128">
          <a:extLst>
            <a:ext uri="{FF2B5EF4-FFF2-40B4-BE49-F238E27FC236}">
              <a16:creationId xmlns:a16="http://schemas.microsoft.com/office/drawing/2014/main" id="{5F15154B-6A37-4C26-834D-778721C1C20D}"/>
            </a:ext>
          </a:extLst>
        </xdr:cNvPr>
        <xdr:cNvSpPr>
          <a:spLocks noChangeArrowheads="1"/>
        </xdr:cNvSpPr>
      </xdr:nvSpPr>
      <xdr:spPr bwMode="auto">
        <a:xfrm>
          <a:off x="5505450" y="989647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8</xdr:row>
      <xdr:rowOff>0</xdr:rowOff>
    </xdr:from>
    <xdr:to>
      <xdr:col>7</xdr:col>
      <xdr:colOff>0</xdr:colOff>
      <xdr:row>8</xdr:row>
      <xdr:rowOff>0</xdr:rowOff>
    </xdr:to>
    <xdr:sp macro="" textlink="">
      <xdr:nvSpPr>
        <xdr:cNvPr id="2" name="Line 1">
          <a:extLst>
            <a:ext uri="{FF2B5EF4-FFF2-40B4-BE49-F238E27FC236}">
              <a16:creationId xmlns:a16="http://schemas.microsoft.com/office/drawing/2014/main" id="{00000000-0008-0000-0200-000002000000}"/>
            </a:ext>
          </a:extLst>
        </xdr:cNvPr>
        <xdr:cNvSpPr>
          <a:spLocks noChangeShapeType="1"/>
        </xdr:cNvSpPr>
      </xdr:nvSpPr>
      <xdr:spPr bwMode="auto">
        <a:xfrm>
          <a:off x="609600" y="1285875"/>
          <a:ext cx="963930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xdr:row>
      <xdr:rowOff>0</xdr:rowOff>
    </xdr:from>
    <xdr:to>
      <xdr:col>13</xdr:col>
      <xdr:colOff>381000</xdr:colOff>
      <xdr:row>9</xdr:row>
      <xdr:rowOff>9525</xdr:rowOff>
    </xdr:to>
    <xdr:sp macro="" textlink="">
      <xdr:nvSpPr>
        <xdr:cNvPr id="3" name="Line 2">
          <a:extLst>
            <a:ext uri="{FF2B5EF4-FFF2-40B4-BE49-F238E27FC236}">
              <a16:creationId xmlns:a16="http://schemas.microsoft.com/office/drawing/2014/main" id="{00000000-0008-0000-0200-000003000000}"/>
            </a:ext>
          </a:extLst>
        </xdr:cNvPr>
        <xdr:cNvSpPr>
          <a:spLocks noChangeShapeType="1"/>
        </xdr:cNvSpPr>
      </xdr:nvSpPr>
      <xdr:spPr bwMode="auto">
        <a:xfrm flipV="1">
          <a:off x="609600" y="1447800"/>
          <a:ext cx="11544300" cy="95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3</xdr:row>
      <xdr:rowOff>0</xdr:rowOff>
    </xdr:from>
    <xdr:to>
      <xdr:col>10</xdr:col>
      <xdr:colOff>0</xdr:colOff>
      <xdr:row>4</xdr:row>
      <xdr:rowOff>0</xdr:rowOff>
    </xdr:to>
    <xdr:sp macro="" textlink="">
      <xdr:nvSpPr>
        <xdr:cNvPr id="4" name="Line 3">
          <a:extLst>
            <a:ext uri="{FF2B5EF4-FFF2-40B4-BE49-F238E27FC236}">
              <a16:creationId xmlns:a16="http://schemas.microsoft.com/office/drawing/2014/main" id="{00000000-0008-0000-0200-000004000000}"/>
            </a:ext>
          </a:extLst>
        </xdr:cNvPr>
        <xdr:cNvSpPr>
          <a:spLocks noChangeShapeType="1"/>
        </xdr:cNvSpPr>
      </xdr:nvSpPr>
      <xdr:spPr bwMode="auto">
        <a:xfrm flipV="1">
          <a:off x="11525250" y="485775"/>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3</xdr:row>
      <xdr:rowOff>0</xdr:rowOff>
    </xdr:from>
    <xdr:to>
      <xdr:col>10</xdr:col>
      <xdr:colOff>0</xdr:colOff>
      <xdr:row>4</xdr:row>
      <xdr:rowOff>0</xdr:rowOff>
    </xdr:to>
    <xdr:sp macro="" textlink="">
      <xdr:nvSpPr>
        <xdr:cNvPr id="5" name="Line 4">
          <a:extLst>
            <a:ext uri="{FF2B5EF4-FFF2-40B4-BE49-F238E27FC236}">
              <a16:creationId xmlns:a16="http://schemas.microsoft.com/office/drawing/2014/main" id="{00000000-0008-0000-0200-000005000000}"/>
            </a:ext>
          </a:extLst>
        </xdr:cNvPr>
        <xdr:cNvSpPr>
          <a:spLocks noChangeShapeType="1"/>
        </xdr:cNvSpPr>
      </xdr:nvSpPr>
      <xdr:spPr bwMode="auto">
        <a:xfrm flipV="1">
          <a:off x="11525250" y="485775"/>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3</xdr:row>
      <xdr:rowOff>9525</xdr:rowOff>
    </xdr:from>
    <xdr:to>
      <xdr:col>1</xdr:col>
      <xdr:colOff>0</xdr:colOff>
      <xdr:row>7</xdr:row>
      <xdr:rowOff>152400</xdr:rowOff>
    </xdr:to>
    <xdr:sp macro="" textlink="">
      <xdr:nvSpPr>
        <xdr:cNvPr id="6" name="Line 5">
          <a:extLst>
            <a:ext uri="{FF2B5EF4-FFF2-40B4-BE49-F238E27FC236}">
              <a16:creationId xmlns:a16="http://schemas.microsoft.com/office/drawing/2014/main" id="{00000000-0008-0000-0200-000006000000}"/>
            </a:ext>
          </a:extLst>
        </xdr:cNvPr>
        <xdr:cNvSpPr>
          <a:spLocks noChangeShapeType="1"/>
        </xdr:cNvSpPr>
      </xdr:nvSpPr>
      <xdr:spPr bwMode="auto">
        <a:xfrm flipH="1">
          <a:off x="609600" y="495300"/>
          <a:ext cx="0" cy="78105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800100</xdr:colOff>
      <xdr:row>15</xdr:row>
      <xdr:rowOff>161925</xdr:rowOff>
    </xdr:from>
    <xdr:to>
      <xdr:col>5</xdr:col>
      <xdr:colOff>657225</xdr:colOff>
      <xdr:row>36</xdr:row>
      <xdr:rowOff>171450</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314325</xdr:colOff>
      <xdr:row>11</xdr:row>
      <xdr:rowOff>0</xdr:rowOff>
    </xdr:from>
    <xdr:to>
      <xdr:col>5</xdr:col>
      <xdr:colOff>590550</xdr:colOff>
      <xdr:row>38</xdr:row>
      <xdr:rowOff>9525</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0.72832</cdr:x>
      <cdr:y>0.65247</cdr:y>
    </cdr:from>
    <cdr:to>
      <cdr:x>0.96417</cdr:x>
      <cdr:y>0.67316</cdr:y>
    </cdr:to>
    <cdr:sp macro="" textlink="">
      <cdr:nvSpPr>
        <cdr:cNvPr id="5133" name="Hot Stall"/>
        <cdr:cNvSpPr txBox="1">
          <a:spLocks xmlns:a="http://schemas.openxmlformats.org/drawingml/2006/main" noChangeArrowheads="1"/>
        </cdr:cNvSpPr>
      </cdr:nvSpPr>
      <cdr:spPr bwMode="auto">
        <a:xfrm xmlns:a="http://schemas.openxmlformats.org/drawingml/2006/main">
          <a:off x="4259467" y="4201180"/>
          <a:ext cx="1379333" cy="133221"/>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HOT STALL</a:t>
          </a:r>
        </a:p>
      </cdr:txBody>
    </cdr:sp>
  </cdr:relSizeAnchor>
  <cdr:relSizeAnchor xmlns:cdr="http://schemas.openxmlformats.org/drawingml/2006/chartDrawing">
    <cdr:from>
      <cdr:x>0.71372</cdr:x>
      <cdr:y>0.57343</cdr:y>
    </cdr:from>
    <cdr:to>
      <cdr:x>0.99654</cdr:x>
      <cdr:y>0.59856</cdr:y>
    </cdr:to>
    <cdr:sp macro="" textlink="">
      <cdr:nvSpPr>
        <cdr:cNvPr id="5134" name="Cold Stall"/>
        <cdr:cNvSpPr txBox="1">
          <a:spLocks xmlns:a="http://schemas.openxmlformats.org/drawingml/2006/main" noChangeArrowheads="1"/>
        </cdr:cNvSpPr>
      </cdr:nvSpPr>
      <cdr:spPr bwMode="auto">
        <a:xfrm xmlns:a="http://schemas.openxmlformats.org/drawingml/2006/main">
          <a:off x="4174084" y="3692231"/>
          <a:ext cx="1654030" cy="161810"/>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COLD (AMBIENT) STALL</a:t>
          </a:r>
        </a:p>
      </cdr:txBody>
    </cdr:sp>
  </cdr:relSizeAnchor>
  <cdr:relSizeAnchor xmlns:cdr="http://schemas.openxmlformats.org/drawingml/2006/chartDrawing">
    <cdr:from>
      <cdr:x>0.58027</cdr:x>
      <cdr:y>0.74284</cdr:y>
    </cdr:from>
    <cdr:to>
      <cdr:x>0.82571</cdr:x>
      <cdr:y>0.76797</cdr:y>
    </cdr:to>
    <cdr:sp macro="" textlink="">
      <cdr:nvSpPr>
        <cdr:cNvPr id="5135" name="Acceleration"/>
        <cdr:cNvSpPr txBox="1">
          <a:spLocks xmlns:a="http://schemas.openxmlformats.org/drawingml/2006/main" noChangeArrowheads="1"/>
        </cdr:cNvSpPr>
      </cdr:nvSpPr>
      <cdr:spPr bwMode="auto">
        <a:xfrm xmlns:a="http://schemas.openxmlformats.org/drawingml/2006/main">
          <a:off x="3393634" y="4783063"/>
          <a:ext cx="1435419" cy="161810"/>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ACCELERATION CURVE</a:t>
          </a:r>
        </a:p>
      </cdr:txBody>
    </cdr:sp>
  </cdr:relSizeAnchor>
  <cdr:relSizeAnchor xmlns:cdr="http://schemas.openxmlformats.org/drawingml/2006/chartDrawing">
    <cdr:from>
      <cdr:x>0.29932</cdr:x>
      <cdr:y>0.36182</cdr:y>
    </cdr:from>
    <cdr:to>
      <cdr:x>0.62444</cdr:x>
      <cdr:y>0.3899</cdr:y>
    </cdr:to>
    <cdr:sp macro="" textlink="">
      <cdr:nvSpPr>
        <cdr:cNvPr id="5136" name="Running"/>
        <cdr:cNvSpPr txBox="1">
          <a:spLocks xmlns:a="http://schemas.openxmlformats.org/drawingml/2006/main" noChangeArrowheads="1"/>
        </cdr:cNvSpPr>
      </cdr:nvSpPr>
      <cdr:spPr bwMode="auto">
        <a:xfrm xmlns:a="http://schemas.openxmlformats.org/drawingml/2006/main">
          <a:off x="1756537" y="2336355"/>
          <a:ext cx="1904548" cy="181065"/>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RUNNING CONDITION</a:t>
          </a:r>
        </a:p>
      </cdr:txBody>
    </cdr:sp>
  </cdr:relSizeAnchor>
  <cdr:relSizeAnchor xmlns:cdr="http://schemas.openxmlformats.org/drawingml/2006/chartDrawing">
    <cdr:from>
      <cdr:x>0.6242</cdr:x>
      <cdr:y>0.19532</cdr:y>
    </cdr:from>
    <cdr:to>
      <cdr:x>0.94932</cdr:x>
      <cdr:y>0.2234</cdr:y>
    </cdr:to>
    <cdr:sp macro="" textlink="">
      <cdr:nvSpPr>
        <cdr:cNvPr id="5137" name="Load Type"/>
        <cdr:cNvSpPr txBox="1">
          <a:spLocks xmlns:a="http://schemas.openxmlformats.org/drawingml/2006/main" noChangeArrowheads="1"/>
        </cdr:cNvSpPr>
      </cdr:nvSpPr>
      <cdr:spPr bwMode="auto">
        <a:xfrm xmlns:a="http://schemas.openxmlformats.org/drawingml/2006/main">
          <a:off x="3659644" y="1262668"/>
          <a:ext cx="1904547" cy="18106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a:lstStyle xmlns:a="http://schemas.openxmlformats.org/drawingml/2006/main"/>
        <a:p xmlns:a="http://schemas.openxmlformats.org/drawingml/2006/main">
          <a:r>
            <a:rPr lang="en-US"/>
            <a:t>LOAD TYPE: FAN / PUMP</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333375</xdr:colOff>
      <xdr:row>16</xdr:row>
      <xdr:rowOff>19050</xdr:rowOff>
    </xdr:from>
    <xdr:to>
      <xdr:col>5</xdr:col>
      <xdr:colOff>904875</xdr:colOff>
      <xdr:row>37</xdr:row>
      <xdr:rowOff>47625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619125</xdr:colOff>
      <xdr:row>16</xdr:row>
      <xdr:rowOff>85725</xdr:rowOff>
    </xdr:from>
    <xdr:to>
      <xdr:col>0</xdr:col>
      <xdr:colOff>1104901</xdr:colOff>
      <xdr:row>17</xdr:row>
      <xdr:rowOff>38100</xdr:rowOff>
    </xdr:to>
    <xdr:sp macro="" textlink="">
      <xdr:nvSpPr>
        <xdr:cNvPr id="3" name="RPM11">
          <a:extLst>
            <a:ext uri="{FF2B5EF4-FFF2-40B4-BE49-F238E27FC236}">
              <a16:creationId xmlns:a16="http://schemas.microsoft.com/office/drawing/2014/main" id="{00000000-0008-0000-0800-000003000000}"/>
            </a:ext>
          </a:extLst>
        </xdr:cNvPr>
        <xdr:cNvSpPr txBox="1">
          <a:spLocks noChangeArrowheads="1"/>
        </xdr:cNvSpPr>
      </xdr:nvSpPr>
      <xdr:spPr bwMode="auto">
        <a:xfrm>
          <a:off x="619125" y="3981450"/>
          <a:ext cx="485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3600</a:t>
          </a:r>
        </a:p>
      </xdr:txBody>
    </xdr:sp>
    <xdr:clientData/>
  </xdr:twoCellAnchor>
  <xdr:twoCellAnchor>
    <xdr:from>
      <xdr:col>0</xdr:col>
      <xdr:colOff>609600</xdr:colOff>
      <xdr:row>18</xdr:row>
      <xdr:rowOff>28575</xdr:rowOff>
    </xdr:from>
    <xdr:to>
      <xdr:col>0</xdr:col>
      <xdr:colOff>1095376</xdr:colOff>
      <xdr:row>18</xdr:row>
      <xdr:rowOff>219075</xdr:rowOff>
    </xdr:to>
    <xdr:sp macro="" textlink="">
      <xdr:nvSpPr>
        <xdr:cNvPr id="4" name="RPM10">
          <a:extLst>
            <a:ext uri="{FF2B5EF4-FFF2-40B4-BE49-F238E27FC236}">
              <a16:creationId xmlns:a16="http://schemas.microsoft.com/office/drawing/2014/main" id="{00000000-0008-0000-0800-000004000000}"/>
            </a:ext>
          </a:extLst>
        </xdr:cNvPr>
        <xdr:cNvSpPr txBox="1">
          <a:spLocks noChangeArrowheads="1"/>
        </xdr:cNvSpPr>
      </xdr:nvSpPr>
      <xdr:spPr bwMode="auto">
        <a:xfrm>
          <a:off x="609600" y="4400550"/>
          <a:ext cx="485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3596</a:t>
          </a:r>
        </a:p>
      </xdr:txBody>
    </xdr:sp>
    <xdr:clientData/>
  </xdr:twoCellAnchor>
  <xdr:twoCellAnchor>
    <xdr:from>
      <xdr:col>0</xdr:col>
      <xdr:colOff>600075</xdr:colOff>
      <xdr:row>19</xdr:row>
      <xdr:rowOff>200025</xdr:rowOff>
    </xdr:from>
    <xdr:to>
      <xdr:col>0</xdr:col>
      <xdr:colOff>1085851</xdr:colOff>
      <xdr:row>20</xdr:row>
      <xdr:rowOff>152400</xdr:rowOff>
    </xdr:to>
    <xdr:sp macro="" textlink="">
      <xdr:nvSpPr>
        <xdr:cNvPr id="5" name="RPM9">
          <a:extLst>
            <a:ext uri="{FF2B5EF4-FFF2-40B4-BE49-F238E27FC236}">
              <a16:creationId xmlns:a16="http://schemas.microsoft.com/office/drawing/2014/main" id="{00000000-0008-0000-0800-000005000000}"/>
            </a:ext>
          </a:extLst>
        </xdr:cNvPr>
        <xdr:cNvSpPr txBox="1">
          <a:spLocks noChangeArrowheads="1"/>
        </xdr:cNvSpPr>
      </xdr:nvSpPr>
      <xdr:spPr bwMode="auto">
        <a:xfrm>
          <a:off x="600075" y="4810125"/>
          <a:ext cx="485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3592</a:t>
          </a:r>
        </a:p>
      </xdr:txBody>
    </xdr:sp>
    <xdr:clientData/>
  </xdr:twoCellAnchor>
  <xdr:twoCellAnchor>
    <xdr:from>
      <xdr:col>0</xdr:col>
      <xdr:colOff>600075</xdr:colOff>
      <xdr:row>21</xdr:row>
      <xdr:rowOff>133350</xdr:rowOff>
    </xdr:from>
    <xdr:to>
      <xdr:col>0</xdr:col>
      <xdr:colOff>1085851</xdr:colOff>
      <xdr:row>22</xdr:row>
      <xdr:rowOff>85725</xdr:rowOff>
    </xdr:to>
    <xdr:sp macro="" textlink="">
      <xdr:nvSpPr>
        <xdr:cNvPr id="6" name="RPM8">
          <a:extLst>
            <a:ext uri="{FF2B5EF4-FFF2-40B4-BE49-F238E27FC236}">
              <a16:creationId xmlns:a16="http://schemas.microsoft.com/office/drawing/2014/main" id="{00000000-0008-0000-0800-000006000000}"/>
            </a:ext>
          </a:extLst>
        </xdr:cNvPr>
        <xdr:cNvSpPr txBox="1">
          <a:spLocks noChangeArrowheads="1"/>
        </xdr:cNvSpPr>
      </xdr:nvSpPr>
      <xdr:spPr bwMode="auto">
        <a:xfrm>
          <a:off x="600075" y="5219700"/>
          <a:ext cx="485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3588</a:t>
          </a:r>
        </a:p>
      </xdr:txBody>
    </xdr:sp>
    <xdr:clientData/>
  </xdr:twoCellAnchor>
  <xdr:twoCellAnchor>
    <xdr:from>
      <xdr:col>0</xdr:col>
      <xdr:colOff>609600</xdr:colOff>
      <xdr:row>23</xdr:row>
      <xdr:rowOff>66675</xdr:rowOff>
    </xdr:from>
    <xdr:to>
      <xdr:col>0</xdr:col>
      <xdr:colOff>1095376</xdr:colOff>
      <xdr:row>24</xdr:row>
      <xdr:rowOff>19050</xdr:rowOff>
    </xdr:to>
    <xdr:sp macro="" textlink="">
      <xdr:nvSpPr>
        <xdr:cNvPr id="7" name="RPM7">
          <a:extLst>
            <a:ext uri="{FF2B5EF4-FFF2-40B4-BE49-F238E27FC236}">
              <a16:creationId xmlns:a16="http://schemas.microsoft.com/office/drawing/2014/main" id="{00000000-0008-0000-0800-000007000000}"/>
            </a:ext>
          </a:extLst>
        </xdr:cNvPr>
        <xdr:cNvSpPr txBox="1">
          <a:spLocks noChangeArrowheads="1"/>
        </xdr:cNvSpPr>
      </xdr:nvSpPr>
      <xdr:spPr bwMode="auto">
        <a:xfrm>
          <a:off x="609600" y="5629275"/>
          <a:ext cx="485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3584</a:t>
          </a:r>
        </a:p>
      </xdr:txBody>
    </xdr:sp>
    <xdr:clientData/>
  </xdr:twoCellAnchor>
  <xdr:twoCellAnchor>
    <xdr:from>
      <xdr:col>0</xdr:col>
      <xdr:colOff>609600</xdr:colOff>
      <xdr:row>25</xdr:row>
      <xdr:rowOff>0</xdr:rowOff>
    </xdr:from>
    <xdr:to>
      <xdr:col>0</xdr:col>
      <xdr:colOff>1095376</xdr:colOff>
      <xdr:row>25</xdr:row>
      <xdr:rowOff>190500</xdr:rowOff>
    </xdr:to>
    <xdr:sp macro="" textlink="">
      <xdr:nvSpPr>
        <xdr:cNvPr id="8" name="RPM6">
          <a:extLst>
            <a:ext uri="{FF2B5EF4-FFF2-40B4-BE49-F238E27FC236}">
              <a16:creationId xmlns:a16="http://schemas.microsoft.com/office/drawing/2014/main" id="{00000000-0008-0000-0800-000008000000}"/>
            </a:ext>
          </a:extLst>
        </xdr:cNvPr>
        <xdr:cNvSpPr txBox="1">
          <a:spLocks noChangeArrowheads="1"/>
        </xdr:cNvSpPr>
      </xdr:nvSpPr>
      <xdr:spPr bwMode="auto">
        <a:xfrm>
          <a:off x="609600" y="6038850"/>
          <a:ext cx="485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3580</a:t>
          </a:r>
        </a:p>
      </xdr:txBody>
    </xdr:sp>
    <xdr:clientData/>
  </xdr:twoCellAnchor>
  <xdr:twoCellAnchor>
    <xdr:from>
      <xdr:col>0</xdr:col>
      <xdr:colOff>600075</xdr:colOff>
      <xdr:row>26</xdr:row>
      <xdr:rowOff>171450</xdr:rowOff>
    </xdr:from>
    <xdr:to>
      <xdr:col>0</xdr:col>
      <xdr:colOff>1085851</xdr:colOff>
      <xdr:row>27</xdr:row>
      <xdr:rowOff>123825</xdr:rowOff>
    </xdr:to>
    <xdr:sp macro="" textlink="">
      <xdr:nvSpPr>
        <xdr:cNvPr id="9" name="RPM5">
          <a:extLst>
            <a:ext uri="{FF2B5EF4-FFF2-40B4-BE49-F238E27FC236}">
              <a16:creationId xmlns:a16="http://schemas.microsoft.com/office/drawing/2014/main" id="{00000000-0008-0000-0800-000009000000}"/>
            </a:ext>
          </a:extLst>
        </xdr:cNvPr>
        <xdr:cNvSpPr txBox="1">
          <a:spLocks noChangeArrowheads="1"/>
        </xdr:cNvSpPr>
      </xdr:nvSpPr>
      <xdr:spPr bwMode="auto">
        <a:xfrm>
          <a:off x="600075" y="6448425"/>
          <a:ext cx="485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3576</a:t>
          </a:r>
        </a:p>
      </xdr:txBody>
    </xdr:sp>
    <xdr:clientData/>
  </xdr:twoCellAnchor>
  <xdr:twoCellAnchor>
    <xdr:from>
      <xdr:col>0</xdr:col>
      <xdr:colOff>590550</xdr:colOff>
      <xdr:row>28</xdr:row>
      <xdr:rowOff>104775</xdr:rowOff>
    </xdr:from>
    <xdr:to>
      <xdr:col>0</xdr:col>
      <xdr:colOff>1076326</xdr:colOff>
      <xdr:row>29</xdr:row>
      <xdr:rowOff>57150</xdr:rowOff>
    </xdr:to>
    <xdr:sp macro="" textlink="">
      <xdr:nvSpPr>
        <xdr:cNvPr id="10" name="RPM4">
          <a:extLst>
            <a:ext uri="{FF2B5EF4-FFF2-40B4-BE49-F238E27FC236}">
              <a16:creationId xmlns:a16="http://schemas.microsoft.com/office/drawing/2014/main" id="{00000000-0008-0000-0800-00000A000000}"/>
            </a:ext>
          </a:extLst>
        </xdr:cNvPr>
        <xdr:cNvSpPr txBox="1">
          <a:spLocks noChangeArrowheads="1"/>
        </xdr:cNvSpPr>
      </xdr:nvSpPr>
      <xdr:spPr bwMode="auto">
        <a:xfrm>
          <a:off x="590550" y="6858000"/>
          <a:ext cx="485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3572</a:t>
          </a:r>
        </a:p>
      </xdr:txBody>
    </xdr:sp>
    <xdr:clientData/>
  </xdr:twoCellAnchor>
  <xdr:twoCellAnchor>
    <xdr:from>
      <xdr:col>0</xdr:col>
      <xdr:colOff>590550</xdr:colOff>
      <xdr:row>30</xdr:row>
      <xdr:rowOff>47625</xdr:rowOff>
    </xdr:from>
    <xdr:to>
      <xdr:col>0</xdr:col>
      <xdr:colOff>1076326</xdr:colOff>
      <xdr:row>31</xdr:row>
      <xdr:rowOff>0</xdr:rowOff>
    </xdr:to>
    <xdr:sp macro="" textlink="">
      <xdr:nvSpPr>
        <xdr:cNvPr id="11" name="RPM3">
          <a:extLst>
            <a:ext uri="{FF2B5EF4-FFF2-40B4-BE49-F238E27FC236}">
              <a16:creationId xmlns:a16="http://schemas.microsoft.com/office/drawing/2014/main" id="{00000000-0008-0000-0800-00000B000000}"/>
            </a:ext>
          </a:extLst>
        </xdr:cNvPr>
        <xdr:cNvSpPr txBox="1">
          <a:spLocks noChangeArrowheads="1"/>
        </xdr:cNvSpPr>
      </xdr:nvSpPr>
      <xdr:spPr bwMode="auto">
        <a:xfrm>
          <a:off x="590550" y="7277100"/>
          <a:ext cx="485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3568</a:t>
          </a:r>
        </a:p>
      </xdr:txBody>
    </xdr:sp>
    <xdr:clientData/>
  </xdr:twoCellAnchor>
  <xdr:twoCellAnchor>
    <xdr:from>
      <xdr:col>0</xdr:col>
      <xdr:colOff>590550</xdr:colOff>
      <xdr:row>31</xdr:row>
      <xdr:rowOff>219075</xdr:rowOff>
    </xdr:from>
    <xdr:to>
      <xdr:col>0</xdr:col>
      <xdr:colOff>1076326</xdr:colOff>
      <xdr:row>32</xdr:row>
      <xdr:rowOff>171450</xdr:rowOff>
    </xdr:to>
    <xdr:sp macro="" textlink="">
      <xdr:nvSpPr>
        <xdr:cNvPr id="12" name="RPM2">
          <a:extLst>
            <a:ext uri="{FF2B5EF4-FFF2-40B4-BE49-F238E27FC236}">
              <a16:creationId xmlns:a16="http://schemas.microsoft.com/office/drawing/2014/main" id="{00000000-0008-0000-0800-00000C000000}"/>
            </a:ext>
          </a:extLst>
        </xdr:cNvPr>
        <xdr:cNvSpPr txBox="1">
          <a:spLocks noChangeArrowheads="1"/>
        </xdr:cNvSpPr>
      </xdr:nvSpPr>
      <xdr:spPr bwMode="auto">
        <a:xfrm>
          <a:off x="590550" y="7686675"/>
          <a:ext cx="485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3564</a:t>
          </a:r>
        </a:p>
      </xdr:txBody>
    </xdr:sp>
    <xdr:clientData/>
  </xdr:twoCellAnchor>
  <xdr:twoCellAnchor>
    <xdr:from>
      <xdr:col>0</xdr:col>
      <xdr:colOff>600075</xdr:colOff>
      <xdr:row>33</xdr:row>
      <xdr:rowOff>152400</xdr:rowOff>
    </xdr:from>
    <xdr:to>
      <xdr:col>0</xdr:col>
      <xdr:colOff>1085851</xdr:colOff>
      <xdr:row>34</xdr:row>
      <xdr:rowOff>104775</xdr:rowOff>
    </xdr:to>
    <xdr:sp macro="" textlink="">
      <xdr:nvSpPr>
        <xdr:cNvPr id="13" name="RPM1">
          <a:extLst>
            <a:ext uri="{FF2B5EF4-FFF2-40B4-BE49-F238E27FC236}">
              <a16:creationId xmlns:a16="http://schemas.microsoft.com/office/drawing/2014/main" id="{00000000-0008-0000-0800-00000D000000}"/>
            </a:ext>
          </a:extLst>
        </xdr:cNvPr>
        <xdr:cNvSpPr txBox="1">
          <a:spLocks noChangeArrowheads="1"/>
        </xdr:cNvSpPr>
      </xdr:nvSpPr>
      <xdr:spPr bwMode="auto">
        <a:xfrm>
          <a:off x="600075" y="8096250"/>
          <a:ext cx="485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3560</a:t>
          </a:r>
        </a:p>
      </xdr:txBody>
    </xdr:sp>
    <xdr:clientData/>
  </xdr:twoCellAnchor>
  <xdr:twoCellAnchor>
    <xdr:from>
      <xdr:col>0</xdr:col>
      <xdr:colOff>400050</xdr:colOff>
      <xdr:row>24</xdr:row>
      <xdr:rowOff>104775</xdr:rowOff>
    </xdr:from>
    <xdr:to>
      <xdr:col>0</xdr:col>
      <xdr:colOff>609600</xdr:colOff>
      <xdr:row>26</xdr:row>
      <xdr:rowOff>209550</xdr:rowOff>
    </xdr:to>
    <xdr:sp macro="" textlink="">
      <xdr:nvSpPr>
        <xdr:cNvPr id="14" name="RPM">
          <a:extLst>
            <a:ext uri="{FF2B5EF4-FFF2-40B4-BE49-F238E27FC236}">
              <a16:creationId xmlns:a16="http://schemas.microsoft.com/office/drawing/2014/main" id="{00000000-0008-0000-0800-00000E000000}"/>
            </a:ext>
          </a:extLst>
        </xdr:cNvPr>
        <xdr:cNvSpPr txBox="1">
          <a:spLocks noChangeArrowheads="1"/>
        </xdr:cNvSpPr>
      </xdr:nvSpPr>
      <xdr:spPr bwMode="auto">
        <a:xfrm>
          <a:off x="400050" y="5905500"/>
          <a:ext cx="209550" cy="581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RPM</a:t>
          </a:r>
        </a:p>
      </xdr:txBody>
    </xdr:sp>
    <xdr:clientData/>
  </xdr:twoCellAnchor>
  <xdr:twoCellAnchor>
    <xdr:from>
      <xdr:col>5</xdr:col>
      <xdr:colOff>352425</xdr:colOff>
      <xdr:row>16</xdr:row>
      <xdr:rowOff>58510</xdr:rowOff>
    </xdr:from>
    <xdr:to>
      <xdr:col>5</xdr:col>
      <xdr:colOff>868866</xdr:colOff>
      <xdr:row>17</xdr:row>
      <xdr:rowOff>38100</xdr:rowOff>
    </xdr:to>
    <xdr:sp macro="" textlink="">
      <xdr:nvSpPr>
        <xdr:cNvPr id="15" name="Watts11">
          <a:extLst>
            <a:ext uri="{FF2B5EF4-FFF2-40B4-BE49-F238E27FC236}">
              <a16:creationId xmlns:a16="http://schemas.microsoft.com/office/drawing/2014/main" id="{00000000-0008-0000-0800-00000F000000}"/>
            </a:ext>
          </a:extLst>
        </xdr:cNvPr>
        <xdr:cNvSpPr txBox="1">
          <a:spLocks noChangeArrowheads="1"/>
        </xdr:cNvSpPr>
      </xdr:nvSpPr>
      <xdr:spPr bwMode="auto">
        <a:xfrm>
          <a:off x="5924550" y="3954235"/>
          <a:ext cx="516441" cy="21771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1000</a:t>
          </a:r>
        </a:p>
      </xdr:txBody>
    </xdr:sp>
    <xdr:clientData/>
  </xdr:twoCellAnchor>
  <xdr:twoCellAnchor>
    <xdr:from>
      <xdr:col>5</xdr:col>
      <xdr:colOff>381000</xdr:colOff>
      <xdr:row>24</xdr:row>
      <xdr:rowOff>209550</xdr:rowOff>
    </xdr:from>
    <xdr:to>
      <xdr:col>5</xdr:col>
      <xdr:colOff>963652</xdr:colOff>
      <xdr:row>25</xdr:row>
      <xdr:rowOff>200026</xdr:rowOff>
    </xdr:to>
    <xdr:sp macro="" textlink="">
      <xdr:nvSpPr>
        <xdr:cNvPr id="16" name="Watts6">
          <a:extLst>
            <a:ext uri="{FF2B5EF4-FFF2-40B4-BE49-F238E27FC236}">
              <a16:creationId xmlns:a16="http://schemas.microsoft.com/office/drawing/2014/main" id="{00000000-0008-0000-0800-000010000000}"/>
            </a:ext>
          </a:extLst>
        </xdr:cNvPr>
        <xdr:cNvSpPr txBox="1">
          <a:spLocks noChangeArrowheads="1"/>
        </xdr:cNvSpPr>
      </xdr:nvSpPr>
      <xdr:spPr bwMode="auto">
        <a:xfrm>
          <a:off x="5953125" y="6010275"/>
          <a:ext cx="582652" cy="22860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500</a:t>
          </a:r>
        </a:p>
      </xdr:txBody>
    </xdr:sp>
    <xdr:clientData/>
  </xdr:twoCellAnchor>
  <xdr:twoCellAnchor>
    <xdr:from>
      <xdr:col>5</xdr:col>
      <xdr:colOff>371475</xdr:colOff>
      <xdr:row>26</xdr:row>
      <xdr:rowOff>153760</xdr:rowOff>
    </xdr:from>
    <xdr:to>
      <xdr:col>5</xdr:col>
      <xdr:colOff>887916</xdr:colOff>
      <xdr:row>27</xdr:row>
      <xdr:rowOff>133350</xdr:rowOff>
    </xdr:to>
    <xdr:sp macro="" textlink="">
      <xdr:nvSpPr>
        <xdr:cNvPr id="17" name="Watts5">
          <a:extLst>
            <a:ext uri="{FF2B5EF4-FFF2-40B4-BE49-F238E27FC236}">
              <a16:creationId xmlns:a16="http://schemas.microsoft.com/office/drawing/2014/main" id="{00000000-0008-0000-0800-000011000000}"/>
            </a:ext>
          </a:extLst>
        </xdr:cNvPr>
        <xdr:cNvSpPr txBox="1">
          <a:spLocks noChangeArrowheads="1"/>
        </xdr:cNvSpPr>
      </xdr:nvSpPr>
      <xdr:spPr bwMode="auto">
        <a:xfrm>
          <a:off x="5943600" y="6430735"/>
          <a:ext cx="516441" cy="21771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400</a:t>
          </a:r>
        </a:p>
      </xdr:txBody>
    </xdr:sp>
    <xdr:clientData/>
  </xdr:twoCellAnchor>
  <xdr:twoCellAnchor>
    <xdr:from>
      <xdr:col>5</xdr:col>
      <xdr:colOff>381000</xdr:colOff>
      <xdr:row>28</xdr:row>
      <xdr:rowOff>87085</xdr:rowOff>
    </xdr:from>
    <xdr:to>
      <xdr:col>5</xdr:col>
      <xdr:colOff>897441</xdr:colOff>
      <xdr:row>29</xdr:row>
      <xdr:rowOff>66675</xdr:rowOff>
    </xdr:to>
    <xdr:sp macro="" textlink="">
      <xdr:nvSpPr>
        <xdr:cNvPr id="18" name="Watts4">
          <a:extLst>
            <a:ext uri="{FF2B5EF4-FFF2-40B4-BE49-F238E27FC236}">
              <a16:creationId xmlns:a16="http://schemas.microsoft.com/office/drawing/2014/main" id="{00000000-0008-0000-0800-000012000000}"/>
            </a:ext>
          </a:extLst>
        </xdr:cNvPr>
        <xdr:cNvSpPr txBox="1">
          <a:spLocks noChangeArrowheads="1"/>
        </xdr:cNvSpPr>
      </xdr:nvSpPr>
      <xdr:spPr bwMode="auto">
        <a:xfrm>
          <a:off x="5953125" y="6840310"/>
          <a:ext cx="516441" cy="21771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300</a:t>
          </a:r>
        </a:p>
      </xdr:txBody>
    </xdr:sp>
    <xdr:clientData/>
  </xdr:twoCellAnchor>
  <xdr:twoCellAnchor>
    <xdr:from>
      <xdr:col>5</xdr:col>
      <xdr:colOff>371475</xdr:colOff>
      <xdr:row>30</xdr:row>
      <xdr:rowOff>10885</xdr:rowOff>
    </xdr:from>
    <xdr:to>
      <xdr:col>5</xdr:col>
      <xdr:colOff>887916</xdr:colOff>
      <xdr:row>30</xdr:row>
      <xdr:rowOff>228600</xdr:rowOff>
    </xdr:to>
    <xdr:sp macro="" textlink="">
      <xdr:nvSpPr>
        <xdr:cNvPr id="19" name="Watts3">
          <a:extLst>
            <a:ext uri="{FF2B5EF4-FFF2-40B4-BE49-F238E27FC236}">
              <a16:creationId xmlns:a16="http://schemas.microsoft.com/office/drawing/2014/main" id="{00000000-0008-0000-0800-000013000000}"/>
            </a:ext>
          </a:extLst>
        </xdr:cNvPr>
        <xdr:cNvSpPr txBox="1">
          <a:spLocks noChangeArrowheads="1"/>
        </xdr:cNvSpPr>
      </xdr:nvSpPr>
      <xdr:spPr bwMode="auto">
        <a:xfrm>
          <a:off x="5943600" y="7240360"/>
          <a:ext cx="516441" cy="21771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200</a:t>
          </a:r>
        </a:p>
      </xdr:txBody>
    </xdr:sp>
    <xdr:clientData/>
  </xdr:twoCellAnchor>
  <xdr:twoCellAnchor>
    <xdr:from>
      <xdr:col>5</xdr:col>
      <xdr:colOff>371475</xdr:colOff>
      <xdr:row>31</xdr:row>
      <xdr:rowOff>191860</xdr:rowOff>
    </xdr:from>
    <xdr:to>
      <xdr:col>5</xdr:col>
      <xdr:colOff>887916</xdr:colOff>
      <xdr:row>32</xdr:row>
      <xdr:rowOff>171450</xdr:rowOff>
    </xdr:to>
    <xdr:sp macro="" textlink="">
      <xdr:nvSpPr>
        <xdr:cNvPr id="20" name="Watts2">
          <a:extLst>
            <a:ext uri="{FF2B5EF4-FFF2-40B4-BE49-F238E27FC236}">
              <a16:creationId xmlns:a16="http://schemas.microsoft.com/office/drawing/2014/main" id="{00000000-0008-0000-0800-000014000000}"/>
            </a:ext>
          </a:extLst>
        </xdr:cNvPr>
        <xdr:cNvSpPr txBox="1">
          <a:spLocks noChangeArrowheads="1"/>
        </xdr:cNvSpPr>
      </xdr:nvSpPr>
      <xdr:spPr bwMode="auto">
        <a:xfrm>
          <a:off x="5943600" y="7659460"/>
          <a:ext cx="516441" cy="21771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100</a:t>
          </a:r>
        </a:p>
      </xdr:txBody>
    </xdr:sp>
    <xdr:clientData/>
  </xdr:twoCellAnchor>
  <xdr:twoCellAnchor>
    <xdr:from>
      <xdr:col>5</xdr:col>
      <xdr:colOff>762000</xdr:colOff>
      <xdr:row>23</xdr:row>
      <xdr:rowOff>9525</xdr:rowOff>
    </xdr:from>
    <xdr:to>
      <xdr:col>5</xdr:col>
      <xdr:colOff>981075</xdr:colOff>
      <xdr:row>28</xdr:row>
      <xdr:rowOff>142875</xdr:rowOff>
    </xdr:to>
    <xdr:sp macro="" textlink="">
      <xdr:nvSpPr>
        <xdr:cNvPr id="21" name="Input Watts">
          <a:extLst>
            <a:ext uri="{FF2B5EF4-FFF2-40B4-BE49-F238E27FC236}">
              <a16:creationId xmlns:a16="http://schemas.microsoft.com/office/drawing/2014/main" id="{00000000-0008-0000-0800-000015000000}"/>
            </a:ext>
          </a:extLst>
        </xdr:cNvPr>
        <xdr:cNvSpPr txBox="1">
          <a:spLocks noChangeArrowheads="1"/>
        </xdr:cNvSpPr>
      </xdr:nvSpPr>
      <xdr:spPr bwMode="auto">
        <a:xfrm>
          <a:off x="6334125" y="5572125"/>
          <a:ext cx="219075" cy="1323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Input Watts (kW)</a:t>
          </a:r>
        </a:p>
      </xdr:txBody>
    </xdr:sp>
    <xdr:clientData/>
  </xdr:twoCellAnchor>
  <xdr:twoCellAnchor>
    <xdr:from>
      <xdr:col>5</xdr:col>
      <xdr:colOff>371475</xdr:colOff>
      <xdr:row>23</xdr:row>
      <xdr:rowOff>39460</xdr:rowOff>
    </xdr:from>
    <xdr:to>
      <xdr:col>5</xdr:col>
      <xdr:colOff>887916</xdr:colOff>
      <xdr:row>24</xdr:row>
      <xdr:rowOff>19050</xdr:rowOff>
    </xdr:to>
    <xdr:sp macro="" textlink="">
      <xdr:nvSpPr>
        <xdr:cNvPr id="22" name="Watts7">
          <a:extLst>
            <a:ext uri="{FF2B5EF4-FFF2-40B4-BE49-F238E27FC236}">
              <a16:creationId xmlns:a16="http://schemas.microsoft.com/office/drawing/2014/main" id="{00000000-0008-0000-0800-000016000000}"/>
            </a:ext>
          </a:extLst>
        </xdr:cNvPr>
        <xdr:cNvSpPr txBox="1">
          <a:spLocks noChangeArrowheads="1"/>
        </xdr:cNvSpPr>
      </xdr:nvSpPr>
      <xdr:spPr bwMode="auto">
        <a:xfrm>
          <a:off x="5943600" y="5602060"/>
          <a:ext cx="516441" cy="21771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600</a:t>
          </a:r>
        </a:p>
      </xdr:txBody>
    </xdr:sp>
    <xdr:clientData/>
  </xdr:twoCellAnchor>
  <xdr:twoCellAnchor>
    <xdr:from>
      <xdr:col>5</xdr:col>
      <xdr:colOff>371475</xdr:colOff>
      <xdr:row>21</xdr:row>
      <xdr:rowOff>106135</xdr:rowOff>
    </xdr:from>
    <xdr:to>
      <xdr:col>5</xdr:col>
      <xdr:colOff>887916</xdr:colOff>
      <xdr:row>22</xdr:row>
      <xdr:rowOff>85725</xdr:rowOff>
    </xdr:to>
    <xdr:sp macro="" textlink="">
      <xdr:nvSpPr>
        <xdr:cNvPr id="23" name="Watts8">
          <a:extLst>
            <a:ext uri="{FF2B5EF4-FFF2-40B4-BE49-F238E27FC236}">
              <a16:creationId xmlns:a16="http://schemas.microsoft.com/office/drawing/2014/main" id="{00000000-0008-0000-0800-000017000000}"/>
            </a:ext>
          </a:extLst>
        </xdr:cNvPr>
        <xdr:cNvSpPr txBox="1">
          <a:spLocks noChangeArrowheads="1"/>
        </xdr:cNvSpPr>
      </xdr:nvSpPr>
      <xdr:spPr bwMode="auto">
        <a:xfrm>
          <a:off x="5943600" y="5192485"/>
          <a:ext cx="516441" cy="21771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700</a:t>
          </a:r>
        </a:p>
      </xdr:txBody>
    </xdr:sp>
    <xdr:clientData/>
  </xdr:twoCellAnchor>
  <xdr:twoCellAnchor>
    <xdr:from>
      <xdr:col>5</xdr:col>
      <xdr:colOff>361950</xdr:colOff>
      <xdr:row>19</xdr:row>
      <xdr:rowOff>172810</xdr:rowOff>
    </xdr:from>
    <xdr:to>
      <xdr:col>5</xdr:col>
      <xdr:colOff>878391</xdr:colOff>
      <xdr:row>20</xdr:row>
      <xdr:rowOff>152400</xdr:rowOff>
    </xdr:to>
    <xdr:sp macro="" textlink="">
      <xdr:nvSpPr>
        <xdr:cNvPr id="24" name="Watts9">
          <a:extLst>
            <a:ext uri="{FF2B5EF4-FFF2-40B4-BE49-F238E27FC236}">
              <a16:creationId xmlns:a16="http://schemas.microsoft.com/office/drawing/2014/main" id="{00000000-0008-0000-0800-000018000000}"/>
            </a:ext>
          </a:extLst>
        </xdr:cNvPr>
        <xdr:cNvSpPr txBox="1">
          <a:spLocks noChangeArrowheads="1"/>
        </xdr:cNvSpPr>
      </xdr:nvSpPr>
      <xdr:spPr bwMode="auto">
        <a:xfrm>
          <a:off x="5934075" y="4782910"/>
          <a:ext cx="516441" cy="21771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800</a:t>
          </a:r>
        </a:p>
      </xdr:txBody>
    </xdr:sp>
    <xdr:clientData/>
  </xdr:twoCellAnchor>
  <xdr:twoCellAnchor>
    <xdr:from>
      <xdr:col>5</xdr:col>
      <xdr:colOff>361950</xdr:colOff>
      <xdr:row>18</xdr:row>
      <xdr:rowOff>1360</xdr:rowOff>
    </xdr:from>
    <xdr:to>
      <xdr:col>5</xdr:col>
      <xdr:colOff>878391</xdr:colOff>
      <xdr:row>18</xdr:row>
      <xdr:rowOff>219075</xdr:rowOff>
    </xdr:to>
    <xdr:sp macro="" textlink="">
      <xdr:nvSpPr>
        <xdr:cNvPr id="25" name="Watts10">
          <a:extLst>
            <a:ext uri="{FF2B5EF4-FFF2-40B4-BE49-F238E27FC236}">
              <a16:creationId xmlns:a16="http://schemas.microsoft.com/office/drawing/2014/main" id="{00000000-0008-0000-0800-000019000000}"/>
            </a:ext>
          </a:extLst>
        </xdr:cNvPr>
        <xdr:cNvSpPr txBox="1">
          <a:spLocks noChangeArrowheads="1"/>
        </xdr:cNvSpPr>
      </xdr:nvSpPr>
      <xdr:spPr bwMode="auto">
        <a:xfrm>
          <a:off x="5934075" y="4373335"/>
          <a:ext cx="516441" cy="21771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900</a:t>
          </a:r>
        </a:p>
      </xdr:txBody>
    </xdr:sp>
    <xdr:clientData/>
  </xdr:twoCellAnchor>
  <xdr:twoCellAnchor>
    <xdr:from>
      <xdr:col>2</xdr:col>
      <xdr:colOff>857250</xdr:colOff>
      <xdr:row>17</xdr:row>
      <xdr:rowOff>19050</xdr:rowOff>
    </xdr:from>
    <xdr:to>
      <xdr:col>3</xdr:col>
      <xdr:colOff>85725</xdr:colOff>
      <xdr:row>17</xdr:row>
      <xdr:rowOff>161925</xdr:rowOff>
    </xdr:to>
    <xdr:sp macro="" textlink="" fLocksText="0">
      <xdr:nvSpPr>
        <xdr:cNvPr id="26" name="Text Box 26">
          <a:extLst>
            <a:ext uri="{FF2B5EF4-FFF2-40B4-BE49-F238E27FC236}">
              <a16:creationId xmlns:a16="http://schemas.microsoft.com/office/drawing/2014/main" id="{00000000-0008-0000-0800-00001A000000}"/>
            </a:ext>
          </a:extLst>
        </xdr:cNvPr>
        <xdr:cNvSpPr txBox="1">
          <a:spLocks noChangeArrowheads="1"/>
        </xdr:cNvSpPr>
      </xdr:nvSpPr>
      <xdr:spPr bwMode="auto">
        <a:xfrm>
          <a:off x="3086100" y="4152900"/>
          <a:ext cx="342900" cy="1428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EFF.</a:t>
          </a:r>
        </a:p>
      </xdr:txBody>
    </xdr:sp>
    <xdr:clientData fLocksWithSheet="0"/>
  </xdr:twoCellAnchor>
  <xdr:twoCellAnchor>
    <xdr:from>
      <xdr:col>3</xdr:col>
      <xdr:colOff>904875</xdr:colOff>
      <xdr:row>19</xdr:row>
      <xdr:rowOff>133350</xdr:rowOff>
    </xdr:from>
    <xdr:to>
      <xdr:col>4</xdr:col>
      <xdr:colOff>123825</xdr:colOff>
      <xdr:row>20</xdr:row>
      <xdr:rowOff>66675</xdr:rowOff>
    </xdr:to>
    <xdr:sp macro="" textlink="" fLocksText="0">
      <xdr:nvSpPr>
        <xdr:cNvPr id="27" name="Text Box 27">
          <a:extLst>
            <a:ext uri="{FF2B5EF4-FFF2-40B4-BE49-F238E27FC236}">
              <a16:creationId xmlns:a16="http://schemas.microsoft.com/office/drawing/2014/main" id="{00000000-0008-0000-0800-00001B000000}"/>
            </a:ext>
          </a:extLst>
        </xdr:cNvPr>
        <xdr:cNvSpPr txBox="1">
          <a:spLocks noChangeArrowheads="1"/>
        </xdr:cNvSpPr>
      </xdr:nvSpPr>
      <xdr:spPr bwMode="auto">
        <a:xfrm>
          <a:off x="4248150" y="4743450"/>
          <a:ext cx="33337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P.F.</a:t>
          </a:r>
        </a:p>
      </xdr:txBody>
    </xdr:sp>
    <xdr:clientData fLocksWithSheet="0"/>
  </xdr:twoCellAnchor>
  <xdr:twoCellAnchor>
    <xdr:from>
      <xdr:col>2</xdr:col>
      <xdr:colOff>838200</xdr:colOff>
      <xdr:row>23</xdr:row>
      <xdr:rowOff>38100</xdr:rowOff>
    </xdr:from>
    <xdr:to>
      <xdr:col>3</xdr:col>
      <xdr:colOff>66675</xdr:colOff>
      <xdr:row>23</xdr:row>
      <xdr:rowOff>180975</xdr:rowOff>
    </xdr:to>
    <xdr:sp macro="" textlink="" fLocksText="0">
      <xdr:nvSpPr>
        <xdr:cNvPr id="28" name="Speed">
          <a:extLst>
            <a:ext uri="{FF2B5EF4-FFF2-40B4-BE49-F238E27FC236}">
              <a16:creationId xmlns:a16="http://schemas.microsoft.com/office/drawing/2014/main" id="{00000000-0008-0000-0800-00001C000000}"/>
            </a:ext>
          </a:extLst>
        </xdr:cNvPr>
        <xdr:cNvSpPr txBox="1">
          <a:spLocks noChangeArrowheads="1"/>
        </xdr:cNvSpPr>
      </xdr:nvSpPr>
      <xdr:spPr bwMode="auto">
        <a:xfrm>
          <a:off x="3067050" y="5600700"/>
          <a:ext cx="342900" cy="1428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RPM</a:t>
          </a:r>
        </a:p>
      </xdr:txBody>
    </xdr:sp>
    <xdr:clientData fLocksWithSheet="0"/>
  </xdr:twoCellAnchor>
  <xdr:twoCellAnchor>
    <xdr:from>
      <xdr:col>1</xdr:col>
      <xdr:colOff>1000125</xdr:colOff>
      <xdr:row>29</xdr:row>
      <xdr:rowOff>28575</xdr:rowOff>
    </xdr:from>
    <xdr:to>
      <xdr:col>2</xdr:col>
      <xdr:colOff>323850</xdr:colOff>
      <xdr:row>29</xdr:row>
      <xdr:rowOff>180975</xdr:rowOff>
    </xdr:to>
    <xdr:sp macro="" textlink="" fLocksText="0">
      <xdr:nvSpPr>
        <xdr:cNvPr id="29" name="Amps">
          <a:extLst>
            <a:ext uri="{FF2B5EF4-FFF2-40B4-BE49-F238E27FC236}">
              <a16:creationId xmlns:a16="http://schemas.microsoft.com/office/drawing/2014/main" id="{00000000-0008-0000-0800-00001D000000}"/>
            </a:ext>
          </a:extLst>
        </xdr:cNvPr>
        <xdr:cNvSpPr txBox="1">
          <a:spLocks noChangeArrowheads="1"/>
        </xdr:cNvSpPr>
      </xdr:nvSpPr>
      <xdr:spPr bwMode="auto">
        <a:xfrm>
          <a:off x="2114550" y="7019925"/>
          <a:ext cx="438150" cy="1524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AMPS</a:t>
          </a:r>
        </a:p>
      </xdr:txBody>
    </xdr:sp>
    <xdr:clientData fLocksWithSheet="0"/>
  </xdr:twoCellAnchor>
  <xdr:twoCellAnchor>
    <xdr:from>
      <xdr:col>3</xdr:col>
      <xdr:colOff>304800</xdr:colOff>
      <xdr:row>30</xdr:row>
      <xdr:rowOff>9525</xdr:rowOff>
    </xdr:from>
    <xdr:to>
      <xdr:col>3</xdr:col>
      <xdr:colOff>809625</xdr:colOff>
      <xdr:row>30</xdr:row>
      <xdr:rowOff>161925</xdr:rowOff>
    </xdr:to>
    <xdr:sp macro="" textlink="" fLocksText="0">
      <xdr:nvSpPr>
        <xdr:cNvPr id="30" name="Watts">
          <a:extLst>
            <a:ext uri="{FF2B5EF4-FFF2-40B4-BE49-F238E27FC236}">
              <a16:creationId xmlns:a16="http://schemas.microsoft.com/office/drawing/2014/main" id="{00000000-0008-0000-0800-00001E000000}"/>
            </a:ext>
          </a:extLst>
        </xdr:cNvPr>
        <xdr:cNvSpPr txBox="1">
          <a:spLocks noChangeArrowheads="1"/>
        </xdr:cNvSpPr>
      </xdr:nvSpPr>
      <xdr:spPr bwMode="auto">
        <a:xfrm>
          <a:off x="3648075" y="7239000"/>
          <a:ext cx="504825" cy="1524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WATTS</a:t>
          </a:r>
        </a:p>
      </xdr:txBody>
    </xdr:sp>
    <xdr:clientData fLocksWithSheet="0"/>
  </xdr:twoCellAnchor>
  <xdr:twoCellAnchor>
    <xdr:from>
      <xdr:col>5</xdr:col>
      <xdr:colOff>361950</xdr:colOff>
      <xdr:row>33</xdr:row>
      <xdr:rowOff>114300</xdr:rowOff>
    </xdr:from>
    <xdr:to>
      <xdr:col>5</xdr:col>
      <xdr:colOff>904875</xdr:colOff>
      <xdr:row>34</xdr:row>
      <xdr:rowOff>104776</xdr:rowOff>
    </xdr:to>
    <xdr:sp macro="" textlink="">
      <xdr:nvSpPr>
        <xdr:cNvPr id="31" name="Watts1">
          <a:extLst>
            <a:ext uri="{FF2B5EF4-FFF2-40B4-BE49-F238E27FC236}">
              <a16:creationId xmlns:a16="http://schemas.microsoft.com/office/drawing/2014/main" id="{00000000-0008-0000-0800-00001F000000}"/>
            </a:ext>
          </a:extLst>
        </xdr:cNvPr>
        <xdr:cNvSpPr txBox="1">
          <a:spLocks noChangeArrowheads="1"/>
        </xdr:cNvSpPr>
      </xdr:nvSpPr>
      <xdr:spPr bwMode="auto">
        <a:xfrm>
          <a:off x="5934075" y="8058150"/>
          <a:ext cx="542925" cy="22860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0</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333375</xdr:colOff>
      <xdr:row>16</xdr:row>
      <xdr:rowOff>19050</xdr:rowOff>
    </xdr:from>
    <xdr:to>
      <xdr:col>5</xdr:col>
      <xdr:colOff>904875</xdr:colOff>
      <xdr:row>37</xdr:row>
      <xdr:rowOff>47625</xdr:rowOff>
    </xdr:to>
    <xdr:graphicFrame macro="">
      <xdr:nvGraphicFramePr>
        <xdr:cNvPr id="2" name="Chart 1">
          <a:extLst>
            <a:ext uri="{FF2B5EF4-FFF2-40B4-BE49-F238E27FC236}">
              <a16:creationId xmlns:a16="http://schemas.microsoft.com/office/drawing/2014/main" id="{B4ED4099-CB7A-4E17-8071-A3E09D3B9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619125</xdr:colOff>
      <xdr:row>16</xdr:row>
      <xdr:rowOff>85725</xdr:rowOff>
    </xdr:from>
    <xdr:to>
      <xdr:col>0</xdr:col>
      <xdr:colOff>1104901</xdr:colOff>
      <xdr:row>17</xdr:row>
      <xdr:rowOff>38100</xdr:rowOff>
    </xdr:to>
    <xdr:sp macro="" textlink="">
      <xdr:nvSpPr>
        <xdr:cNvPr id="3" name="RPM11">
          <a:extLst>
            <a:ext uri="{FF2B5EF4-FFF2-40B4-BE49-F238E27FC236}">
              <a16:creationId xmlns:a16="http://schemas.microsoft.com/office/drawing/2014/main" id="{09CE0B35-D5C7-4AF5-A320-3D6F84FEA51E}"/>
            </a:ext>
          </a:extLst>
        </xdr:cNvPr>
        <xdr:cNvSpPr txBox="1">
          <a:spLocks noChangeArrowheads="1"/>
        </xdr:cNvSpPr>
      </xdr:nvSpPr>
      <xdr:spPr bwMode="auto">
        <a:xfrm>
          <a:off x="619125" y="3981450"/>
          <a:ext cx="485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3600</a:t>
          </a:r>
        </a:p>
      </xdr:txBody>
    </xdr:sp>
    <xdr:clientData/>
  </xdr:twoCellAnchor>
  <xdr:twoCellAnchor>
    <xdr:from>
      <xdr:col>0</xdr:col>
      <xdr:colOff>609600</xdr:colOff>
      <xdr:row>18</xdr:row>
      <xdr:rowOff>28575</xdr:rowOff>
    </xdr:from>
    <xdr:to>
      <xdr:col>0</xdr:col>
      <xdr:colOff>1095376</xdr:colOff>
      <xdr:row>18</xdr:row>
      <xdr:rowOff>219075</xdr:rowOff>
    </xdr:to>
    <xdr:sp macro="" textlink="">
      <xdr:nvSpPr>
        <xdr:cNvPr id="4" name="RPM10">
          <a:extLst>
            <a:ext uri="{FF2B5EF4-FFF2-40B4-BE49-F238E27FC236}">
              <a16:creationId xmlns:a16="http://schemas.microsoft.com/office/drawing/2014/main" id="{30724A40-4247-44E3-8D7B-42AB2E6ACF2A}"/>
            </a:ext>
          </a:extLst>
        </xdr:cNvPr>
        <xdr:cNvSpPr txBox="1">
          <a:spLocks noChangeArrowheads="1"/>
        </xdr:cNvSpPr>
      </xdr:nvSpPr>
      <xdr:spPr bwMode="auto">
        <a:xfrm>
          <a:off x="609600" y="4400550"/>
          <a:ext cx="485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3596</a:t>
          </a:r>
        </a:p>
      </xdr:txBody>
    </xdr:sp>
    <xdr:clientData/>
  </xdr:twoCellAnchor>
  <xdr:twoCellAnchor>
    <xdr:from>
      <xdr:col>0</xdr:col>
      <xdr:colOff>600075</xdr:colOff>
      <xdr:row>19</xdr:row>
      <xdr:rowOff>200025</xdr:rowOff>
    </xdr:from>
    <xdr:to>
      <xdr:col>0</xdr:col>
      <xdr:colOff>1085851</xdr:colOff>
      <xdr:row>20</xdr:row>
      <xdr:rowOff>152400</xdr:rowOff>
    </xdr:to>
    <xdr:sp macro="" textlink="">
      <xdr:nvSpPr>
        <xdr:cNvPr id="5" name="RPM9">
          <a:extLst>
            <a:ext uri="{FF2B5EF4-FFF2-40B4-BE49-F238E27FC236}">
              <a16:creationId xmlns:a16="http://schemas.microsoft.com/office/drawing/2014/main" id="{94159C5B-A1A0-48CA-BBD6-DCAE4C5AFD60}"/>
            </a:ext>
          </a:extLst>
        </xdr:cNvPr>
        <xdr:cNvSpPr txBox="1">
          <a:spLocks noChangeArrowheads="1"/>
        </xdr:cNvSpPr>
      </xdr:nvSpPr>
      <xdr:spPr bwMode="auto">
        <a:xfrm>
          <a:off x="600075" y="4810125"/>
          <a:ext cx="485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3592</a:t>
          </a:r>
        </a:p>
      </xdr:txBody>
    </xdr:sp>
    <xdr:clientData/>
  </xdr:twoCellAnchor>
  <xdr:twoCellAnchor>
    <xdr:from>
      <xdr:col>0</xdr:col>
      <xdr:colOff>600075</xdr:colOff>
      <xdr:row>21</xdr:row>
      <xdr:rowOff>133350</xdr:rowOff>
    </xdr:from>
    <xdr:to>
      <xdr:col>0</xdr:col>
      <xdr:colOff>1085851</xdr:colOff>
      <xdr:row>22</xdr:row>
      <xdr:rowOff>85725</xdr:rowOff>
    </xdr:to>
    <xdr:sp macro="" textlink="">
      <xdr:nvSpPr>
        <xdr:cNvPr id="6" name="RPM8">
          <a:extLst>
            <a:ext uri="{FF2B5EF4-FFF2-40B4-BE49-F238E27FC236}">
              <a16:creationId xmlns:a16="http://schemas.microsoft.com/office/drawing/2014/main" id="{C50F66BC-FD1A-4AF6-A0A8-AD053EA51C2C}"/>
            </a:ext>
          </a:extLst>
        </xdr:cNvPr>
        <xdr:cNvSpPr txBox="1">
          <a:spLocks noChangeArrowheads="1"/>
        </xdr:cNvSpPr>
      </xdr:nvSpPr>
      <xdr:spPr bwMode="auto">
        <a:xfrm>
          <a:off x="600075" y="5219700"/>
          <a:ext cx="485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3588</a:t>
          </a:r>
        </a:p>
      </xdr:txBody>
    </xdr:sp>
    <xdr:clientData/>
  </xdr:twoCellAnchor>
  <xdr:twoCellAnchor>
    <xdr:from>
      <xdr:col>0</xdr:col>
      <xdr:colOff>609600</xdr:colOff>
      <xdr:row>23</xdr:row>
      <xdr:rowOff>66675</xdr:rowOff>
    </xdr:from>
    <xdr:to>
      <xdr:col>0</xdr:col>
      <xdr:colOff>1095376</xdr:colOff>
      <xdr:row>24</xdr:row>
      <xdr:rowOff>19050</xdr:rowOff>
    </xdr:to>
    <xdr:sp macro="" textlink="">
      <xdr:nvSpPr>
        <xdr:cNvPr id="7" name="RPM7">
          <a:extLst>
            <a:ext uri="{FF2B5EF4-FFF2-40B4-BE49-F238E27FC236}">
              <a16:creationId xmlns:a16="http://schemas.microsoft.com/office/drawing/2014/main" id="{943B0E43-73B8-475A-82B2-AA4E7BA2B8A4}"/>
            </a:ext>
          </a:extLst>
        </xdr:cNvPr>
        <xdr:cNvSpPr txBox="1">
          <a:spLocks noChangeArrowheads="1"/>
        </xdr:cNvSpPr>
      </xdr:nvSpPr>
      <xdr:spPr bwMode="auto">
        <a:xfrm>
          <a:off x="609600" y="5629275"/>
          <a:ext cx="485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3584</a:t>
          </a:r>
        </a:p>
      </xdr:txBody>
    </xdr:sp>
    <xdr:clientData/>
  </xdr:twoCellAnchor>
  <xdr:twoCellAnchor>
    <xdr:from>
      <xdr:col>0</xdr:col>
      <xdr:colOff>609600</xdr:colOff>
      <xdr:row>25</xdr:row>
      <xdr:rowOff>0</xdr:rowOff>
    </xdr:from>
    <xdr:to>
      <xdr:col>0</xdr:col>
      <xdr:colOff>1095376</xdr:colOff>
      <xdr:row>25</xdr:row>
      <xdr:rowOff>190500</xdr:rowOff>
    </xdr:to>
    <xdr:sp macro="" textlink="">
      <xdr:nvSpPr>
        <xdr:cNvPr id="8" name="RPM6">
          <a:extLst>
            <a:ext uri="{FF2B5EF4-FFF2-40B4-BE49-F238E27FC236}">
              <a16:creationId xmlns:a16="http://schemas.microsoft.com/office/drawing/2014/main" id="{3EA314D4-6096-4056-B30E-F14789AF0BDC}"/>
            </a:ext>
          </a:extLst>
        </xdr:cNvPr>
        <xdr:cNvSpPr txBox="1">
          <a:spLocks noChangeArrowheads="1"/>
        </xdr:cNvSpPr>
      </xdr:nvSpPr>
      <xdr:spPr bwMode="auto">
        <a:xfrm>
          <a:off x="609600" y="6038850"/>
          <a:ext cx="485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3580</a:t>
          </a:r>
        </a:p>
      </xdr:txBody>
    </xdr:sp>
    <xdr:clientData/>
  </xdr:twoCellAnchor>
  <xdr:twoCellAnchor>
    <xdr:from>
      <xdr:col>0</xdr:col>
      <xdr:colOff>600075</xdr:colOff>
      <xdr:row>26</xdr:row>
      <xdr:rowOff>171450</xdr:rowOff>
    </xdr:from>
    <xdr:to>
      <xdr:col>0</xdr:col>
      <xdr:colOff>1085851</xdr:colOff>
      <xdr:row>27</xdr:row>
      <xdr:rowOff>123825</xdr:rowOff>
    </xdr:to>
    <xdr:sp macro="" textlink="">
      <xdr:nvSpPr>
        <xdr:cNvPr id="9" name="RPM5">
          <a:extLst>
            <a:ext uri="{FF2B5EF4-FFF2-40B4-BE49-F238E27FC236}">
              <a16:creationId xmlns:a16="http://schemas.microsoft.com/office/drawing/2014/main" id="{4D4AB472-8B36-44FE-9301-9DEEC4DA9F0B}"/>
            </a:ext>
          </a:extLst>
        </xdr:cNvPr>
        <xdr:cNvSpPr txBox="1">
          <a:spLocks noChangeArrowheads="1"/>
        </xdr:cNvSpPr>
      </xdr:nvSpPr>
      <xdr:spPr bwMode="auto">
        <a:xfrm>
          <a:off x="600075" y="6448425"/>
          <a:ext cx="485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3576</a:t>
          </a:r>
        </a:p>
      </xdr:txBody>
    </xdr:sp>
    <xdr:clientData/>
  </xdr:twoCellAnchor>
  <xdr:twoCellAnchor>
    <xdr:from>
      <xdr:col>0</xdr:col>
      <xdr:colOff>590550</xdr:colOff>
      <xdr:row>28</xdr:row>
      <xdr:rowOff>104775</xdr:rowOff>
    </xdr:from>
    <xdr:to>
      <xdr:col>0</xdr:col>
      <xdr:colOff>1076326</xdr:colOff>
      <xdr:row>29</xdr:row>
      <xdr:rowOff>57150</xdr:rowOff>
    </xdr:to>
    <xdr:sp macro="" textlink="">
      <xdr:nvSpPr>
        <xdr:cNvPr id="10" name="RPM4">
          <a:extLst>
            <a:ext uri="{FF2B5EF4-FFF2-40B4-BE49-F238E27FC236}">
              <a16:creationId xmlns:a16="http://schemas.microsoft.com/office/drawing/2014/main" id="{D5288996-4F08-4D0E-BAAE-C39F7E4E2406}"/>
            </a:ext>
          </a:extLst>
        </xdr:cNvPr>
        <xdr:cNvSpPr txBox="1">
          <a:spLocks noChangeArrowheads="1"/>
        </xdr:cNvSpPr>
      </xdr:nvSpPr>
      <xdr:spPr bwMode="auto">
        <a:xfrm>
          <a:off x="590550" y="6858000"/>
          <a:ext cx="485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3572</a:t>
          </a:r>
        </a:p>
      </xdr:txBody>
    </xdr:sp>
    <xdr:clientData/>
  </xdr:twoCellAnchor>
  <xdr:twoCellAnchor>
    <xdr:from>
      <xdr:col>0</xdr:col>
      <xdr:colOff>590550</xdr:colOff>
      <xdr:row>30</xdr:row>
      <xdr:rowOff>47625</xdr:rowOff>
    </xdr:from>
    <xdr:to>
      <xdr:col>0</xdr:col>
      <xdr:colOff>1076326</xdr:colOff>
      <xdr:row>31</xdr:row>
      <xdr:rowOff>0</xdr:rowOff>
    </xdr:to>
    <xdr:sp macro="" textlink="">
      <xdr:nvSpPr>
        <xdr:cNvPr id="11" name="RPM3">
          <a:extLst>
            <a:ext uri="{FF2B5EF4-FFF2-40B4-BE49-F238E27FC236}">
              <a16:creationId xmlns:a16="http://schemas.microsoft.com/office/drawing/2014/main" id="{78983426-E807-4AE3-B2EC-FD921DBEC22A}"/>
            </a:ext>
          </a:extLst>
        </xdr:cNvPr>
        <xdr:cNvSpPr txBox="1">
          <a:spLocks noChangeArrowheads="1"/>
        </xdr:cNvSpPr>
      </xdr:nvSpPr>
      <xdr:spPr bwMode="auto">
        <a:xfrm>
          <a:off x="590550" y="7277100"/>
          <a:ext cx="485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3568</a:t>
          </a:r>
        </a:p>
      </xdr:txBody>
    </xdr:sp>
    <xdr:clientData/>
  </xdr:twoCellAnchor>
  <xdr:twoCellAnchor>
    <xdr:from>
      <xdr:col>0</xdr:col>
      <xdr:colOff>590550</xdr:colOff>
      <xdr:row>31</xdr:row>
      <xdr:rowOff>219075</xdr:rowOff>
    </xdr:from>
    <xdr:to>
      <xdr:col>0</xdr:col>
      <xdr:colOff>1076326</xdr:colOff>
      <xdr:row>32</xdr:row>
      <xdr:rowOff>171450</xdr:rowOff>
    </xdr:to>
    <xdr:sp macro="" textlink="">
      <xdr:nvSpPr>
        <xdr:cNvPr id="12" name="RPM2">
          <a:extLst>
            <a:ext uri="{FF2B5EF4-FFF2-40B4-BE49-F238E27FC236}">
              <a16:creationId xmlns:a16="http://schemas.microsoft.com/office/drawing/2014/main" id="{A80179FB-E254-4299-B5CE-50918F2BE06C}"/>
            </a:ext>
          </a:extLst>
        </xdr:cNvPr>
        <xdr:cNvSpPr txBox="1">
          <a:spLocks noChangeArrowheads="1"/>
        </xdr:cNvSpPr>
      </xdr:nvSpPr>
      <xdr:spPr bwMode="auto">
        <a:xfrm>
          <a:off x="590550" y="7686675"/>
          <a:ext cx="485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3564</a:t>
          </a:r>
        </a:p>
      </xdr:txBody>
    </xdr:sp>
    <xdr:clientData/>
  </xdr:twoCellAnchor>
  <xdr:twoCellAnchor>
    <xdr:from>
      <xdr:col>0</xdr:col>
      <xdr:colOff>600075</xdr:colOff>
      <xdr:row>33</xdr:row>
      <xdr:rowOff>152400</xdr:rowOff>
    </xdr:from>
    <xdr:to>
      <xdr:col>0</xdr:col>
      <xdr:colOff>1085851</xdr:colOff>
      <xdr:row>34</xdr:row>
      <xdr:rowOff>104775</xdr:rowOff>
    </xdr:to>
    <xdr:sp macro="" textlink="">
      <xdr:nvSpPr>
        <xdr:cNvPr id="13" name="RPM1">
          <a:extLst>
            <a:ext uri="{FF2B5EF4-FFF2-40B4-BE49-F238E27FC236}">
              <a16:creationId xmlns:a16="http://schemas.microsoft.com/office/drawing/2014/main" id="{AF6BE9A8-F904-4A5D-A92A-E68F7BE26235}"/>
            </a:ext>
          </a:extLst>
        </xdr:cNvPr>
        <xdr:cNvSpPr txBox="1">
          <a:spLocks noChangeArrowheads="1"/>
        </xdr:cNvSpPr>
      </xdr:nvSpPr>
      <xdr:spPr bwMode="auto">
        <a:xfrm>
          <a:off x="600075" y="8096250"/>
          <a:ext cx="485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3560</a:t>
          </a:r>
        </a:p>
      </xdr:txBody>
    </xdr:sp>
    <xdr:clientData/>
  </xdr:twoCellAnchor>
  <xdr:twoCellAnchor>
    <xdr:from>
      <xdr:col>0</xdr:col>
      <xdr:colOff>400050</xdr:colOff>
      <xdr:row>24</xdr:row>
      <xdr:rowOff>104775</xdr:rowOff>
    </xdr:from>
    <xdr:to>
      <xdr:col>0</xdr:col>
      <xdr:colOff>609600</xdr:colOff>
      <xdr:row>26</xdr:row>
      <xdr:rowOff>209550</xdr:rowOff>
    </xdr:to>
    <xdr:sp macro="" textlink="">
      <xdr:nvSpPr>
        <xdr:cNvPr id="14" name="RPM">
          <a:extLst>
            <a:ext uri="{FF2B5EF4-FFF2-40B4-BE49-F238E27FC236}">
              <a16:creationId xmlns:a16="http://schemas.microsoft.com/office/drawing/2014/main" id="{20F13FEE-AA4C-4946-A918-C952069F05C2}"/>
            </a:ext>
          </a:extLst>
        </xdr:cNvPr>
        <xdr:cNvSpPr txBox="1">
          <a:spLocks noChangeArrowheads="1"/>
        </xdr:cNvSpPr>
      </xdr:nvSpPr>
      <xdr:spPr bwMode="auto">
        <a:xfrm>
          <a:off x="400050" y="5905500"/>
          <a:ext cx="209550" cy="581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RPM</a:t>
          </a:r>
        </a:p>
      </xdr:txBody>
    </xdr:sp>
    <xdr:clientData/>
  </xdr:twoCellAnchor>
  <xdr:twoCellAnchor>
    <xdr:from>
      <xdr:col>5</xdr:col>
      <xdr:colOff>352425</xdr:colOff>
      <xdr:row>16</xdr:row>
      <xdr:rowOff>58510</xdr:rowOff>
    </xdr:from>
    <xdr:to>
      <xdr:col>5</xdr:col>
      <xdr:colOff>868866</xdr:colOff>
      <xdr:row>17</xdr:row>
      <xdr:rowOff>38100</xdr:rowOff>
    </xdr:to>
    <xdr:sp macro="" textlink="">
      <xdr:nvSpPr>
        <xdr:cNvPr id="15" name="Watts11">
          <a:extLst>
            <a:ext uri="{FF2B5EF4-FFF2-40B4-BE49-F238E27FC236}">
              <a16:creationId xmlns:a16="http://schemas.microsoft.com/office/drawing/2014/main" id="{4AA94BED-3EA2-446E-9B94-4202A28B8EE2}"/>
            </a:ext>
          </a:extLst>
        </xdr:cNvPr>
        <xdr:cNvSpPr txBox="1">
          <a:spLocks noChangeArrowheads="1"/>
        </xdr:cNvSpPr>
      </xdr:nvSpPr>
      <xdr:spPr bwMode="auto">
        <a:xfrm>
          <a:off x="5924550" y="3954235"/>
          <a:ext cx="516441" cy="21771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1000</a:t>
          </a:r>
        </a:p>
      </xdr:txBody>
    </xdr:sp>
    <xdr:clientData/>
  </xdr:twoCellAnchor>
  <xdr:twoCellAnchor>
    <xdr:from>
      <xdr:col>5</xdr:col>
      <xdr:colOff>381000</xdr:colOff>
      <xdr:row>24</xdr:row>
      <xdr:rowOff>209550</xdr:rowOff>
    </xdr:from>
    <xdr:to>
      <xdr:col>5</xdr:col>
      <xdr:colOff>963652</xdr:colOff>
      <xdr:row>25</xdr:row>
      <xdr:rowOff>200026</xdr:rowOff>
    </xdr:to>
    <xdr:sp macro="" textlink="">
      <xdr:nvSpPr>
        <xdr:cNvPr id="16" name="Watts6">
          <a:extLst>
            <a:ext uri="{FF2B5EF4-FFF2-40B4-BE49-F238E27FC236}">
              <a16:creationId xmlns:a16="http://schemas.microsoft.com/office/drawing/2014/main" id="{D615A2AF-AE57-4C0A-BA53-559E2F654197}"/>
            </a:ext>
          </a:extLst>
        </xdr:cNvPr>
        <xdr:cNvSpPr txBox="1">
          <a:spLocks noChangeArrowheads="1"/>
        </xdr:cNvSpPr>
      </xdr:nvSpPr>
      <xdr:spPr bwMode="auto">
        <a:xfrm>
          <a:off x="5953125" y="6010275"/>
          <a:ext cx="582652" cy="22860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500</a:t>
          </a:r>
        </a:p>
      </xdr:txBody>
    </xdr:sp>
    <xdr:clientData/>
  </xdr:twoCellAnchor>
  <xdr:twoCellAnchor>
    <xdr:from>
      <xdr:col>5</xdr:col>
      <xdr:colOff>371475</xdr:colOff>
      <xdr:row>26</xdr:row>
      <xdr:rowOff>153760</xdr:rowOff>
    </xdr:from>
    <xdr:to>
      <xdr:col>5</xdr:col>
      <xdr:colOff>887916</xdr:colOff>
      <xdr:row>27</xdr:row>
      <xdr:rowOff>133350</xdr:rowOff>
    </xdr:to>
    <xdr:sp macro="" textlink="">
      <xdr:nvSpPr>
        <xdr:cNvPr id="17" name="Watts5">
          <a:extLst>
            <a:ext uri="{FF2B5EF4-FFF2-40B4-BE49-F238E27FC236}">
              <a16:creationId xmlns:a16="http://schemas.microsoft.com/office/drawing/2014/main" id="{45FB7109-B3A7-4E25-A5EF-FB91A8C12417}"/>
            </a:ext>
          </a:extLst>
        </xdr:cNvPr>
        <xdr:cNvSpPr txBox="1">
          <a:spLocks noChangeArrowheads="1"/>
        </xdr:cNvSpPr>
      </xdr:nvSpPr>
      <xdr:spPr bwMode="auto">
        <a:xfrm>
          <a:off x="5943600" y="6430735"/>
          <a:ext cx="516441" cy="21771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400</a:t>
          </a:r>
        </a:p>
      </xdr:txBody>
    </xdr:sp>
    <xdr:clientData/>
  </xdr:twoCellAnchor>
  <xdr:twoCellAnchor>
    <xdr:from>
      <xdr:col>5</xdr:col>
      <xdr:colOff>381000</xdr:colOff>
      <xdr:row>28</xdr:row>
      <xdr:rowOff>87085</xdr:rowOff>
    </xdr:from>
    <xdr:to>
      <xdr:col>5</xdr:col>
      <xdr:colOff>897441</xdr:colOff>
      <xdr:row>29</xdr:row>
      <xdr:rowOff>66675</xdr:rowOff>
    </xdr:to>
    <xdr:sp macro="" textlink="">
      <xdr:nvSpPr>
        <xdr:cNvPr id="18" name="Watts4">
          <a:extLst>
            <a:ext uri="{FF2B5EF4-FFF2-40B4-BE49-F238E27FC236}">
              <a16:creationId xmlns:a16="http://schemas.microsoft.com/office/drawing/2014/main" id="{1BC24B1C-7A85-4181-9B29-3283884657CE}"/>
            </a:ext>
          </a:extLst>
        </xdr:cNvPr>
        <xdr:cNvSpPr txBox="1">
          <a:spLocks noChangeArrowheads="1"/>
        </xdr:cNvSpPr>
      </xdr:nvSpPr>
      <xdr:spPr bwMode="auto">
        <a:xfrm>
          <a:off x="5953125" y="6840310"/>
          <a:ext cx="516441" cy="21771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300</a:t>
          </a:r>
        </a:p>
      </xdr:txBody>
    </xdr:sp>
    <xdr:clientData/>
  </xdr:twoCellAnchor>
  <xdr:twoCellAnchor>
    <xdr:from>
      <xdr:col>5</xdr:col>
      <xdr:colOff>371475</xdr:colOff>
      <xdr:row>30</xdr:row>
      <xdr:rowOff>10885</xdr:rowOff>
    </xdr:from>
    <xdr:to>
      <xdr:col>5</xdr:col>
      <xdr:colOff>887916</xdr:colOff>
      <xdr:row>30</xdr:row>
      <xdr:rowOff>228600</xdr:rowOff>
    </xdr:to>
    <xdr:sp macro="" textlink="">
      <xdr:nvSpPr>
        <xdr:cNvPr id="19" name="Watts3">
          <a:extLst>
            <a:ext uri="{FF2B5EF4-FFF2-40B4-BE49-F238E27FC236}">
              <a16:creationId xmlns:a16="http://schemas.microsoft.com/office/drawing/2014/main" id="{F12B5CA8-283B-4143-8DCB-70DCA0655D35}"/>
            </a:ext>
          </a:extLst>
        </xdr:cNvPr>
        <xdr:cNvSpPr txBox="1">
          <a:spLocks noChangeArrowheads="1"/>
        </xdr:cNvSpPr>
      </xdr:nvSpPr>
      <xdr:spPr bwMode="auto">
        <a:xfrm>
          <a:off x="5943600" y="7240360"/>
          <a:ext cx="516441" cy="21771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200</a:t>
          </a:r>
        </a:p>
      </xdr:txBody>
    </xdr:sp>
    <xdr:clientData/>
  </xdr:twoCellAnchor>
  <xdr:twoCellAnchor>
    <xdr:from>
      <xdr:col>5</xdr:col>
      <xdr:colOff>371475</xdr:colOff>
      <xdr:row>31</xdr:row>
      <xdr:rowOff>191860</xdr:rowOff>
    </xdr:from>
    <xdr:to>
      <xdr:col>5</xdr:col>
      <xdr:colOff>887916</xdr:colOff>
      <xdr:row>32</xdr:row>
      <xdr:rowOff>171450</xdr:rowOff>
    </xdr:to>
    <xdr:sp macro="" textlink="">
      <xdr:nvSpPr>
        <xdr:cNvPr id="20" name="Watts2">
          <a:extLst>
            <a:ext uri="{FF2B5EF4-FFF2-40B4-BE49-F238E27FC236}">
              <a16:creationId xmlns:a16="http://schemas.microsoft.com/office/drawing/2014/main" id="{5AD9933E-36D6-4569-B993-96EEE007514C}"/>
            </a:ext>
          </a:extLst>
        </xdr:cNvPr>
        <xdr:cNvSpPr txBox="1">
          <a:spLocks noChangeArrowheads="1"/>
        </xdr:cNvSpPr>
      </xdr:nvSpPr>
      <xdr:spPr bwMode="auto">
        <a:xfrm>
          <a:off x="5943600" y="7659460"/>
          <a:ext cx="516441" cy="21771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100</a:t>
          </a:r>
        </a:p>
      </xdr:txBody>
    </xdr:sp>
    <xdr:clientData/>
  </xdr:twoCellAnchor>
  <xdr:twoCellAnchor>
    <xdr:from>
      <xdr:col>5</xdr:col>
      <xdr:colOff>762000</xdr:colOff>
      <xdr:row>23</xdr:row>
      <xdr:rowOff>9525</xdr:rowOff>
    </xdr:from>
    <xdr:to>
      <xdr:col>5</xdr:col>
      <xdr:colOff>981075</xdr:colOff>
      <xdr:row>28</xdr:row>
      <xdr:rowOff>142875</xdr:rowOff>
    </xdr:to>
    <xdr:sp macro="" textlink="">
      <xdr:nvSpPr>
        <xdr:cNvPr id="21" name="Input Watts">
          <a:extLst>
            <a:ext uri="{FF2B5EF4-FFF2-40B4-BE49-F238E27FC236}">
              <a16:creationId xmlns:a16="http://schemas.microsoft.com/office/drawing/2014/main" id="{F701F411-592A-4BDF-910E-49A737FA58A5}"/>
            </a:ext>
          </a:extLst>
        </xdr:cNvPr>
        <xdr:cNvSpPr txBox="1">
          <a:spLocks noChangeArrowheads="1"/>
        </xdr:cNvSpPr>
      </xdr:nvSpPr>
      <xdr:spPr bwMode="auto">
        <a:xfrm>
          <a:off x="6334125" y="5572125"/>
          <a:ext cx="219075" cy="1323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Input Watts (kW)</a:t>
          </a:r>
        </a:p>
      </xdr:txBody>
    </xdr:sp>
    <xdr:clientData/>
  </xdr:twoCellAnchor>
  <xdr:twoCellAnchor>
    <xdr:from>
      <xdr:col>5</xdr:col>
      <xdr:colOff>371475</xdr:colOff>
      <xdr:row>23</xdr:row>
      <xdr:rowOff>39460</xdr:rowOff>
    </xdr:from>
    <xdr:to>
      <xdr:col>5</xdr:col>
      <xdr:colOff>887916</xdr:colOff>
      <xdr:row>24</xdr:row>
      <xdr:rowOff>19050</xdr:rowOff>
    </xdr:to>
    <xdr:sp macro="" textlink="">
      <xdr:nvSpPr>
        <xdr:cNvPr id="22" name="Watts7">
          <a:extLst>
            <a:ext uri="{FF2B5EF4-FFF2-40B4-BE49-F238E27FC236}">
              <a16:creationId xmlns:a16="http://schemas.microsoft.com/office/drawing/2014/main" id="{BA5DA8BA-D983-4153-99BF-C67F940B811C}"/>
            </a:ext>
          </a:extLst>
        </xdr:cNvPr>
        <xdr:cNvSpPr txBox="1">
          <a:spLocks noChangeArrowheads="1"/>
        </xdr:cNvSpPr>
      </xdr:nvSpPr>
      <xdr:spPr bwMode="auto">
        <a:xfrm>
          <a:off x="5943600" y="5602060"/>
          <a:ext cx="516441" cy="21771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600</a:t>
          </a:r>
        </a:p>
      </xdr:txBody>
    </xdr:sp>
    <xdr:clientData/>
  </xdr:twoCellAnchor>
  <xdr:twoCellAnchor>
    <xdr:from>
      <xdr:col>5</xdr:col>
      <xdr:colOff>371475</xdr:colOff>
      <xdr:row>21</xdr:row>
      <xdr:rowOff>106135</xdr:rowOff>
    </xdr:from>
    <xdr:to>
      <xdr:col>5</xdr:col>
      <xdr:colOff>887916</xdr:colOff>
      <xdr:row>22</xdr:row>
      <xdr:rowOff>85725</xdr:rowOff>
    </xdr:to>
    <xdr:sp macro="" textlink="">
      <xdr:nvSpPr>
        <xdr:cNvPr id="23" name="Watts8">
          <a:extLst>
            <a:ext uri="{FF2B5EF4-FFF2-40B4-BE49-F238E27FC236}">
              <a16:creationId xmlns:a16="http://schemas.microsoft.com/office/drawing/2014/main" id="{759C699D-F2C7-4237-85BC-CF815D129983}"/>
            </a:ext>
          </a:extLst>
        </xdr:cNvPr>
        <xdr:cNvSpPr txBox="1">
          <a:spLocks noChangeArrowheads="1"/>
        </xdr:cNvSpPr>
      </xdr:nvSpPr>
      <xdr:spPr bwMode="auto">
        <a:xfrm>
          <a:off x="5943600" y="5192485"/>
          <a:ext cx="516441" cy="21771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700</a:t>
          </a:r>
        </a:p>
      </xdr:txBody>
    </xdr:sp>
    <xdr:clientData/>
  </xdr:twoCellAnchor>
  <xdr:twoCellAnchor>
    <xdr:from>
      <xdr:col>5</xdr:col>
      <xdr:colOff>361950</xdr:colOff>
      <xdr:row>19</xdr:row>
      <xdr:rowOff>172810</xdr:rowOff>
    </xdr:from>
    <xdr:to>
      <xdr:col>5</xdr:col>
      <xdr:colOff>878391</xdr:colOff>
      <xdr:row>20</xdr:row>
      <xdr:rowOff>152400</xdr:rowOff>
    </xdr:to>
    <xdr:sp macro="" textlink="">
      <xdr:nvSpPr>
        <xdr:cNvPr id="24" name="Watts9">
          <a:extLst>
            <a:ext uri="{FF2B5EF4-FFF2-40B4-BE49-F238E27FC236}">
              <a16:creationId xmlns:a16="http://schemas.microsoft.com/office/drawing/2014/main" id="{6155F17C-B825-4806-AD71-B9AEE49E5DE9}"/>
            </a:ext>
          </a:extLst>
        </xdr:cNvPr>
        <xdr:cNvSpPr txBox="1">
          <a:spLocks noChangeArrowheads="1"/>
        </xdr:cNvSpPr>
      </xdr:nvSpPr>
      <xdr:spPr bwMode="auto">
        <a:xfrm>
          <a:off x="5934075" y="4782910"/>
          <a:ext cx="516441" cy="21771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800</a:t>
          </a:r>
        </a:p>
      </xdr:txBody>
    </xdr:sp>
    <xdr:clientData/>
  </xdr:twoCellAnchor>
  <xdr:twoCellAnchor>
    <xdr:from>
      <xdr:col>5</xdr:col>
      <xdr:colOff>361950</xdr:colOff>
      <xdr:row>18</xdr:row>
      <xdr:rowOff>1360</xdr:rowOff>
    </xdr:from>
    <xdr:to>
      <xdr:col>5</xdr:col>
      <xdr:colOff>878391</xdr:colOff>
      <xdr:row>18</xdr:row>
      <xdr:rowOff>219075</xdr:rowOff>
    </xdr:to>
    <xdr:sp macro="" textlink="">
      <xdr:nvSpPr>
        <xdr:cNvPr id="25" name="Watts10">
          <a:extLst>
            <a:ext uri="{FF2B5EF4-FFF2-40B4-BE49-F238E27FC236}">
              <a16:creationId xmlns:a16="http://schemas.microsoft.com/office/drawing/2014/main" id="{39F84E1B-85AE-4698-850A-31D46319752F}"/>
            </a:ext>
          </a:extLst>
        </xdr:cNvPr>
        <xdr:cNvSpPr txBox="1">
          <a:spLocks noChangeArrowheads="1"/>
        </xdr:cNvSpPr>
      </xdr:nvSpPr>
      <xdr:spPr bwMode="auto">
        <a:xfrm>
          <a:off x="5934075" y="4373335"/>
          <a:ext cx="516441" cy="21771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900</a:t>
          </a:r>
        </a:p>
      </xdr:txBody>
    </xdr:sp>
    <xdr:clientData/>
  </xdr:twoCellAnchor>
  <xdr:twoCellAnchor>
    <xdr:from>
      <xdr:col>2</xdr:col>
      <xdr:colOff>857250</xdr:colOff>
      <xdr:row>17</xdr:row>
      <xdr:rowOff>19050</xdr:rowOff>
    </xdr:from>
    <xdr:to>
      <xdr:col>3</xdr:col>
      <xdr:colOff>85725</xdr:colOff>
      <xdr:row>17</xdr:row>
      <xdr:rowOff>161925</xdr:rowOff>
    </xdr:to>
    <xdr:sp macro="" textlink="" fLocksText="0">
      <xdr:nvSpPr>
        <xdr:cNvPr id="26" name="Text Box 26">
          <a:extLst>
            <a:ext uri="{FF2B5EF4-FFF2-40B4-BE49-F238E27FC236}">
              <a16:creationId xmlns:a16="http://schemas.microsoft.com/office/drawing/2014/main" id="{8E20507B-1700-4755-9F24-8C5DC3C07086}"/>
            </a:ext>
          </a:extLst>
        </xdr:cNvPr>
        <xdr:cNvSpPr txBox="1">
          <a:spLocks noChangeArrowheads="1"/>
        </xdr:cNvSpPr>
      </xdr:nvSpPr>
      <xdr:spPr bwMode="auto">
        <a:xfrm>
          <a:off x="3086100" y="4152900"/>
          <a:ext cx="342900" cy="1428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EFF.</a:t>
          </a:r>
        </a:p>
      </xdr:txBody>
    </xdr:sp>
    <xdr:clientData fLocksWithSheet="0"/>
  </xdr:twoCellAnchor>
  <xdr:twoCellAnchor>
    <xdr:from>
      <xdr:col>3</xdr:col>
      <xdr:colOff>904875</xdr:colOff>
      <xdr:row>19</xdr:row>
      <xdr:rowOff>133350</xdr:rowOff>
    </xdr:from>
    <xdr:to>
      <xdr:col>4</xdr:col>
      <xdr:colOff>123825</xdr:colOff>
      <xdr:row>20</xdr:row>
      <xdr:rowOff>66675</xdr:rowOff>
    </xdr:to>
    <xdr:sp macro="" textlink="" fLocksText="0">
      <xdr:nvSpPr>
        <xdr:cNvPr id="27" name="Text Box 27">
          <a:extLst>
            <a:ext uri="{FF2B5EF4-FFF2-40B4-BE49-F238E27FC236}">
              <a16:creationId xmlns:a16="http://schemas.microsoft.com/office/drawing/2014/main" id="{5EDC9FFF-11EF-4E76-9E19-BE6C54EACAD5}"/>
            </a:ext>
          </a:extLst>
        </xdr:cNvPr>
        <xdr:cNvSpPr txBox="1">
          <a:spLocks noChangeArrowheads="1"/>
        </xdr:cNvSpPr>
      </xdr:nvSpPr>
      <xdr:spPr bwMode="auto">
        <a:xfrm>
          <a:off x="4248150" y="4743450"/>
          <a:ext cx="33337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P.F.</a:t>
          </a:r>
        </a:p>
      </xdr:txBody>
    </xdr:sp>
    <xdr:clientData fLocksWithSheet="0"/>
  </xdr:twoCellAnchor>
  <xdr:twoCellAnchor>
    <xdr:from>
      <xdr:col>2</xdr:col>
      <xdr:colOff>838200</xdr:colOff>
      <xdr:row>23</xdr:row>
      <xdr:rowOff>38100</xdr:rowOff>
    </xdr:from>
    <xdr:to>
      <xdr:col>3</xdr:col>
      <xdr:colOff>66675</xdr:colOff>
      <xdr:row>23</xdr:row>
      <xdr:rowOff>180975</xdr:rowOff>
    </xdr:to>
    <xdr:sp macro="" textlink="" fLocksText="0">
      <xdr:nvSpPr>
        <xdr:cNvPr id="28" name="Speed">
          <a:extLst>
            <a:ext uri="{FF2B5EF4-FFF2-40B4-BE49-F238E27FC236}">
              <a16:creationId xmlns:a16="http://schemas.microsoft.com/office/drawing/2014/main" id="{B807D0F9-458A-45B7-88DB-C1A57EA0781C}"/>
            </a:ext>
          </a:extLst>
        </xdr:cNvPr>
        <xdr:cNvSpPr txBox="1">
          <a:spLocks noChangeArrowheads="1"/>
        </xdr:cNvSpPr>
      </xdr:nvSpPr>
      <xdr:spPr bwMode="auto">
        <a:xfrm>
          <a:off x="3067050" y="5600700"/>
          <a:ext cx="342900" cy="1428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RPM</a:t>
          </a:r>
        </a:p>
      </xdr:txBody>
    </xdr:sp>
    <xdr:clientData fLocksWithSheet="0"/>
  </xdr:twoCellAnchor>
  <xdr:twoCellAnchor>
    <xdr:from>
      <xdr:col>1</xdr:col>
      <xdr:colOff>1000125</xdr:colOff>
      <xdr:row>29</xdr:row>
      <xdr:rowOff>28575</xdr:rowOff>
    </xdr:from>
    <xdr:to>
      <xdr:col>2</xdr:col>
      <xdr:colOff>323850</xdr:colOff>
      <xdr:row>29</xdr:row>
      <xdr:rowOff>180975</xdr:rowOff>
    </xdr:to>
    <xdr:sp macro="" textlink="" fLocksText="0">
      <xdr:nvSpPr>
        <xdr:cNvPr id="29" name="Amps">
          <a:extLst>
            <a:ext uri="{FF2B5EF4-FFF2-40B4-BE49-F238E27FC236}">
              <a16:creationId xmlns:a16="http://schemas.microsoft.com/office/drawing/2014/main" id="{BABDF119-FD2C-4DF9-980F-306F53CEA071}"/>
            </a:ext>
          </a:extLst>
        </xdr:cNvPr>
        <xdr:cNvSpPr txBox="1">
          <a:spLocks noChangeArrowheads="1"/>
        </xdr:cNvSpPr>
      </xdr:nvSpPr>
      <xdr:spPr bwMode="auto">
        <a:xfrm>
          <a:off x="2114550" y="7019925"/>
          <a:ext cx="438150" cy="1524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AMPS</a:t>
          </a:r>
        </a:p>
      </xdr:txBody>
    </xdr:sp>
    <xdr:clientData fLocksWithSheet="0"/>
  </xdr:twoCellAnchor>
  <xdr:twoCellAnchor>
    <xdr:from>
      <xdr:col>3</xdr:col>
      <xdr:colOff>304800</xdr:colOff>
      <xdr:row>30</xdr:row>
      <xdr:rowOff>9525</xdr:rowOff>
    </xdr:from>
    <xdr:to>
      <xdr:col>3</xdr:col>
      <xdr:colOff>809625</xdr:colOff>
      <xdr:row>30</xdr:row>
      <xdr:rowOff>161925</xdr:rowOff>
    </xdr:to>
    <xdr:sp macro="" textlink="" fLocksText="0">
      <xdr:nvSpPr>
        <xdr:cNvPr id="30" name="Watts">
          <a:extLst>
            <a:ext uri="{FF2B5EF4-FFF2-40B4-BE49-F238E27FC236}">
              <a16:creationId xmlns:a16="http://schemas.microsoft.com/office/drawing/2014/main" id="{90915F5F-C841-4F9B-A82D-F73376F9982F}"/>
            </a:ext>
          </a:extLst>
        </xdr:cNvPr>
        <xdr:cNvSpPr txBox="1">
          <a:spLocks noChangeArrowheads="1"/>
        </xdr:cNvSpPr>
      </xdr:nvSpPr>
      <xdr:spPr bwMode="auto">
        <a:xfrm>
          <a:off x="3648075" y="7239000"/>
          <a:ext cx="504825" cy="1524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WATTS</a:t>
          </a:r>
        </a:p>
      </xdr:txBody>
    </xdr:sp>
    <xdr:clientData fLocksWithSheet="0"/>
  </xdr:twoCellAnchor>
  <xdr:twoCellAnchor>
    <xdr:from>
      <xdr:col>5</xdr:col>
      <xdr:colOff>361950</xdr:colOff>
      <xdr:row>33</xdr:row>
      <xdr:rowOff>114300</xdr:rowOff>
    </xdr:from>
    <xdr:to>
      <xdr:col>5</xdr:col>
      <xdr:colOff>904875</xdr:colOff>
      <xdr:row>34</xdr:row>
      <xdr:rowOff>104776</xdr:rowOff>
    </xdr:to>
    <xdr:sp macro="" textlink="">
      <xdr:nvSpPr>
        <xdr:cNvPr id="31" name="Watts1">
          <a:extLst>
            <a:ext uri="{FF2B5EF4-FFF2-40B4-BE49-F238E27FC236}">
              <a16:creationId xmlns:a16="http://schemas.microsoft.com/office/drawing/2014/main" id="{FA983527-8C3E-432B-BB88-D9A7CDE0C65D}"/>
            </a:ext>
          </a:extLst>
        </xdr:cNvPr>
        <xdr:cNvSpPr txBox="1">
          <a:spLocks noChangeArrowheads="1"/>
        </xdr:cNvSpPr>
      </xdr:nvSpPr>
      <xdr:spPr bwMode="auto">
        <a:xfrm>
          <a:off x="5934075" y="8058150"/>
          <a:ext cx="542925" cy="22860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0</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71"/>
  <sheetViews>
    <sheetView zoomScale="95" zoomScaleNormal="95" workbookViewId="0"/>
  </sheetViews>
  <sheetFormatPr defaultRowHeight="12.75"/>
  <cols>
    <col min="1" max="6" width="12.28515625" customWidth="1"/>
    <col min="7" max="7" width="12.42578125" customWidth="1"/>
    <col min="8" max="8" width="12.7109375" customWidth="1"/>
    <col min="9" max="10" width="12.28515625" customWidth="1"/>
    <col min="257" max="262" width="12.28515625" customWidth="1"/>
    <col min="263" max="263" width="12.42578125" customWidth="1"/>
    <col min="264" max="264" width="12.7109375" customWidth="1"/>
    <col min="265" max="266" width="12.28515625" customWidth="1"/>
    <col min="513" max="518" width="12.28515625" customWidth="1"/>
    <col min="519" max="519" width="12.42578125" customWidth="1"/>
    <col min="520" max="520" width="12.7109375" customWidth="1"/>
    <col min="521" max="522" width="12.28515625" customWidth="1"/>
    <col min="769" max="774" width="12.28515625" customWidth="1"/>
    <col min="775" max="775" width="12.42578125" customWidth="1"/>
    <col min="776" max="776" width="12.7109375" customWidth="1"/>
    <col min="777" max="778" width="12.28515625" customWidth="1"/>
    <col min="1025" max="1030" width="12.28515625" customWidth="1"/>
    <col min="1031" max="1031" width="12.42578125" customWidth="1"/>
    <col min="1032" max="1032" width="12.7109375" customWidth="1"/>
    <col min="1033" max="1034" width="12.28515625" customWidth="1"/>
    <col min="1281" max="1286" width="12.28515625" customWidth="1"/>
    <col min="1287" max="1287" width="12.42578125" customWidth="1"/>
    <col min="1288" max="1288" width="12.7109375" customWidth="1"/>
    <col min="1289" max="1290" width="12.28515625" customWidth="1"/>
    <col min="1537" max="1542" width="12.28515625" customWidth="1"/>
    <col min="1543" max="1543" width="12.42578125" customWidth="1"/>
    <col min="1544" max="1544" width="12.7109375" customWidth="1"/>
    <col min="1545" max="1546" width="12.28515625" customWidth="1"/>
    <col min="1793" max="1798" width="12.28515625" customWidth="1"/>
    <col min="1799" max="1799" width="12.42578125" customWidth="1"/>
    <col min="1800" max="1800" width="12.7109375" customWidth="1"/>
    <col min="1801" max="1802" width="12.28515625" customWidth="1"/>
    <col min="2049" max="2054" width="12.28515625" customWidth="1"/>
    <col min="2055" max="2055" width="12.42578125" customWidth="1"/>
    <col min="2056" max="2056" width="12.7109375" customWidth="1"/>
    <col min="2057" max="2058" width="12.28515625" customWidth="1"/>
    <col min="2305" max="2310" width="12.28515625" customWidth="1"/>
    <col min="2311" max="2311" width="12.42578125" customWidth="1"/>
    <col min="2312" max="2312" width="12.7109375" customWidth="1"/>
    <col min="2313" max="2314" width="12.28515625" customWidth="1"/>
    <col min="2561" max="2566" width="12.28515625" customWidth="1"/>
    <col min="2567" max="2567" width="12.42578125" customWidth="1"/>
    <col min="2568" max="2568" width="12.7109375" customWidth="1"/>
    <col min="2569" max="2570" width="12.28515625" customWidth="1"/>
    <col min="2817" max="2822" width="12.28515625" customWidth="1"/>
    <col min="2823" max="2823" width="12.42578125" customWidth="1"/>
    <col min="2824" max="2824" width="12.7109375" customWidth="1"/>
    <col min="2825" max="2826" width="12.28515625" customWidth="1"/>
    <col min="3073" max="3078" width="12.28515625" customWidth="1"/>
    <col min="3079" max="3079" width="12.42578125" customWidth="1"/>
    <col min="3080" max="3080" width="12.7109375" customWidth="1"/>
    <col min="3081" max="3082" width="12.28515625" customWidth="1"/>
    <col min="3329" max="3334" width="12.28515625" customWidth="1"/>
    <col min="3335" max="3335" width="12.42578125" customWidth="1"/>
    <col min="3336" max="3336" width="12.7109375" customWidth="1"/>
    <col min="3337" max="3338" width="12.28515625" customWidth="1"/>
    <col min="3585" max="3590" width="12.28515625" customWidth="1"/>
    <col min="3591" max="3591" width="12.42578125" customWidth="1"/>
    <col min="3592" max="3592" width="12.7109375" customWidth="1"/>
    <col min="3593" max="3594" width="12.28515625" customWidth="1"/>
    <col min="3841" max="3846" width="12.28515625" customWidth="1"/>
    <col min="3847" max="3847" width="12.42578125" customWidth="1"/>
    <col min="3848" max="3848" width="12.7109375" customWidth="1"/>
    <col min="3849" max="3850" width="12.28515625" customWidth="1"/>
    <col min="4097" max="4102" width="12.28515625" customWidth="1"/>
    <col min="4103" max="4103" width="12.42578125" customWidth="1"/>
    <col min="4104" max="4104" width="12.7109375" customWidth="1"/>
    <col min="4105" max="4106" width="12.28515625" customWidth="1"/>
    <col min="4353" max="4358" width="12.28515625" customWidth="1"/>
    <col min="4359" max="4359" width="12.42578125" customWidth="1"/>
    <col min="4360" max="4360" width="12.7109375" customWidth="1"/>
    <col min="4361" max="4362" width="12.28515625" customWidth="1"/>
    <col min="4609" max="4614" width="12.28515625" customWidth="1"/>
    <col min="4615" max="4615" width="12.42578125" customWidth="1"/>
    <col min="4616" max="4616" width="12.7109375" customWidth="1"/>
    <col min="4617" max="4618" width="12.28515625" customWidth="1"/>
    <col min="4865" max="4870" width="12.28515625" customWidth="1"/>
    <col min="4871" max="4871" width="12.42578125" customWidth="1"/>
    <col min="4872" max="4872" width="12.7109375" customWidth="1"/>
    <col min="4873" max="4874" width="12.28515625" customWidth="1"/>
    <col min="5121" max="5126" width="12.28515625" customWidth="1"/>
    <col min="5127" max="5127" width="12.42578125" customWidth="1"/>
    <col min="5128" max="5128" width="12.7109375" customWidth="1"/>
    <col min="5129" max="5130" width="12.28515625" customWidth="1"/>
    <col min="5377" max="5382" width="12.28515625" customWidth="1"/>
    <col min="5383" max="5383" width="12.42578125" customWidth="1"/>
    <col min="5384" max="5384" width="12.7109375" customWidth="1"/>
    <col min="5385" max="5386" width="12.28515625" customWidth="1"/>
    <col min="5633" max="5638" width="12.28515625" customWidth="1"/>
    <col min="5639" max="5639" width="12.42578125" customWidth="1"/>
    <col min="5640" max="5640" width="12.7109375" customWidth="1"/>
    <col min="5641" max="5642" width="12.28515625" customWidth="1"/>
    <col min="5889" max="5894" width="12.28515625" customWidth="1"/>
    <col min="5895" max="5895" width="12.42578125" customWidth="1"/>
    <col min="5896" max="5896" width="12.7109375" customWidth="1"/>
    <col min="5897" max="5898" width="12.28515625" customWidth="1"/>
    <col min="6145" max="6150" width="12.28515625" customWidth="1"/>
    <col min="6151" max="6151" width="12.42578125" customWidth="1"/>
    <col min="6152" max="6152" width="12.7109375" customWidth="1"/>
    <col min="6153" max="6154" width="12.28515625" customWidth="1"/>
    <col min="6401" max="6406" width="12.28515625" customWidth="1"/>
    <col min="6407" max="6407" width="12.42578125" customWidth="1"/>
    <col min="6408" max="6408" width="12.7109375" customWidth="1"/>
    <col min="6409" max="6410" width="12.28515625" customWidth="1"/>
    <col min="6657" max="6662" width="12.28515625" customWidth="1"/>
    <col min="6663" max="6663" width="12.42578125" customWidth="1"/>
    <col min="6664" max="6664" width="12.7109375" customWidth="1"/>
    <col min="6665" max="6666" width="12.28515625" customWidth="1"/>
    <col min="6913" max="6918" width="12.28515625" customWidth="1"/>
    <col min="6919" max="6919" width="12.42578125" customWidth="1"/>
    <col min="6920" max="6920" width="12.7109375" customWidth="1"/>
    <col min="6921" max="6922" width="12.28515625" customWidth="1"/>
    <col min="7169" max="7174" width="12.28515625" customWidth="1"/>
    <col min="7175" max="7175" width="12.42578125" customWidth="1"/>
    <col min="7176" max="7176" width="12.7109375" customWidth="1"/>
    <col min="7177" max="7178" width="12.28515625" customWidth="1"/>
    <col min="7425" max="7430" width="12.28515625" customWidth="1"/>
    <col min="7431" max="7431" width="12.42578125" customWidth="1"/>
    <col min="7432" max="7432" width="12.7109375" customWidth="1"/>
    <col min="7433" max="7434" width="12.28515625" customWidth="1"/>
    <col min="7681" max="7686" width="12.28515625" customWidth="1"/>
    <col min="7687" max="7687" width="12.42578125" customWidth="1"/>
    <col min="7688" max="7688" width="12.7109375" customWidth="1"/>
    <col min="7689" max="7690" width="12.28515625" customWidth="1"/>
    <col min="7937" max="7942" width="12.28515625" customWidth="1"/>
    <col min="7943" max="7943" width="12.42578125" customWidth="1"/>
    <col min="7944" max="7944" width="12.7109375" customWidth="1"/>
    <col min="7945" max="7946" width="12.28515625" customWidth="1"/>
    <col min="8193" max="8198" width="12.28515625" customWidth="1"/>
    <col min="8199" max="8199" width="12.42578125" customWidth="1"/>
    <col min="8200" max="8200" width="12.7109375" customWidth="1"/>
    <col min="8201" max="8202" width="12.28515625" customWidth="1"/>
    <col min="8449" max="8454" width="12.28515625" customWidth="1"/>
    <col min="8455" max="8455" width="12.42578125" customWidth="1"/>
    <col min="8456" max="8456" width="12.7109375" customWidth="1"/>
    <col min="8457" max="8458" width="12.28515625" customWidth="1"/>
    <col min="8705" max="8710" width="12.28515625" customWidth="1"/>
    <col min="8711" max="8711" width="12.42578125" customWidth="1"/>
    <col min="8712" max="8712" width="12.7109375" customWidth="1"/>
    <col min="8713" max="8714" width="12.28515625" customWidth="1"/>
    <col min="8961" max="8966" width="12.28515625" customWidth="1"/>
    <col min="8967" max="8967" width="12.42578125" customWidth="1"/>
    <col min="8968" max="8968" width="12.7109375" customWidth="1"/>
    <col min="8969" max="8970" width="12.28515625" customWidth="1"/>
    <col min="9217" max="9222" width="12.28515625" customWidth="1"/>
    <col min="9223" max="9223" width="12.42578125" customWidth="1"/>
    <col min="9224" max="9224" width="12.7109375" customWidth="1"/>
    <col min="9225" max="9226" width="12.28515625" customWidth="1"/>
    <col min="9473" max="9478" width="12.28515625" customWidth="1"/>
    <col min="9479" max="9479" width="12.42578125" customWidth="1"/>
    <col min="9480" max="9480" width="12.7109375" customWidth="1"/>
    <col min="9481" max="9482" width="12.28515625" customWidth="1"/>
    <col min="9729" max="9734" width="12.28515625" customWidth="1"/>
    <col min="9735" max="9735" width="12.42578125" customWidth="1"/>
    <col min="9736" max="9736" width="12.7109375" customWidth="1"/>
    <col min="9737" max="9738" width="12.28515625" customWidth="1"/>
    <col min="9985" max="9990" width="12.28515625" customWidth="1"/>
    <col min="9991" max="9991" width="12.42578125" customWidth="1"/>
    <col min="9992" max="9992" width="12.7109375" customWidth="1"/>
    <col min="9993" max="9994" width="12.28515625" customWidth="1"/>
    <col min="10241" max="10246" width="12.28515625" customWidth="1"/>
    <col min="10247" max="10247" width="12.42578125" customWidth="1"/>
    <col min="10248" max="10248" width="12.7109375" customWidth="1"/>
    <col min="10249" max="10250" width="12.28515625" customWidth="1"/>
    <col min="10497" max="10502" width="12.28515625" customWidth="1"/>
    <col min="10503" max="10503" width="12.42578125" customWidth="1"/>
    <col min="10504" max="10504" width="12.7109375" customWidth="1"/>
    <col min="10505" max="10506" width="12.28515625" customWidth="1"/>
    <col min="10753" max="10758" width="12.28515625" customWidth="1"/>
    <col min="10759" max="10759" width="12.42578125" customWidth="1"/>
    <col min="10760" max="10760" width="12.7109375" customWidth="1"/>
    <col min="10761" max="10762" width="12.28515625" customWidth="1"/>
    <col min="11009" max="11014" width="12.28515625" customWidth="1"/>
    <col min="11015" max="11015" width="12.42578125" customWidth="1"/>
    <col min="11016" max="11016" width="12.7109375" customWidth="1"/>
    <col min="11017" max="11018" width="12.28515625" customWidth="1"/>
    <col min="11265" max="11270" width="12.28515625" customWidth="1"/>
    <col min="11271" max="11271" width="12.42578125" customWidth="1"/>
    <col min="11272" max="11272" width="12.7109375" customWidth="1"/>
    <col min="11273" max="11274" width="12.28515625" customWidth="1"/>
    <col min="11521" max="11526" width="12.28515625" customWidth="1"/>
    <col min="11527" max="11527" width="12.42578125" customWidth="1"/>
    <col min="11528" max="11528" width="12.7109375" customWidth="1"/>
    <col min="11529" max="11530" width="12.28515625" customWidth="1"/>
    <col min="11777" max="11782" width="12.28515625" customWidth="1"/>
    <col min="11783" max="11783" width="12.42578125" customWidth="1"/>
    <col min="11784" max="11784" width="12.7109375" customWidth="1"/>
    <col min="11785" max="11786" width="12.28515625" customWidth="1"/>
    <col min="12033" max="12038" width="12.28515625" customWidth="1"/>
    <col min="12039" max="12039" width="12.42578125" customWidth="1"/>
    <col min="12040" max="12040" width="12.7109375" customWidth="1"/>
    <col min="12041" max="12042" width="12.28515625" customWidth="1"/>
    <col min="12289" max="12294" width="12.28515625" customWidth="1"/>
    <col min="12295" max="12295" width="12.42578125" customWidth="1"/>
    <col min="12296" max="12296" width="12.7109375" customWidth="1"/>
    <col min="12297" max="12298" width="12.28515625" customWidth="1"/>
    <col min="12545" max="12550" width="12.28515625" customWidth="1"/>
    <col min="12551" max="12551" width="12.42578125" customWidth="1"/>
    <col min="12552" max="12552" width="12.7109375" customWidth="1"/>
    <col min="12553" max="12554" width="12.28515625" customWidth="1"/>
    <col min="12801" max="12806" width="12.28515625" customWidth="1"/>
    <col min="12807" max="12807" width="12.42578125" customWidth="1"/>
    <col min="12808" max="12808" width="12.7109375" customWidth="1"/>
    <col min="12809" max="12810" width="12.28515625" customWidth="1"/>
    <col min="13057" max="13062" width="12.28515625" customWidth="1"/>
    <col min="13063" max="13063" width="12.42578125" customWidth="1"/>
    <col min="13064" max="13064" width="12.7109375" customWidth="1"/>
    <col min="13065" max="13066" width="12.28515625" customWidth="1"/>
    <col min="13313" max="13318" width="12.28515625" customWidth="1"/>
    <col min="13319" max="13319" width="12.42578125" customWidth="1"/>
    <col min="13320" max="13320" width="12.7109375" customWidth="1"/>
    <col min="13321" max="13322" width="12.28515625" customWidth="1"/>
    <col min="13569" max="13574" width="12.28515625" customWidth="1"/>
    <col min="13575" max="13575" width="12.42578125" customWidth="1"/>
    <col min="13576" max="13576" width="12.7109375" customWidth="1"/>
    <col min="13577" max="13578" width="12.28515625" customWidth="1"/>
    <col min="13825" max="13830" width="12.28515625" customWidth="1"/>
    <col min="13831" max="13831" width="12.42578125" customWidth="1"/>
    <col min="13832" max="13832" width="12.7109375" customWidth="1"/>
    <col min="13833" max="13834" width="12.28515625" customWidth="1"/>
    <col min="14081" max="14086" width="12.28515625" customWidth="1"/>
    <col min="14087" max="14087" width="12.42578125" customWidth="1"/>
    <col min="14088" max="14088" width="12.7109375" customWidth="1"/>
    <col min="14089" max="14090" width="12.28515625" customWidth="1"/>
    <col min="14337" max="14342" width="12.28515625" customWidth="1"/>
    <col min="14343" max="14343" width="12.42578125" customWidth="1"/>
    <col min="14344" max="14344" width="12.7109375" customWidth="1"/>
    <col min="14345" max="14346" width="12.28515625" customWidth="1"/>
    <col min="14593" max="14598" width="12.28515625" customWidth="1"/>
    <col min="14599" max="14599" width="12.42578125" customWidth="1"/>
    <col min="14600" max="14600" width="12.7109375" customWidth="1"/>
    <col min="14601" max="14602" width="12.28515625" customWidth="1"/>
    <col min="14849" max="14854" width="12.28515625" customWidth="1"/>
    <col min="14855" max="14855" width="12.42578125" customWidth="1"/>
    <col min="14856" max="14856" width="12.7109375" customWidth="1"/>
    <col min="14857" max="14858" width="12.28515625" customWidth="1"/>
    <col min="15105" max="15110" width="12.28515625" customWidth="1"/>
    <col min="15111" max="15111" width="12.42578125" customWidth="1"/>
    <col min="15112" max="15112" width="12.7109375" customWidth="1"/>
    <col min="15113" max="15114" width="12.28515625" customWidth="1"/>
    <col min="15361" max="15366" width="12.28515625" customWidth="1"/>
    <col min="15367" max="15367" width="12.42578125" customWidth="1"/>
    <col min="15368" max="15368" width="12.7109375" customWidth="1"/>
    <col min="15369" max="15370" width="12.28515625" customWidth="1"/>
    <col min="15617" max="15622" width="12.28515625" customWidth="1"/>
    <col min="15623" max="15623" width="12.42578125" customWidth="1"/>
    <col min="15624" max="15624" width="12.7109375" customWidth="1"/>
    <col min="15625" max="15626" width="12.28515625" customWidth="1"/>
    <col min="15873" max="15878" width="12.28515625" customWidth="1"/>
    <col min="15879" max="15879" width="12.42578125" customWidth="1"/>
    <col min="15880" max="15880" width="12.7109375" customWidth="1"/>
    <col min="15881" max="15882" width="12.28515625" customWidth="1"/>
    <col min="16129" max="16134" width="12.28515625" customWidth="1"/>
    <col min="16135" max="16135" width="12.42578125" customWidth="1"/>
    <col min="16136" max="16136" width="12.7109375" customWidth="1"/>
    <col min="16137" max="16138" width="12.28515625" customWidth="1"/>
  </cols>
  <sheetData>
    <row r="1" spans="1:10" ht="18.75">
      <c r="A1" s="142" t="s">
        <v>165</v>
      </c>
      <c r="B1" s="143"/>
      <c r="C1" s="143"/>
      <c r="D1" s="143"/>
      <c r="E1" s="143"/>
      <c r="F1" s="143"/>
      <c r="G1" s="143"/>
      <c r="H1" s="143"/>
      <c r="I1" s="144" t="s">
        <v>166</v>
      </c>
      <c r="J1" s="144" t="s">
        <v>167</v>
      </c>
    </row>
    <row r="2" spans="1:10" ht="18.75">
      <c r="A2" s="142" t="s">
        <v>168</v>
      </c>
      <c r="B2" s="143"/>
      <c r="C2" s="143"/>
      <c r="D2" s="143"/>
      <c r="E2" s="143"/>
      <c r="F2" s="143"/>
      <c r="G2" s="143"/>
      <c r="H2" s="143"/>
      <c r="I2" s="143"/>
      <c r="J2" s="145" t="s">
        <v>169</v>
      </c>
    </row>
    <row r="3" spans="1:10" ht="15" customHeight="1" thickBot="1">
      <c r="A3" s="146" t="s">
        <v>132</v>
      </c>
      <c r="B3" s="147" t="s">
        <v>170</v>
      </c>
      <c r="C3" s="148"/>
      <c r="D3" s="146"/>
      <c r="E3" s="148"/>
      <c r="F3" s="148"/>
      <c r="G3" s="146" t="s">
        <v>129</v>
      </c>
      <c r="H3" s="149">
        <v>40312</v>
      </c>
      <c r="I3" s="146" t="s">
        <v>171</v>
      </c>
      <c r="J3" s="150">
        <v>0.42236111111111113</v>
      </c>
    </row>
    <row r="4" spans="1:10" ht="15" customHeight="1">
      <c r="A4" s="151" t="s">
        <v>172</v>
      </c>
      <c r="B4" s="151" t="s">
        <v>173</v>
      </c>
      <c r="C4" s="151" t="s">
        <v>163</v>
      </c>
      <c r="D4" s="151" t="s">
        <v>174</v>
      </c>
      <c r="E4" s="151" t="s">
        <v>175</v>
      </c>
      <c r="F4" s="151" t="s">
        <v>176</v>
      </c>
      <c r="G4" s="151" t="s">
        <v>177</v>
      </c>
      <c r="H4" s="151" t="s">
        <v>178</v>
      </c>
      <c r="I4" s="151" t="s">
        <v>179</v>
      </c>
      <c r="J4" s="151" t="s">
        <v>180</v>
      </c>
    </row>
    <row r="5" spans="1:10" ht="15" customHeight="1" thickBot="1">
      <c r="A5" s="152">
        <v>2</v>
      </c>
      <c r="B5" s="153">
        <v>450.00001636331268</v>
      </c>
      <c r="C5" s="154">
        <v>3600</v>
      </c>
      <c r="D5" s="152" t="s">
        <v>33</v>
      </c>
      <c r="E5" s="154">
        <v>4000</v>
      </c>
      <c r="F5" s="154">
        <v>60</v>
      </c>
      <c r="G5" s="152">
        <v>105</v>
      </c>
      <c r="H5" s="155" t="s">
        <v>181</v>
      </c>
      <c r="I5" s="156" t="s">
        <v>182</v>
      </c>
      <c r="J5" s="152">
        <v>5011</v>
      </c>
    </row>
    <row r="6" spans="1:10" ht="15" customHeight="1" thickBot="1">
      <c r="A6" s="157" t="s">
        <v>183</v>
      </c>
      <c r="B6" s="158"/>
      <c r="C6" s="159"/>
      <c r="D6" s="160" t="s">
        <v>184</v>
      </c>
      <c r="E6" s="161"/>
      <c r="F6" s="162"/>
      <c r="G6" s="163"/>
      <c r="H6" s="164" t="s">
        <v>185</v>
      </c>
      <c r="I6" s="165"/>
      <c r="J6" s="166"/>
    </row>
    <row r="7" spans="1:10" ht="15" customHeight="1" thickBot="1">
      <c r="A7" s="167"/>
      <c r="B7" s="168" t="s">
        <v>186</v>
      </c>
      <c r="C7" s="169" t="s">
        <v>187</v>
      </c>
      <c r="D7" s="167"/>
      <c r="E7" s="165"/>
      <c r="F7" s="168" t="s">
        <v>188</v>
      </c>
      <c r="G7" s="169" t="s">
        <v>189</v>
      </c>
      <c r="H7" s="170" t="s">
        <v>190</v>
      </c>
      <c r="I7" s="171">
        <v>23.935923809523807</v>
      </c>
      <c r="J7" s="172" t="s">
        <v>191</v>
      </c>
    </row>
    <row r="8" spans="1:10" ht="15" customHeight="1">
      <c r="A8" s="173" t="s">
        <v>192</v>
      </c>
      <c r="B8" s="174">
        <v>2.5</v>
      </c>
      <c r="C8" s="175"/>
      <c r="D8" s="173"/>
      <c r="E8" s="176"/>
      <c r="F8" s="168"/>
      <c r="G8" s="169"/>
      <c r="H8" s="170" t="s">
        <v>193</v>
      </c>
      <c r="I8" s="171">
        <v>29.105907352941177</v>
      </c>
      <c r="J8" s="177" t="s">
        <v>194</v>
      </c>
    </row>
    <row r="9" spans="1:10" ht="15" customHeight="1" thickBot="1">
      <c r="A9" s="173" t="s">
        <v>195</v>
      </c>
      <c r="B9" s="174">
        <v>0.93000000715255737</v>
      </c>
      <c r="C9" s="175"/>
      <c r="D9" s="173" t="s">
        <v>196</v>
      </c>
      <c r="E9" s="178" t="s">
        <v>197</v>
      </c>
      <c r="F9" s="179" t="s">
        <v>198</v>
      </c>
      <c r="G9" s="180"/>
      <c r="H9" s="170" t="s">
        <v>199</v>
      </c>
      <c r="I9" s="174">
        <v>26.520915581232494</v>
      </c>
      <c r="J9" s="181">
        <v>673.00826580699254</v>
      </c>
    </row>
    <row r="10" spans="1:10" ht="15" customHeight="1">
      <c r="A10" s="173" t="s">
        <v>200</v>
      </c>
      <c r="B10" s="174">
        <v>530</v>
      </c>
      <c r="C10" s="182">
        <v>530</v>
      </c>
      <c r="D10" s="173"/>
      <c r="E10" s="176"/>
      <c r="F10" s="183" t="s">
        <v>201</v>
      </c>
      <c r="G10" s="184" t="s">
        <v>202</v>
      </c>
      <c r="H10" s="170" t="s">
        <v>203</v>
      </c>
      <c r="I10" s="171">
        <v>14.249203859215459</v>
      </c>
      <c r="J10" s="177" t="s">
        <v>204</v>
      </c>
    </row>
    <row r="11" spans="1:10" ht="15" customHeight="1" thickBot="1">
      <c r="A11" s="173" t="s">
        <v>205</v>
      </c>
      <c r="B11" s="174">
        <v>550</v>
      </c>
      <c r="C11" s="182">
        <v>315</v>
      </c>
      <c r="D11" s="173" t="s">
        <v>206</v>
      </c>
      <c r="E11" s="171">
        <v>0.61898571428571425</v>
      </c>
      <c r="F11" s="185"/>
      <c r="G11" s="186" t="s">
        <v>207</v>
      </c>
      <c r="H11" s="170" t="s">
        <v>208</v>
      </c>
      <c r="I11" s="171">
        <v>29.105907352941177</v>
      </c>
      <c r="J11" s="181">
        <v>16836.703278388861</v>
      </c>
    </row>
    <row r="12" spans="1:10" ht="15" customHeight="1">
      <c r="A12" s="173" t="s">
        <v>209</v>
      </c>
      <c r="B12" s="174">
        <v>320</v>
      </c>
      <c r="C12" s="182">
        <v>135</v>
      </c>
      <c r="D12" s="173" t="s">
        <v>210</v>
      </c>
      <c r="E12" s="187" t="s">
        <v>18</v>
      </c>
      <c r="F12" s="188"/>
      <c r="G12" s="189" t="s">
        <v>211</v>
      </c>
      <c r="H12" s="170" t="s">
        <v>212</v>
      </c>
      <c r="I12" s="171">
        <v>1.2045253251459203</v>
      </c>
      <c r="J12" s="177" t="s">
        <v>213</v>
      </c>
    </row>
    <row r="13" spans="1:10" ht="15" customHeight="1" thickBot="1">
      <c r="A13" s="173" t="s">
        <v>214</v>
      </c>
      <c r="B13" s="174">
        <v>59</v>
      </c>
      <c r="C13" s="182">
        <v>46.700000762939453</v>
      </c>
      <c r="D13" s="173" t="s">
        <v>215</v>
      </c>
      <c r="E13" s="190">
        <v>16</v>
      </c>
      <c r="F13" s="188"/>
      <c r="G13" s="189" t="s">
        <v>216</v>
      </c>
      <c r="H13" s="170" t="s">
        <v>217</v>
      </c>
      <c r="I13" s="171">
        <v>1</v>
      </c>
      <c r="J13" s="181">
        <v>58.060497283935547</v>
      </c>
    </row>
    <row r="14" spans="1:10" ht="15" customHeight="1" thickBot="1">
      <c r="A14" s="191" t="s">
        <v>218</v>
      </c>
      <c r="B14" s="192">
        <v>492.89999389648438</v>
      </c>
      <c r="C14" s="193">
        <v>492.89999389648438</v>
      </c>
      <c r="D14" s="173" t="s">
        <v>219</v>
      </c>
      <c r="E14" s="176" t="s">
        <v>220</v>
      </c>
      <c r="F14" s="176"/>
      <c r="G14" s="189"/>
      <c r="H14" s="146" t="s">
        <v>221</v>
      </c>
      <c r="I14" s="171">
        <v>1.2045253251459203</v>
      </c>
      <c r="J14" s="177" t="s">
        <v>222</v>
      </c>
    </row>
    <row r="15" spans="1:10" ht="15" customHeight="1" thickBot="1">
      <c r="A15" s="194" t="s">
        <v>223</v>
      </c>
      <c r="B15" s="195"/>
      <c r="C15" s="196"/>
      <c r="D15" s="173" t="s">
        <v>224</v>
      </c>
      <c r="E15" s="176" t="s">
        <v>18</v>
      </c>
      <c r="F15" s="176"/>
      <c r="G15" s="189"/>
      <c r="H15" s="170" t="s">
        <v>225</v>
      </c>
      <c r="I15" s="171">
        <v>0.82618353059296434</v>
      </c>
      <c r="J15" s="181">
        <v>20.620256696428573</v>
      </c>
    </row>
    <row r="16" spans="1:10" ht="15" customHeight="1">
      <c r="A16" s="173" t="s">
        <v>226</v>
      </c>
      <c r="B16" s="176">
        <v>42</v>
      </c>
      <c r="C16" s="175">
        <v>34</v>
      </c>
      <c r="D16" s="173" t="s">
        <v>227</v>
      </c>
      <c r="E16" s="176">
        <v>1</v>
      </c>
      <c r="F16" s="176"/>
      <c r="G16" s="189"/>
      <c r="H16" s="170" t="s">
        <v>228</v>
      </c>
      <c r="I16" s="171">
        <v>0.9556462151235352</v>
      </c>
      <c r="J16" s="197" t="s">
        <v>229</v>
      </c>
    </row>
    <row r="17" spans="1:10" ht="15" customHeight="1" thickBot="1">
      <c r="A17" s="173" t="s">
        <v>230</v>
      </c>
      <c r="B17" s="176" t="s">
        <v>231</v>
      </c>
      <c r="C17" s="175" t="s">
        <v>232</v>
      </c>
      <c r="D17" s="147" t="s">
        <v>233</v>
      </c>
      <c r="E17" s="176" t="s">
        <v>234</v>
      </c>
      <c r="F17" s="176"/>
      <c r="G17" s="189"/>
      <c r="H17" s="170" t="s">
        <v>235</v>
      </c>
      <c r="I17" s="171">
        <v>0.78953916400856583</v>
      </c>
      <c r="J17" s="181">
        <v>388.10616374595236</v>
      </c>
    </row>
    <row r="18" spans="1:10" ht="15" customHeight="1">
      <c r="A18" s="173" t="s">
        <v>236</v>
      </c>
      <c r="B18" s="176" t="s">
        <v>18</v>
      </c>
      <c r="C18" s="182">
        <v>0</v>
      </c>
      <c r="D18" s="173" t="s">
        <v>237</v>
      </c>
      <c r="E18" s="198">
        <v>1127</v>
      </c>
      <c r="F18" s="190">
        <v>575</v>
      </c>
      <c r="G18" s="199"/>
      <c r="H18" s="194" t="s">
        <v>238</v>
      </c>
      <c r="I18" s="200" t="s">
        <v>239</v>
      </c>
      <c r="J18" s="201"/>
    </row>
    <row r="19" spans="1:10" ht="15" customHeight="1">
      <c r="A19" s="173" t="s">
        <v>240</v>
      </c>
      <c r="B19" s="174">
        <v>56</v>
      </c>
      <c r="C19" s="182">
        <v>43.299999237060547</v>
      </c>
      <c r="D19" s="173" t="s">
        <v>241</v>
      </c>
      <c r="E19" s="190">
        <v>224</v>
      </c>
      <c r="F19" s="176"/>
      <c r="G19" s="175"/>
      <c r="H19" s="202"/>
      <c r="I19" s="168" t="s">
        <v>242</v>
      </c>
      <c r="J19" s="203" t="s">
        <v>243</v>
      </c>
    </row>
    <row r="20" spans="1:10" ht="15" customHeight="1">
      <c r="A20" s="173" t="s">
        <v>244</v>
      </c>
      <c r="B20" s="174" t="s">
        <v>245</v>
      </c>
      <c r="C20" s="182"/>
      <c r="D20" s="173" t="s">
        <v>246</v>
      </c>
      <c r="E20" s="204">
        <v>0.18845340714432263</v>
      </c>
      <c r="F20" s="176"/>
      <c r="G20" s="175"/>
      <c r="H20" s="170" t="s">
        <v>247</v>
      </c>
      <c r="I20" s="171">
        <v>17.757232666015625</v>
      </c>
      <c r="J20" s="205">
        <v>17.757232666015625</v>
      </c>
    </row>
    <row r="21" spans="1:10" ht="15" customHeight="1">
      <c r="A21" s="173" t="s">
        <v>248</v>
      </c>
      <c r="B21" s="174">
        <v>14</v>
      </c>
      <c r="C21" s="182">
        <v>0</v>
      </c>
      <c r="D21" s="170" t="s">
        <v>249</v>
      </c>
      <c r="E21" s="204">
        <v>0.25139462367582527</v>
      </c>
      <c r="F21" s="204">
        <v>0.15288753807544708</v>
      </c>
      <c r="G21" s="206">
        <v>6.5311626399794209E-2</v>
      </c>
      <c r="H21" s="170" t="s">
        <v>250</v>
      </c>
      <c r="I21" s="171">
        <v>61.406036376953125</v>
      </c>
      <c r="J21" s="205">
        <v>36.963287353515625</v>
      </c>
    </row>
    <row r="22" spans="1:10" ht="15" customHeight="1">
      <c r="A22" s="173" t="s">
        <v>251</v>
      </c>
      <c r="B22" s="174">
        <v>2.8299999237060547</v>
      </c>
      <c r="C22" s="182">
        <v>0.80000001192092896</v>
      </c>
      <c r="D22" s="173" t="s">
        <v>252</v>
      </c>
      <c r="E22" s="176" t="s">
        <v>253</v>
      </c>
      <c r="F22" s="176" t="s">
        <v>254</v>
      </c>
      <c r="G22" s="175" t="s">
        <v>254</v>
      </c>
      <c r="H22" s="170" t="s">
        <v>255</v>
      </c>
      <c r="I22" s="171">
        <v>5.6205906867980957</v>
      </c>
      <c r="J22" s="205">
        <v>5.4504203796386719</v>
      </c>
    </row>
    <row r="23" spans="1:10" ht="15" customHeight="1">
      <c r="A23" s="173" t="s">
        <v>256</v>
      </c>
      <c r="B23" s="174">
        <v>9.9359235763549805</v>
      </c>
      <c r="C23" s="182">
        <v>10</v>
      </c>
      <c r="D23" s="173" t="s">
        <v>257</v>
      </c>
      <c r="E23" s="171">
        <v>1.7419999837875366</v>
      </c>
      <c r="F23" s="171">
        <v>3.25</v>
      </c>
      <c r="G23" s="205">
        <v>3.25</v>
      </c>
      <c r="H23" s="170" t="s">
        <v>258</v>
      </c>
      <c r="I23" s="171">
        <v>14.745592181463016</v>
      </c>
      <c r="J23" s="169" t="s">
        <v>259</v>
      </c>
    </row>
    <row r="24" spans="1:10" ht="15" customHeight="1">
      <c r="A24" s="173" t="s">
        <v>260</v>
      </c>
      <c r="B24" s="174">
        <v>0</v>
      </c>
      <c r="C24" s="182">
        <v>1.5</v>
      </c>
      <c r="D24" s="173" t="s">
        <v>261</v>
      </c>
      <c r="E24" s="171">
        <v>8.8900003433227539</v>
      </c>
      <c r="F24" s="171">
        <v>2.6700000762939453</v>
      </c>
      <c r="G24" s="205">
        <v>2.6700000762939453</v>
      </c>
      <c r="H24" s="170" t="s">
        <v>262</v>
      </c>
      <c r="I24" s="171">
        <v>7.4034846193423682</v>
      </c>
      <c r="J24" s="205">
        <v>7.2646515432442884</v>
      </c>
    </row>
    <row r="25" spans="1:10" ht="15" customHeight="1">
      <c r="A25" s="173" t="s">
        <v>263</v>
      </c>
      <c r="B25" s="176" t="s">
        <v>18</v>
      </c>
      <c r="C25" s="182">
        <v>1.5</v>
      </c>
      <c r="D25" s="207" t="s">
        <v>264</v>
      </c>
      <c r="E25" s="178"/>
      <c r="F25" s="178"/>
      <c r="G25" s="208"/>
      <c r="H25" s="170" t="s">
        <v>265</v>
      </c>
      <c r="I25" s="171">
        <v>0.46959379315376282</v>
      </c>
      <c r="J25" s="205">
        <v>1.6648468971252441</v>
      </c>
    </row>
    <row r="26" spans="1:10" ht="15" customHeight="1">
      <c r="A26" s="173" t="s">
        <v>266</v>
      </c>
      <c r="B26" s="178" t="s">
        <v>267</v>
      </c>
      <c r="C26" s="208" t="s">
        <v>268</v>
      </c>
      <c r="D26" s="170" t="s">
        <v>269</v>
      </c>
      <c r="E26" s="174">
        <v>157.1126139287731</v>
      </c>
      <c r="F26" s="174">
        <v>21.761342866344865</v>
      </c>
      <c r="G26" s="182">
        <v>10.634464821240249</v>
      </c>
      <c r="H26" s="170" t="s">
        <v>270</v>
      </c>
      <c r="I26" s="171">
        <v>8.2688045501708984</v>
      </c>
      <c r="J26" s="205">
        <v>6.3482284545898438</v>
      </c>
    </row>
    <row r="27" spans="1:10" ht="15" customHeight="1" thickBot="1">
      <c r="A27" s="173" t="s">
        <v>271</v>
      </c>
      <c r="B27" s="176" t="s">
        <v>18</v>
      </c>
      <c r="C27" s="175" t="s">
        <v>18</v>
      </c>
      <c r="D27" s="209" t="s">
        <v>272</v>
      </c>
      <c r="E27" s="210" t="s">
        <v>18</v>
      </c>
      <c r="F27" s="210" t="s">
        <v>18</v>
      </c>
      <c r="G27" s="211" t="s">
        <v>18</v>
      </c>
      <c r="H27" s="209" t="s">
        <v>273</v>
      </c>
      <c r="I27" s="212">
        <v>8.2821283340454102</v>
      </c>
      <c r="J27" s="213">
        <v>6.5629048347473145</v>
      </c>
    </row>
    <row r="28" spans="1:10" ht="15" customHeight="1">
      <c r="A28" s="173" t="s">
        <v>274</v>
      </c>
      <c r="B28" s="148"/>
      <c r="C28" s="214"/>
      <c r="D28" s="194" t="s">
        <v>275</v>
      </c>
      <c r="E28" s="215"/>
      <c r="F28" s="216"/>
      <c r="G28" s="161"/>
      <c r="H28" s="163"/>
      <c r="I28" s="217" t="s">
        <v>276</v>
      </c>
      <c r="J28" s="163"/>
    </row>
    <row r="29" spans="1:10" ht="15" customHeight="1">
      <c r="A29" s="218"/>
      <c r="B29" s="219" t="s">
        <v>277</v>
      </c>
      <c r="C29" s="220">
        <v>42.463138048449601</v>
      </c>
      <c r="D29" s="218"/>
      <c r="E29" s="168" t="s">
        <v>278</v>
      </c>
      <c r="F29" s="168" t="s">
        <v>279</v>
      </c>
      <c r="G29" s="168" t="s">
        <v>280</v>
      </c>
      <c r="H29" s="169" t="s">
        <v>281</v>
      </c>
      <c r="I29" s="168" t="s">
        <v>282</v>
      </c>
      <c r="J29" s="169" t="s">
        <v>283</v>
      </c>
    </row>
    <row r="30" spans="1:10" ht="15" customHeight="1" thickBot="1">
      <c r="A30" s="221"/>
      <c r="B30" s="222" t="s">
        <v>284</v>
      </c>
      <c r="C30" s="223">
        <v>42.489458555759391</v>
      </c>
      <c r="D30" s="170" t="s">
        <v>285</v>
      </c>
      <c r="E30" s="174">
        <v>43.196862500000002</v>
      </c>
      <c r="F30" s="174">
        <v>581.62199279785159</v>
      </c>
      <c r="G30" s="174">
        <v>16.855643968612465</v>
      </c>
      <c r="H30" s="199">
        <v>641.9345022258168</v>
      </c>
      <c r="I30" s="190">
        <v>44858.197882485852</v>
      </c>
      <c r="J30" s="199">
        <v>3707.9445098951855</v>
      </c>
    </row>
    <row r="31" spans="1:10" ht="15" customHeight="1">
      <c r="A31" s="157" t="s">
        <v>286</v>
      </c>
      <c r="B31" s="224"/>
      <c r="C31" s="225"/>
      <c r="D31" s="170" t="s">
        <v>287</v>
      </c>
      <c r="E31" s="174">
        <v>5.6000000000000005</v>
      </c>
      <c r="F31" s="174">
        <v>1028.4575007296742</v>
      </c>
      <c r="G31" s="174">
        <v>9.5323464780605551</v>
      </c>
      <c r="H31" s="199">
        <v>11.617871636729681</v>
      </c>
      <c r="I31" s="190">
        <v>11518.724008172352</v>
      </c>
      <c r="J31" s="199">
        <v>378.15689038852867</v>
      </c>
    </row>
    <row r="32" spans="1:10" ht="15" customHeight="1">
      <c r="A32" s="173" t="s">
        <v>288</v>
      </c>
      <c r="B32" s="171" t="s">
        <v>289</v>
      </c>
      <c r="C32" s="226"/>
      <c r="D32" s="170" t="s">
        <v>290</v>
      </c>
      <c r="E32" s="174">
        <v>17.938479019842148</v>
      </c>
      <c r="F32" s="174">
        <v>682.17359907379137</v>
      </c>
      <c r="G32" s="174">
        <v>14.371141375488801</v>
      </c>
      <c r="H32" s="199">
        <v>135.75757603361751</v>
      </c>
      <c r="I32" s="227" t="s">
        <v>291</v>
      </c>
      <c r="J32" s="199">
        <v>4086.1014002837142</v>
      </c>
    </row>
    <row r="33" spans="1:10" ht="15" customHeight="1">
      <c r="A33" s="173" t="s">
        <v>292</v>
      </c>
      <c r="B33" s="171" t="s">
        <v>293</v>
      </c>
      <c r="C33" s="228" t="s">
        <v>294</v>
      </c>
      <c r="D33" s="170" t="s">
        <v>287</v>
      </c>
      <c r="E33" s="174">
        <v>4.3299999237060547</v>
      </c>
      <c r="F33" s="174">
        <v>837.92998962402351</v>
      </c>
      <c r="G33" s="174">
        <v>11.699799931154535</v>
      </c>
      <c r="H33" s="199">
        <v>16.510018815458857</v>
      </c>
      <c r="I33" s="227" t="s">
        <v>295</v>
      </c>
      <c r="J33" s="182" t="s">
        <v>296</v>
      </c>
    </row>
    <row r="34" spans="1:10" ht="15" customHeight="1" thickBot="1">
      <c r="A34" s="229" t="s">
        <v>297</v>
      </c>
      <c r="B34" s="212" t="s">
        <v>298</v>
      </c>
      <c r="C34" s="230">
        <v>9.8036132349154705</v>
      </c>
      <c r="D34" s="209" t="s">
        <v>192</v>
      </c>
      <c r="E34" s="212">
        <v>0.25</v>
      </c>
      <c r="F34" s="210">
        <v>2211.716320432919</v>
      </c>
      <c r="G34" s="210">
        <v>4.4325816762054373</v>
      </c>
      <c r="H34" s="231">
        <v>881.83485038735114</v>
      </c>
      <c r="I34" s="227" t="s">
        <v>299</v>
      </c>
      <c r="J34" s="182">
        <v>6.0500001907348633</v>
      </c>
    </row>
    <row r="35" spans="1:10" ht="15" customHeight="1">
      <c r="A35" s="194" t="s">
        <v>300</v>
      </c>
      <c r="B35" s="162"/>
      <c r="C35" s="162"/>
      <c r="D35" s="232" t="s">
        <v>301</v>
      </c>
      <c r="E35" s="233" t="s">
        <v>302</v>
      </c>
      <c r="F35" s="163"/>
      <c r="G35" s="234" t="s">
        <v>303</v>
      </c>
      <c r="H35" s="235" t="s">
        <v>304</v>
      </c>
      <c r="I35" s="170" t="s">
        <v>305</v>
      </c>
      <c r="J35" s="199" t="s">
        <v>306</v>
      </c>
    </row>
    <row r="36" spans="1:10" ht="15" customHeight="1">
      <c r="A36" s="173" t="s">
        <v>307</v>
      </c>
      <c r="B36" s="168">
        <v>25</v>
      </c>
      <c r="C36" s="168">
        <v>50</v>
      </c>
      <c r="D36" s="168">
        <v>75</v>
      </c>
      <c r="E36" s="168">
        <v>100</v>
      </c>
      <c r="F36" s="169">
        <v>125</v>
      </c>
      <c r="G36" s="170" t="s">
        <v>308</v>
      </c>
      <c r="H36" s="199" t="s">
        <v>309</v>
      </c>
      <c r="I36" s="170" t="s">
        <v>310</v>
      </c>
      <c r="J36" s="199" t="s">
        <v>311</v>
      </c>
    </row>
    <row r="37" spans="1:10" ht="15" customHeight="1" thickBot="1">
      <c r="A37" s="173" t="s">
        <v>312</v>
      </c>
      <c r="B37" s="174" t="s">
        <v>313</v>
      </c>
      <c r="C37" s="174" t="s">
        <v>314</v>
      </c>
      <c r="D37" s="174" t="s">
        <v>315</v>
      </c>
      <c r="E37" s="174" t="s">
        <v>316</v>
      </c>
      <c r="F37" s="182" t="s">
        <v>317</v>
      </c>
      <c r="G37" s="170" t="s">
        <v>318</v>
      </c>
      <c r="H37" s="199" t="s">
        <v>319</v>
      </c>
      <c r="I37" s="209" t="s">
        <v>320</v>
      </c>
      <c r="J37" s="231" t="s">
        <v>321</v>
      </c>
    </row>
    <row r="38" spans="1:10" ht="15" customHeight="1" thickBot="1">
      <c r="A38" s="173" t="s">
        <v>322</v>
      </c>
      <c r="B38" s="171" t="s">
        <v>323</v>
      </c>
      <c r="C38" s="171" t="s">
        <v>324</v>
      </c>
      <c r="D38" s="171" t="s">
        <v>325</v>
      </c>
      <c r="E38" s="171" t="s">
        <v>326</v>
      </c>
      <c r="F38" s="205" t="s">
        <v>327</v>
      </c>
      <c r="G38" s="229" t="s">
        <v>328</v>
      </c>
      <c r="H38" s="231" t="s">
        <v>329</v>
      </c>
      <c r="I38" s="236" t="s">
        <v>330</v>
      </c>
      <c r="J38" s="237">
        <v>4655.19970703125</v>
      </c>
    </row>
    <row r="39" spans="1:10" ht="15" customHeight="1">
      <c r="A39" s="173" t="s">
        <v>331</v>
      </c>
      <c r="B39" s="171" t="s">
        <v>332</v>
      </c>
      <c r="C39" s="171" t="s">
        <v>333</v>
      </c>
      <c r="D39" s="171" t="s">
        <v>334</v>
      </c>
      <c r="E39" s="171" t="s">
        <v>335</v>
      </c>
      <c r="F39" s="205" t="s">
        <v>336</v>
      </c>
      <c r="G39" s="194" t="s">
        <v>337</v>
      </c>
      <c r="H39" s="162"/>
      <c r="I39" s="238" t="s">
        <v>338</v>
      </c>
      <c r="J39" s="239" t="s">
        <v>161</v>
      </c>
    </row>
    <row r="40" spans="1:10" ht="15" customHeight="1">
      <c r="A40" s="173" t="s">
        <v>338</v>
      </c>
      <c r="B40" s="204" t="s">
        <v>339</v>
      </c>
      <c r="C40" s="204" t="s">
        <v>340</v>
      </c>
      <c r="D40" s="204" t="s">
        <v>341</v>
      </c>
      <c r="E40" s="204" t="s">
        <v>182</v>
      </c>
      <c r="F40" s="206" t="s">
        <v>342</v>
      </c>
      <c r="G40" s="240" t="s">
        <v>343</v>
      </c>
      <c r="H40" s="241" t="s">
        <v>344</v>
      </c>
      <c r="I40" s="242"/>
      <c r="J40" s="243"/>
    </row>
    <row r="41" spans="1:10" ht="15" customHeight="1">
      <c r="A41" s="173" t="s">
        <v>163</v>
      </c>
      <c r="B41" s="190" t="s">
        <v>345</v>
      </c>
      <c r="C41" s="190" t="s">
        <v>346</v>
      </c>
      <c r="D41" s="190" t="s">
        <v>347</v>
      </c>
      <c r="E41" s="190" t="s">
        <v>181</v>
      </c>
      <c r="F41" s="199" t="s">
        <v>348</v>
      </c>
      <c r="G41" s="244" t="s">
        <v>349</v>
      </c>
      <c r="H41" s="245" t="s">
        <v>350</v>
      </c>
      <c r="I41" s="246"/>
      <c r="J41" s="247"/>
    </row>
    <row r="42" spans="1:10" ht="15" customHeight="1">
      <c r="A42" s="173" t="s">
        <v>351</v>
      </c>
      <c r="B42" s="171">
        <v>14.214053984301632</v>
      </c>
      <c r="C42" s="171">
        <v>12.632751426788229</v>
      </c>
      <c r="D42" s="171">
        <v>11.7596520345434</v>
      </c>
      <c r="E42" s="171">
        <v>11.238346396841614</v>
      </c>
      <c r="F42" s="205">
        <v>10.890828587696101</v>
      </c>
      <c r="G42" s="240" t="s">
        <v>352</v>
      </c>
      <c r="H42" s="241" t="s">
        <v>353</v>
      </c>
      <c r="I42" s="242"/>
      <c r="J42" s="248">
        <v>0.25368286649937</v>
      </c>
    </row>
    <row r="43" spans="1:10" ht="15" customHeight="1" thickBot="1">
      <c r="A43" s="229" t="s">
        <v>354</v>
      </c>
      <c r="B43" s="212">
        <v>19.552654511197275</v>
      </c>
      <c r="C43" s="212"/>
      <c r="D43" s="212" t="s">
        <v>355</v>
      </c>
      <c r="E43" s="212"/>
      <c r="F43" s="213"/>
      <c r="G43" s="244" t="s">
        <v>349</v>
      </c>
      <c r="H43" s="245" t="s">
        <v>356</v>
      </c>
      <c r="I43" s="246"/>
      <c r="J43" s="247"/>
    </row>
    <row r="44" spans="1:10" ht="15" customHeight="1">
      <c r="A44" s="249" t="s">
        <v>357</v>
      </c>
      <c r="B44" s="250"/>
      <c r="C44" s="148"/>
      <c r="D44" s="148"/>
      <c r="E44" s="249" t="s">
        <v>358</v>
      </c>
      <c r="F44" s="251"/>
      <c r="G44" s="240" t="s">
        <v>359</v>
      </c>
      <c r="H44" s="252">
        <v>879.26069910444983</v>
      </c>
      <c r="I44" s="253">
        <v>2.6376048401953345E-2</v>
      </c>
      <c r="J44" s="248">
        <v>0.6353636736025059</v>
      </c>
    </row>
    <row r="45" spans="1:10" ht="15" customHeight="1">
      <c r="A45" s="173" t="s">
        <v>360</v>
      </c>
      <c r="B45" s="171">
        <v>0.35541319847106934</v>
      </c>
      <c r="C45" s="254" t="s">
        <v>361</v>
      </c>
      <c r="D45" s="205">
        <v>6.2645794823765755E-3</v>
      </c>
      <c r="E45" s="173" t="s">
        <v>362</v>
      </c>
      <c r="F45" s="199">
        <v>232.6364161423966</v>
      </c>
      <c r="G45" s="255" t="s">
        <v>349</v>
      </c>
      <c r="H45" s="256" t="s">
        <v>363</v>
      </c>
      <c r="I45" s="257"/>
      <c r="J45" s="208"/>
    </row>
    <row r="46" spans="1:10" ht="15" customHeight="1">
      <c r="A46" s="173" t="s">
        <v>364</v>
      </c>
      <c r="B46" s="171">
        <v>0.18072442710399628</v>
      </c>
      <c r="C46" s="254" t="s">
        <v>365</v>
      </c>
      <c r="D46" s="205">
        <v>4.7689988277852535E-3</v>
      </c>
      <c r="E46" s="173" t="s">
        <v>366</v>
      </c>
      <c r="F46" s="199">
        <v>428.44068440834297</v>
      </c>
      <c r="G46" s="244" t="s">
        <v>162</v>
      </c>
      <c r="H46" s="258">
        <v>194.47025571993549</v>
      </c>
      <c r="I46" s="246"/>
      <c r="J46" s="247"/>
    </row>
    <row r="47" spans="1:10" ht="15" customHeight="1">
      <c r="A47" s="173" t="s">
        <v>367</v>
      </c>
      <c r="B47" s="171">
        <v>0.53613764047622681</v>
      </c>
      <c r="C47" s="254" t="s">
        <v>368</v>
      </c>
      <c r="D47" s="205">
        <v>1.638367585837841E-2</v>
      </c>
      <c r="E47" s="173" t="s">
        <v>369</v>
      </c>
      <c r="F47" s="199">
        <v>180.38357300801087</v>
      </c>
      <c r="G47" s="259" t="s">
        <v>370</v>
      </c>
      <c r="H47" s="252">
        <v>856.38411275101328</v>
      </c>
      <c r="I47" s="253">
        <v>2.5669501249931798E-2</v>
      </c>
      <c r="J47" s="260">
        <v>0.64440054745099207</v>
      </c>
    </row>
    <row r="48" spans="1:10" ht="15" customHeight="1">
      <c r="A48" s="173" t="s">
        <v>371</v>
      </c>
      <c r="B48" s="171">
        <v>1.9895276054739952E-2</v>
      </c>
      <c r="C48" s="254" t="s">
        <v>291</v>
      </c>
      <c r="D48" s="205">
        <v>4.7312531620264053E-2</v>
      </c>
      <c r="E48" s="173" t="s">
        <v>372</v>
      </c>
      <c r="F48" s="199">
        <v>4.8965352110466229</v>
      </c>
      <c r="G48" s="261" t="s">
        <v>349</v>
      </c>
      <c r="H48" s="256">
        <v>255.10398618123025</v>
      </c>
      <c r="I48" s="257"/>
      <c r="J48" s="208"/>
    </row>
    <row r="49" spans="1:10" ht="15" customHeight="1" thickBot="1">
      <c r="A49" s="221"/>
      <c r="B49" s="262"/>
      <c r="C49" s="263" t="s">
        <v>160</v>
      </c>
      <c r="D49" s="213">
        <v>0.95268744230270386</v>
      </c>
      <c r="E49" s="229" t="s">
        <v>373</v>
      </c>
      <c r="F49" s="231">
        <v>11.309321325206659</v>
      </c>
      <c r="G49" s="264" t="s">
        <v>162</v>
      </c>
      <c r="H49" s="258">
        <v>191.81358234198677</v>
      </c>
      <c r="I49" s="246"/>
      <c r="J49" s="265"/>
    </row>
    <row r="50" spans="1:10" ht="15" customHeight="1">
      <c r="A50" s="194" t="s">
        <v>374</v>
      </c>
      <c r="B50" s="162"/>
      <c r="C50" s="162"/>
      <c r="D50" s="162"/>
      <c r="E50" s="162"/>
      <c r="F50" s="163"/>
      <c r="G50" s="194" t="s">
        <v>375</v>
      </c>
      <c r="H50" s="162"/>
      <c r="I50" s="161"/>
      <c r="J50" s="225"/>
    </row>
    <row r="51" spans="1:10" ht="15" customHeight="1">
      <c r="A51" s="170" t="s">
        <v>376</v>
      </c>
      <c r="B51" s="176">
        <v>34</v>
      </c>
      <c r="C51" s="227" t="s">
        <v>377</v>
      </c>
      <c r="D51" s="174">
        <v>3</v>
      </c>
      <c r="E51" s="227" t="s">
        <v>378</v>
      </c>
      <c r="F51" s="182">
        <v>10</v>
      </c>
      <c r="G51" s="227" t="s">
        <v>379</v>
      </c>
      <c r="H51" s="204">
        <v>3.7476861976915715E-2</v>
      </c>
      <c r="I51" s="266" t="s">
        <v>380</v>
      </c>
      <c r="J51" s="214"/>
    </row>
    <row r="52" spans="1:10" ht="15" customHeight="1">
      <c r="A52" s="170" t="s">
        <v>240</v>
      </c>
      <c r="B52" s="174">
        <v>43.299999237060547</v>
      </c>
      <c r="C52" s="227" t="s">
        <v>381</v>
      </c>
      <c r="D52" s="174">
        <v>9.4999992251396179</v>
      </c>
      <c r="E52" s="227" t="s">
        <v>382</v>
      </c>
      <c r="F52" s="182">
        <v>0</v>
      </c>
      <c r="G52" s="227" t="s">
        <v>383</v>
      </c>
      <c r="H52" s="174">
        <v>52589.25</v>
      </c>
      <c r="I52" s="267" t="s">
        <v>384</v>
      </c>
      <c r="J52" s="268"/>
    </row>
    <row r="53" spans="1:10" ht="15" customHeight="1">
      <c r="A53" s="170" t="s">
        <v>248</v>
      </c>
      <c r="B53" s="174">
        <v>0</v>
      </c>
      <c r="C53" s="227" t="s">
        <v>385</v>
      </c>
      <c r="D53" s="174">
        <v>16.681331634521484</v>
      </c>
      <c r="E53" s="227" t="s">
        <v>386</v>
      </c>
      <c r="F53" s="182">
        <v>0</v>
      </c>
      <c r="G53" s="227" t="s">
        <v>387</v>
      </c>
      <c r="H53" s="171">
        <v>20.872673325000001</v>
      </c>
      <c r="I53" s="269" t="s">
        <v>388</v>
      </c>
      <c r="J53" s="214"/>
    </row>
    <row r="54" spans="1:10" ht="15" customHeight="1">
      <c r="A54" s="170" t="s">
        <v>251</v>
      </c>
      <c r="B54" s="174">
        <v>0.80000001192092896</v>
      </c>
      <c r="C54" s="227" t="s">
        <v>389</v>
      </c>
      <c r="D54" s="174">
        <v>11.121518047604644</v>
      </c>
      <c r="E54" s="227" t="s">
        <v>386</v>
      </c>
      <c r="F54" s="182">
        <v>10</v>
      </c>
      <c r="G54" s="227" t="s">
        <v>390</v>
      </c>
      <c r="H54" s="190">
        <v>160325</v>
      </c>
      <c r="I54" s="270" t="s">
        <v>391</v>
      </c>
      <c r="J54" s="271" t="s">
        <v>392</v>
      </c>
    </row>
    <row r="55" spans="1:10" ht="15" customHeight="1">
      <c r="A55" s="170" t="s">
        <v>393</v>
      </c>
      <c r="B55" s="174">
        <v>3</v>
      </c>
      <c r="C55" s="227" t="s">
        <v>394</v>
      </c>
      <c r="D55" s="174">
        <v>30</v>
      </c>
      <c r="E55" s="227" t="s">
        <v>395</v>
      </c>
      <c r="F55" s="182">
        <v>0</v>
      </c>
      <c r="G55" s="227" t="s">
        <v>396</v>
      </c>
      <c r="H55" s="174">
        <v>1</v>
      </c>
      <c r="I55" s="269" t="s">
        <v>397</v>
      </c>
      <c r="J55" s="214"/>
    </row>
    <row r="56" spans="1:10" ht="15" customHeight="1" thickBot="1">
      <c r="A56" s="209" t="s">
        <v>398</v>
      </c>
      <c r="B56" s="210">
        <v>1.5</v>
      </c>
      <c r="C56" s="272" t="s">
        <v>399</v>
      </c>
      <c r="D56" s="210">
        <v>25.403669586032311</v>
      </c>
      <c r="E56" s="272" t="s">
        <v>400</v>
      </c>
      <c r="F56" s="211">
        <v>0</v>
      </c>
      <c r="G56" s="272" t="s">
        <v>401</v>
      </c>
      <c r="H56" s="212">
        <v>0.67847857142857138</v>
      </c>
      <c r="I56" s="273" t="s">
        <v>402</v>
      </c>
      <c r="J56" s="265" t="s">
        <v>403</v>
      </c>
    </row>
    <row r="57" spans="1:10" ht="15" customHeight="1">
      <c r="A57" s="157" t="s">
        <v>404</v>
      </c>
      <c r="B57" s="161"/>
      <c r="C57" s="161"/>
      <c r="D57" s="161"/>
      <c r="E57" s="161"/>
      <c r="F57" s="225"/>
      <c r="G57" s="274"/>
      <c r="H57" s="275"/>
      <c r="I57" s="275"/>
      <c r="J57" s="276"/>
    </row>
    <row r="58" spans="1:10" ht="15" customHeight="1">
      <c r="A58" s="277" t="s">
        <v>338</v>
      </c>
      <c r="B58" s="168" t="s">
        <v>405</v>
      </c>
      <c r="C58" s="169" t="s">
        <v>154</v>
      </c>
      <c r="D58" s="168" t="s">
        <v>338</v>
      </c>
      <c r="E58" s="168" t="s">
        <v>405</v>
      </c>
      <c r="F58" s="169" t="s">
        <v>406</v>
      </c>
      <c r="G58" s="278"/>
      <c r="H58" s="279"/>
      <c r="I58" s="279"/>
      <c r="J58" s="280"/>
    </row>
    <row r="59" spans="1:10" ht="15" customHeight="1">
      <c r="A59" s="281">
        <v>0</v>
      </c>
      <c r="B59" s="256">
        <v>0</v>
      </c>
      <c r="C59" s="282">
        <v>0.30468457937240601</v>
      </c>
      <c r="D59" s="283">
        <v>0.69999998807907104</v>
      </c>
      <c r="E59" s="256">
        <v>164.43058675800376</v>
      </c>
      <c r="F59" s="282">
        <v>683.1319580078125</v>
      </c>
      <c r="G59" s="278"/>
      <c r="H59" s="279"/>
      <c r="I59" s="279"/>
      <c r="J59" s="280"/>
    </row>
    <row r="60" spans="1:10" ht="15" customHeight="1">
      <c r="A60" s="284">
        <v>2.0000003278255463E-3</v>
      </c>
      <c r="B60" s="256">
        <v>149.24866256139649</v>
      </c>
      <c r="C60" s="282">
        <v>186.48269653320313</v>
      </c>
      <c r="D60" s="283">
        <v>0.80000001192092896</v>
      </c>
      <c r="E60" s="256">
        <v>170.28850285903093</v>
      </c>
      <c r="F60" s="282">
        <v>689.41552734375</v>
      </c>
      <c r="G60" s="278"/>
      <c r="H60" s="279"/>
      <c r="I60" s="279"/>
      <c r="J60" s="280"/>
    </row>
    <row r="61" spans="1:10" ht="15" customHeight="1">
      <c r="A61" s="284">
        <v>1.0000001639127731E-2</v>
      </c>
      <c r="B61" s="256">
        <v>250</v>
      </c>
      <c r="C61" s="282">
        <v>524.08502197265625</v>
      </c>
      <c r="D61" s="283">
        <v>0.89999997615814209</v>
      </c>
      <c r="E61" s="256">
        <v>180.96489573774099</v>
      </c>
      <c r="F61" s="282">
        <v>694.603515625</v>
      </c>
      <c r="G61" s="278"/>
      <c r="H61" s="279"/>
      <c r="I61" s="279"/>
      <c r="J61" s="280"/>
    </row>
    <row r="62" spans="1:10" ht="15" customHeight="1">
      <c r="A62" s="281">
        <v>6.4444445073604584E-2</v>
      </c>
      <c r="B62" s="256">
        <v>181.82645791408112</v>
      </c>
      <c r="C62" s="282">
        <v>601.06640625</v>
      </c>
      <c r="D62" s="285">
        <v>1</v>
      </c>
      <c r="E62" s="256">
        <v>200</v>
      </c>
      <c r="F62" s="282">
        <v>698.3050537109375</v>
      </c>
      <c r="G62" s="278"/>
      <c r="H62" s="279"/>
      <c r="I62" s="279"/>
      <c r="J62" s="280"/>
    </row>
    <row r="63" spans="1:10" ht="15" customHeight="1">
      <c r="A63" s="281">
        <v>0.11888889968395233</v>
      </c>
      <c r="B63" s="256">
        <v>165.17085249910858</v>
      </c>
      <c r="C63" s="282">
        <v>622.5517578125</v>
      </c>
      <c r="D63" s="286"/>
      <c r="E63" s="287"/>
      <c r="F63" s="115"/>
      <c r="G63" s="278"/>
      <c r="H63" s="279"/>
      <c r="I63" s="279"/>
      <c r="J63" s="280"/>
    </row>
    <row r="64" spans="1:10" ht="15" customHeight="1">
      <c r="A64" s="281">
        <v>0.17333333194255829</v>
      </c>
      <c r="B64" s="256">
        <v>161.49236910202396</v>
      </c>
      <c r="C64" s="282">
        <v>633.2818603515625</v>
      </c>
      <c r="D64" s="286"/>
      <c r="E64" s="287"/>
      <c r="F64" s="115"/>
      <c r="G64" s="278"/>
      <c r="H64" s="279"/>
      <c r="I64" s="279"/>
      <c r="J64" s="280"/>
    </row>
    <row r="65" spans="1:10" ht="15" customHeight="1">
      <c r="A65" s="281">
        <v>0.28222224116325378</v>
      </c>
      <c r="B65" s="256">
        <v>161.06708463561313</v>
      </c>
      <c r="C65" s="282">
        <v>646.8851318359375</v>
      </c>
      <c r="D65" s="286"/>
      <c r="E65" s="287"/>
      <c r="F65" s="282"/>
      <c r="G65" s="278"/>
      <c r="H65" s="279"/>
      <c r="I65" s="279"/>
      <c r="J65" s="280"/>
    </row>
    <row r="66" spans="1:10" ht="15" customHeight="1">
      <c r="A66" s="281">
        <v>0.3911111056804657</v>
      </c>
      <c r="B66" s="256">
        <v>160.59233218109694</v>
      </c>
      <c r="C66" s="282">
        <v>657.76348876953125</v>
      </c>
      <c r="D66" s="286"/>
      <c r="E66" s="287"/>
      <c r="F66" s="282"/>
      <c r="G66" s="278"/>
      <c r="H66" s="279"/>
      <c r="I66" s="279"/>
      <c r="J66" s="280"/>
    </row>
    <row r="67" spans="1:10" ht="15" customHeight="1">
      <c r="A67" s="281">
        <v>0.5</v>
      </c>
      <c r="B67" s="256">
        <v>160</v>
      </c>
      <c r="C67" s="282">
        <v>667.12347412109375</v>
      </c>
      <c r="D67" s="286"/>
      <c r="E67" s="287"/>
      <c r="F67" s="282"/>
      <c r="G67" s="278"/>
      <c r="H67" s="279"/>
      <c r="I67" s="279"/>
      <c r="J67" s="280"/>
    </row>
    <row r="68" spans="1:10" ht="15" customHeight="1" thickBot="1">
      <c r="A68" s="288">
        <v>0.60000002384185791</v>
      </c>
      <c r="B68" s="289">
        <v>161.35362606834053</v>
      </c>
      <c r="C68" s="290">
        <v>675.67401123046875</v>
      </c>
      <c r="D68" s="291"/>
      <c r="E68" s="292"/>
      <c r="F68" s="293"/>
      <c r="G68" s="294"/>
      <c r="H68" s="295"/>
      <c r="I68" s="295"/>
      <c r="J68" s="296"/>
    </row>
    <row r="69" spans="1:10" ht="15" customHeight="1">
      <c r="A69" s="279"/>
      <c r="B69" s="279"/>
      <c r="C69" s="279"/>
      <c r="D69" s="279"/>
      <c r="E69" s="279"/>
      <c r="F69" s="279"/>
      <c r="G69" s="279"/>
      <c r="H69" s="279"/>
      <c r="I69" s="279"/>
      <c r="J69" s="279"/>
    </row>
    <row r="70" spans="1:10" ht="15" customHeight="1">
      <c r="A70" s="279"/>
      <c r="B70" s="279"/>
      <c r="C70" s="279"/>
      <c r="D70" s="279"/>
      <c r="E70" s="279"/>
      <c r="F70" s="279"/>
      <c r="G70" s="279"/>
      <c r="H70" s="279"/>
      <c r="I70" s="279"/>
      <c r="J70" s="279"/>
    </row>
    <row r="71" spans="1:10">
      <c r="A71" s="148"/>
      <c r="B71" s="148"/>
      <c r="C71" s="148"/>
      <c r="D71" s="148"/>
      <c r="E71" s="148"/>
      <c r="F71" s="148"/>
      <c r="G71" s="148"/>
      <c r="H71" s="148"/>
      <c r="I71" s="148"/>
      <c r="J71" s="148"/>
    </row>
  </sheetData>
  <printOptions horizontalCentered="1"/>
  <pageMargins left="0.86614173228346503" right="0" top="0.23622047244094499" bottom="0.23622047244094499" header="0" footer="0"/>
  <pageSetup scale="75" orientation="portrait" horizontalDpi="4294967292" verticalDpi="3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53"/>
  <sheetViews>
    <sheetView tabSelected="1" workbookViewId="0">
      <selection activeCell="M8" sqref="M8"/>
    </sheetView>
  </sheetViews>
  <sheetFormatPr defaultColWidth="11.42578125" defaultRowHeight="15.75"/>
  <cols>
    <col min="1" max="1" width="12.140625" style="438" customWidth="1"/>
    <col min="2" max="2" width="6.140625" style="438" customWidth="1"/>
    <col min="3" max="3" width="7.140625" style="438" customWidth="1"/>
    <col min="4" max="4" width="12.85546875" style="438" customWidth="1"/>
    <col min="5" max="5" width="12.5703125" style="438" customWidth="1"/>
    <col min="6" max="6" width="9.42578125" style="438" customWidth="1"/>
    <col min="7" max="7" width="5.7109375" style="438" customWidth="1"/>
    <col min="8" max="8" width="7.85546875" style="438" customWidth="1"/>
    <col min="9" max="9" width="6.5703125" style="438" customWidth="1"/>
    <col min="10" max="11" width="12" style="438" customWidth="1"/>
    <col min="12" max="26" width="11.42578125" style="297" customWidth="1"/>
    <col min="27" max="256" width="11.42578125" style="298"/>
    <col min="257" max="257" width="12.140625" style="298" customWidth="1"/>
    <col min="258" max="258" width="6.140625" style="298" customWidth="1"/>
    <col min="259" max="259" width="7.140625" style="298" customWidth="1"/>
    <col min="260" max="260" width="12.85546875" style="298" customWidth="1"/>
    <col min="261" max="261" width="12.5703125" style="298" customWidth="1"/>
    <col min="262" max="262" width="9.42578125" style="298" customWidth="1"/>
    <col min="263" max="263" width="5.7109375" style="298" customWidth="1"/>
    <col min="264" max="264" width="7.85546875" style="298" customWidth="1"/>
    <col min="265" max="265" width="6.5703125" style="298" customWidth="1"/>
    <col min="266" max="267" width="12" style="298" customWidth="1"/>
    <col min="268" max="282" width="11.42578125" style="298" customWidth="1"/>
    <col min="283" max="512" width="11.42578125" style="298"/>
    <col min="513" max="513" width="12.140625" style="298" customWidth="1"/>
    <col min="514" max="514" width="6.140625" style="298" customWidth="1"/>
    <col min="515" max="515" width="7.140625" style="298" customWidth="1"/>
    <col min="516" max="516" width="12.85546875" style="298" customWidth="1"/>
    <col min="517" max="517" width="12.5703125" style="298" customWidth="1"/>
    <col min="518" max="518" width="9.42578125" style="298" customWidth="1"/>
    <col min="519" max="519" width="5.7109375" style="298" customWidth="1"/>
    <col min="520" max="520" width="7.85546875" style="298" customWidth="1"/>
    <col min="521" max="521" width="6.5703125" style="298" customWidth="1"/>
    <col min="522" max="523" width="12" style="298" customWidth="1"/>
    <col min="524" max="538" width="11.42578125" style="298" customWidth="1"/>
    <col min="539" max="768" width="11.42578125" style="298"/>
    <col min="769" max="769" width="12.140625" style="298" customWidth="1"/>
    <col min="770" max="770" width="6.140625" style="298" customWidth="1"/>
    <col min="771" max="771" width="7.140625" style="298" customWidth="1"/>
    <col min="772" max="772" width="12.85546875" style="298" customWidth="1"/>
    <col min="773" max="773" width="12.5703125" style="298" customWidth="1"/>
    <col min="774" max="774" width="9.42578125" style="298" customWidth="1"/>
    <col min="775" max="775" width="5.7109375" style="298" customWidth="1"/>
    <col min="776" max="776" width="7.85546875" style="298" customWidth="1"/>
    <col min="777" max="777" width="6.5703125" style="298" customWidth="1"/>
    <col min="778" max="779" width="12" style="298" customWidth="1"/>
    <col min="780" max="794" width="11.42578125" style="298" customWidth="1"/>
    <col min="795" max="1024" width="11.42578125" style="298"/>
    <col min="1025" max="1025" width="12.140625" style="298" customWidth="1"/>
    <col min="1026" max="1026" width="6.140625" style="298" customWidth="1"/>
    <col min="1027" max="1027" width="7.140625" style="298" customWidth="1"/>
    <col min="1028" max="1028" width="12.85546875" style="298" customWidth="1"/>
    <col min="1029" max="1029" width="12.5703125" style="298" customWidth="1"/>
    <col min="1030" max="1030" width="9.42578125" style="298" customWidth="1"/>
    <col min="1031" max="1031" width="5.7109375" style="298" customWidth="1"/>
    <col min="1032" max="1032" width="7.85546875" style="298" customWidth="1"/>
    <col min="1033" max="1033" width="6.5703125" style="298" customWidth="1"/>
    <col min="1034" max="1035" width="12" style="298" customWidth="1"/>
    <col min="1036" max="1050" width="11.42578125" style="298" customWidth="1"/>
    <col min="1051" max="1280" width="11.42578125" style="298"/>
    <col min="1281" max="1281" width="12.140625" style="298" customWidth="1"/>
    <col min="1282" max="1282" width="6.140625" style="298" customWidth="1"/>
    <col min="1283" max="1283" width="7.140625" style="298" customWidth="1"/>
    <col min="1284" max="1284" width="12.85546875" style="298" customWidth="1"/>
    <col min="1285" max="1285" width="12.5703125" style="298" customWidth="1"/>
    <col min="1286" max="1286" width="9.42578125" style="298" customWidth="1"/>
    <col min="1287" max="1287" width="5.7109375" style="298" customWidth="1"/>
    <col min="1288" max="1288" width="7.85546875" style="298" customWidth="1"/>
    <col min="1289" max="1289" width="6.5703125" style="298" customWidth="1"/>
    <col min="1290" max="1291" width="12" style="298" customWidth="1"/>
    <col min="1292" max="1306" width="11.42578125" style="298" customWidth="1"/>
    <col min="1307" max="1536" width="11.42578125" style="298"/>
    <col min="1537" max="1537" width="12.140625" style="298" customWidth="1"/>
    <col min="1538" max="1538" width="6.140625" style="298" customWidth="1"/>
    <col min="1539" max="1539" width="7.140625" style="298" customWidth="1"/>
    <col min="1540" max="1540" width="12.85546875" style="298" customWidth="1"/>
    <col min="1541" max="1541" width="12.5703125" style="298" customWidth="1"/>
    <col min="1542" max="1542" width="9.42578125" style="298" customWidth="1"/>
    <col min="1543" max="1543" width="5.7109375" style="298" customWidth="1"/>
    <col min="1544" max="1544" width="7.85546875" style="298" customWidth="1"/>
    <col min="1545" max="1545" width="6.5703125" style="298" customWidth="1"/>
    <col min="1546" max="1547" width="12" style="298" customWidth="1"/>
    <col min="1548" max="1562" width="11.42578125" style="298" customWidth="1"/>
    <col min="1563" max="1792" width="11.42578125" style="298"/>
    <col min="1793" max="1793" width="12.140625" style="298" customWidth="1"/>
    <col min="1794" max="1794" width="6.140625" style="298" customWidth="1"/>
    <col min="1795" max="1795" width="7.140625" style="298" customWidth="1"/>
    <col min="1796" max="1796" width="12.85546875" style="298" customWidth="1"/>
    <col min="1797" max="1797" width="12.5703125" style="298" customWidth="1"/>
    <col min="1798" max="1798" width="9.42578125" style="298" customWidth="1"/>
    <col min="1799" max="1799" width="5.7109375" style="298" customWidth="1"/>
    <col min="1800" max="1800" width="7.85546875" style="298" customWidth="1"/>
    <col min="1801" max="1801" width="6.5703125" style="298" customWidth="1"/>
    <col min="1802" max="1803" width="12" style="298" customWidth="1"/>
    <col min="1804" max="1818" width="11.42578125" style="298" customWidth="1"/>
    <col min="1819" max="2048" width="11.42578125" style="298"/>
    <col min="2049" max="2049" width="12.140625" style="298" customWidth="1"/>
    <col min="2050" max="2050" width="6.140625" style="298" customWidth="1"/>
    <col min="2051" max="2051" width="7.140625" style="298" customWidth="1"/>
    <col min="2052" max="2052" width="12.85546875" style="298" customWidth="1"/>
    <col min="2053" max="2053" width="12.5703125" style="298" customWidth="1"/>
    <col min="2054" max="2054" width="9.42578125" style="298" customWidth="1"/>
    <col min="2055" max="2055" width="5.7109375" style="298" customWidth="1"/>
    <col min="2056" max="2056" width="7.85546875" style="298" customWidth="1"/>
    <col min="2057" max="2057" width="6.5703125" style="298" customWidth="1"/>
    <col min="2058" max="2059" width="12" style="298" customWidth="1"/>
    <col min="2060" max="2074" width="11.42578125" style="298" customWidth="1"/>
    <col min="2075" max="2304" width="11.42578125" style="298"/>
    <col min="2305" max="2305" width="12.140625" style="298" customWidth="1"/>
    <col min="2306" max="2306" width="6.140625" style="298" customWidth="1"/>
    <col min="2307" max="2307" width="7.140625" style="298" customWidth="1"/>
    <col min="2308" max="2308" width="12.85546875" style="298" customWidth="1"/>
    <col min="2309" max="2309" width="12.5703125" style="298" customWidth="1"/>
    <col min="2310" max="2310" width="9.42578125" style="298" customWidth="1"/>
    <col min="2311" max="2311" width="5.7109375" style="298" customWidth="1"/>
    <col min="2312" max="2312" width="7.85546875" style="298" customWidth="1"/>
    <col min="2313" max="2313" width="6.5703125" style="298" customWidth="1"/>
    <col min="2314" max="2315" width="12" style="298" customWidth="1"/>
    <col min="2316" max="2330" width="11.42578125" style="298" customWidth="1"/>
    <col min="2331" max="2560" width="11.42578125" style="298"/>
    <col min="2561" max="2561" width="12.140625" style="298" customWidth="1"/>
    <col min="2562" max="2562" width="6.140625" style="298" customWidth="1"/>
    <col min="2563" max="2563" width="7.140625" style="298" customWidth="1"/>
    <col min="2564" max="2564" width="12.85546875" style="298" customWidth="1"/>
    <col min="2565" max="2565" width="12.5703125" style="298" customWidth="1"/>
    <col min="2566" max="2566" width="9.42578125" style="298" customWidth="1"/>
    <col min="2567" max="2567" width="5.7109375" style="298" customWidth="1"/>
    <col min="2568" max="2568" width="7.85546875" style="298" customWidth="1"/>
    <col min="2569" max="2569" width="6.5703125" style="298" customWidth="1"/>
    <col min="2570" max="2571" width="12" style="298" customWidth="1"/>
    <col min="2572" max="2586" width="11.42578125" style="298" customWidth="1"/>
    <col min="2587" max="2816" width="11.42578125" style="298"/>
    <col min="2817" max="2817" width="12.140625" style="298" customWidth="1"/>
    <col min="2818" max="2818" width="6.140625" style="298" customWidth="1"/>
    <col min="2819" max="2819" width="7.140625" style="298" customWidth="1"/>
    <col min="2820" max="2820" width="12.85546875" style="298" customWidth="1"/>
    <col min="2821" max="2821" width="12.5703125" style="298" customWidth="1"/>
    <col min="2822" max="2822" width="9.42578125" style="298" customWidth="1"/>
    <col min="2823" max="2823" width="5.7109375" style="298" customWidth="1"/>
    <col min="2824" max="2824" width="7.85546875" style="298" customWidth="1"/>
    <col min="2825" max="2825" width="6.5703125" style="298" customWidth="1"/>
    <col min="2826" max="2827" width="12" style="298" customWidth="1"/>
    <col min="2828" max="2842" width="11.42578125" style="298" customWidth="1"/>
    <col min="2843" max="3072" width="11.42578125" style="298"/>
    <col min="3073" max="3073" width="12.140625" style="298" customWidth="1"/>
    <col min="3074" max="3074" width="6.140625" style="298" customWidth="1"/>
    <col min="3075" max="3075" width="7.140625" style="298" customWidth="1"/>
    <col min="3076" max="3076" width="12.85546875" style="298" customWidth="1"/>
    <col min="3077" max="3077" width="12.5703125" style="298" customWidth="1"/>
    <col min="3078" max="3078" width="9.42578125" style="298" customWidth="1"/>
    <col min="3079" max="3079" width="5.7109375" style="298" customWidth="1"/>
    <col min="3080" max="3080" width="7.85546875" style="298" customWidth="1"/>
    <col min="3081" max="3081" width="6.5703125" style="298" customWidth="1"/>
    <col min="3082" max="3083" width="12" style="298" customWidth="1"/>
    <col min="3084" max="3098" width="11.42578125" style="298" customWidth="1"/>
    <col min="3099" max="3328" width="11.42578125" style="298"/>
    <col min="3329" max="3329" width="12.140625" style="298" customWidth="1"/>
    <col min="3330" max="3330" width="6.140625" style="298" customWidth="1"/>
    <col min="3331" max="3331" width="7.140625" style="298" customWidth="1"/>
    <col min="3332" max="3332" width="12.85546875" style="298" customWidth="1"/>
    <col min="3333" max="3333" width="12.5703125" style="298" customWidth="1"/>
    <col min="3334" max="3334" width="9.42578125" style="298" customWidth="1"/>
    <col min="3335" max="3335" width="5.7109375" style="298" customWidth="1"/>
    <col min="3336" max="3336" width="7.85546875" style="298" customWidth="1"/>
    <col min="3337" max="3337" width="6.5703125" style="298" customWidth="1"/>
    <col min="3338" max="3339" width="12" style="298" customWidth="1"/>
    <col min="3340" max="3354" width="11.42578125" style="298" customWidth="1"/>
    <col min="3355" max="3584" width="11.42578125" style="298"/>
    <col min="3585" max="3585" width="12.140625" style="298" customWidth="1"/>
    <col min="3586" max="3586" width="6.140625" style="298" customWidth="1"/>
    <col min="3587" max="3587" width="7.140625" style="298" customWidth="1"/>
    <col min="3588" max="3588" width="12.85546875" style="298" customWidth="1"/>
    <col min="3589" max="3589" width="12.5703125" style="298" customWidth="1"/>
    <col min="3590" max="3590" width="9.42578125" style="298" customWidth="1"/>
    <col min="3591" max="3591" width="5.7109375" style="298" customWidth="1"/>
    <col min="3592" max="3592" width="7.85546875" style="298" customWidth="1"/>
    <col min="3593" max="3593" width="6.5703125" style="298" customWidth="1"/>
    <col min="3594" max="3595" width="12" style="298" customWidth="1"/>
    <col min="3596" max="3610" width="11.42578125" style="298" customWidth="1"/>
    <col min="3611" max="3840" width="11.42578125" style="298"/>
    <col min="3841" max="3841" width="12.140625" style="298" customWidth="1"/>
    <col min="3842" max="3842" width="6.140625" style="298" customWidth="1"/>
    <col min="3843" max="3843" width="7.140625" style="298" customWidth="1"/>
    <col min="3844" max="3844" width="12.85546875" style="298" customWidth="1"/>
    <col min="3845" max="3845" width="12.5703125" style="298" customWidth="1"/>
    <col min="3846" max="3846" width="9.42578125" style="298" customWidth="1"/>
    <col min="3847" max="3847" width="5.7109375" style="298" customWidth="1"/>
    <col min="3848" max="3848" width="7.85546875" style="298" customWidth="1"/>
    <col min="3849" max="3849" width="6.5703125" style="298" customWidth="1"/>
    <col min="3850" max="3851" width="12" style="298" customWidth="1"/>
    <col min="3852" max="3866" width="11.42578125" style="298" customWidth="1"/>
    <col min="3867" max="4096" width="11.42578125" style="298"/>
    <col min="4097" max="4097" width="12.140625" style="298" customWidth="1"/>
    <col min="4098" max="4098" width="6.140625" style="298" customWidth="1"/>
    <col min="4099" max="4099" width="7.140625" style="298" customWidth="1"/>
    <col min="4100" max="4100" width="12.85546875" style="298" customWidth="1"/>
    <col min="4101" max="4101" width="12.5703125" style="298" customWidth="1"/>
    <col min="4102" max="4102" width="9.42578125" style="298" customWidth="1"/>
    <col min="4103" max="4103" width="5.7109375" style="298" customWidth="1"/>
    <col min="4104" max="4104" width="7.85546875" style="298" customWidth="1"/>
    <col min="4105" max="4105" width="6.5703125" style="298" customWidth="1"/>
    <col min="4106" max="4107" width="12" style="298" customWidth="1"/>
    <col min="4108" max="4122" width="11.42578125" style="298" customWidth="1"/>
    <col min="4123" max="4352" width="11.42578125" style="298"/>
    <col min="4353" max="4353" width="12.140625" style="298" customWidth="1"/>
    <col min="4354" max="4354" width="6.140625" style="298" customWidth="1"/>
    <col min="4355" max="4355" width="7.140625" style="298" customWidth="1"/>
    <col min="4356" max="4356" width="12.85546875" style="298" customWidth="1"/>
    <col min="4357" max="4357" width="12.5703125" style="298" customWidth="1"/>
    <col min="4358" max="4358" width="9.42578125" style="298" customWidth="1"/>
    <col min="4359" max="4359" width="5.7109375" style="298" customWidth="1"/>
    <col min="4360" max="4360" width="7.85546875" style="298" customWidth="1"/>
    <col min="4361" max="4361" width="6.5703125" style="298" customWidth="1"/>
    <col min="4362" max="4363" width="12" style="298" customWidth="1"/>
    <col min="4364" max="4378" width="11.42578125" style="298" customWidth="1"/>
    <col min="4379" max="4608" width="11.42578125" style="298"/>
    <col min="4609" max="4609" width="12.140625" style="298" customWidth="1"/>
    <col min="4610" max="4610" width="6.140625" style="298" customWidth="1"/>
    <col min="4611" max="4611" width="7.140625" style="298" customWidth="1"/>
    <col min="4612" max="4612" width="12.85546875" style="298" customWidth="1"/>
    <col min="4613" max="4613" width="12.5703125" style="298" customWidth="1"/>
    <col min="4614" max="4614" width="9.42578125" style="298" customWidth="1"/>
    <col min="4615" max="4615" width="5.7109375" style="298" customWidth="1"/>
    <col min="4616" max="4616" width="7.85546875" style="298" customWidth="1"/>
    <col min="4617" max="4617" width="6.5703125" style="298" customWidth="1"/>
    <col min="4618" max="4619" width="12" style="298" customWidth="1"/>
    <col min="4620" max="4634" width="11.42578125" style="298" customWidth="1"/>
    <col min="4635" max="4864" width="11.42578125" style="298"/>
    <col min="4865" max="4865" width="12.140625" style="298" customWidth="1"/>
    <col min="4866" max="4866" width="6.140625" style="298" customWidth="1"/>
    <col min="4867" max="4867" width="7.140625" style="298" customWidth="1"/>
    <col min="4868" max="4868" width="12.85546875" style="298" customWidth="1"/>
    <col min="4869" max="4869" width="12.5703125" style="298" customWidth="1"/>
    <col min="4870" max="4870" width="9.42578125" style="298" customWidth="1"/>
    <col min="4871" max="4871" width="5.7109375" style="298" customWidth="1"/>
    <col min="4872" max="4872" width="7.85546875" style="298" customWidth="1"/>
    <col min="4873" max="4873" width="6.5703125" style="298" customWidth="1"/>
    <col min="4874" max="4875" width="12" style="298" customWidth="1"/>
    <col min="4876" max="4890" width="11.42578125" style="298" customWidth="1"/>
    <col min="4891" max="5120" width="11.42578125" style="298"/>
    <col min="5121" max="5121" width="12.140625" style="298" customWidth="1"/>
    <col min="5122" max="5122" width="6.140625" style="298" customWidth="1"/>
    <col min="5123" max="5123" width="7.140625" style="298" customWidth="1"/>
    <col min="5124" max="5124" width="12.85546875" style="298" customWidth="1"/>
    <col min="5125" max="5125" width="12.5703125" style="298" customWidth="1"/>
    <col min="5126" max="5126" width="9.42578125" style="298" customWidth="1"/>
    <col min="5127" max="5127" width="5.7109375" style="298" customWidth="1"/>
    <col min="5128" max="5128" width="7.85546875" style="298" customWidth="1"/>
    <col min="5129" max="5129" width="6.5703125" style="298" customWidth="1"/>
    <col min="5130" max="5131" width="12" style="298" customWidth="1"/>
    <col min="5132" max="5146" width="11.42578125" style="298" customWidth="1"/>
    <col min="5147" max="5376" width="11.42578125" style="298"/>
    <col min="5377" max="5377" width="12.140625" style="298" customWidth="1"/>
    <col min="5378" max="5378" width="6.140625" style="298" customWidth="1"/>
    <col min="5379" max="5379" width="7.140625" style="298" customWidth="1"/>
    <col min="5380" max="5380" width="12.85546875" style="298" customWidth="1"/>
    <col min="5381" max="5381" width="12.5703125" style="298" customWidth="1"/>
    <col min="5382" max="5382" width="9.42578125" style="298" customWidth="1"/>
    <col min="5383" max="5383" width="5.7109375" style="298" customWidth="1"/>
    <col min="5384" max="5384" width="7.85546875" style="298" customWidth="1"/>
    <col min="5385" max="5385" width="6.5703125" style="298" customWidth="1"/>
    <col min="5386" max="5387" width="12" style="298" customWidth="1"/>
    <col min="5388" max="5402" width="11.42578125" style="298" customWidth="1"/>
    <col min="5403" max="5632" width="11.42578125" style="298"/>
    <col min="5633" max="5633" width="12.140625" style="298" customWidth="1"/>
    <col min="5634" max="5634" width="6.140625" style="298" customWidth="1"/>
    <col min="5635" max="5635" width="7.140625" style="298" customWidth="1"/>
    <col min="5636" max="5636" width="12.85546875" style="298" customWidth="1"/>
    <col min="5637" max="5637" width="12.5703125" style="298" customWidth="1"/>
    <col min="5638" max="5638" width="9.42578125" style="298" customWidth="1"/>
    <col min="5639" max="5639" width="5.7109375" style="298" customWidth="1"/>
    <col min="5640" max="5640" width="7.85546875" style="298" customWidth="1"/>
    <col min="5641" max="5641" width="6.5703125" style="298" customWidth="1"/>
    <col min="5642" max="5643" width="12" style="298" customWidth="1"/>
    <col min="5644" max="5658" width="11.42578125" style="298" customWidth="1"/>
    <col min="5659" max="5888" width="11.42578125" style="298"/>
    <col min="5889" max="5889" width="12.140625" style="298" customWidth="1"/>
    <col min="5890" max="5890" width="6.140625" style="298" customWidth="1"/>
    <col min="5891" max="5891" width="7.140625" style="298" customWidth="1"/>
    <col min="5892" max="5892" width="12.85546875" style="298" customWidth="1"/>
    <col min="5893" max="5893" width="12.5703125" style="298" customWidth="1"/>
    <col min="5894" max="5894" width="9.42578125" style="298" customWidth="1"/>
    <col min="5895" max="5895" width="5.7109375" style="298" customWidth="1"/>
    <col min="5896" max="5896" width="7.85546875" style="298" customWidth="1"/>
    <col min="5897" max="5897" width="6.5703125" style="298" customWidth="1"/>
    <col min="5898" max="5899" width="12" style="298" customWidth="1"/>
    <col min="5900" max="5914" width="11.42578125" style="298" customWidth="1"/>
    <col min="5915" max="6144" width="11.42578125" style="298"/>
    <col min="6145" max="6145" width="12.140625" style="298" customWidth="1"/>
    <col min="6146" max="6146" width="6.140625" style="298" customWidth="1"/>
    <col min="6147" max="6147" width="7.140625" style="298" customWidth="1"/>
    <col min="6148" max="6148" width="12.85546875" style="298" customWidth="1"/>
    <col min="6149" max="6149" width="12.5703125" style="298" customWidth="1"/>
    <col min="6150" max="6150" width="9.42578125" style="298" customWidth="1"/>
    <col min="6151" max="6151" width="5.7109375" style="298" customWidth="1"/>
    <col min="6152" max="6152" width="7.85546875" style="298" customWidth="1"/>
    <col min="6153" max="6153" width="6.5703125" style="298" customWidth="1"/>
    <col min="6154" max="6155" width="12" style="298" customWidth="1"/>
    <col min="6156" max="6170" width="11.42578125" style="298" customWidth="1"/>
    <col min="6171" max="6400" width="11.42578125" style="298"/>
    <col min="6401" max="6401" width="12.140625" style="298" customWidth="1"/>
    <col min="6402" max="6402" width="6.140625" style="298" customWidth="1"/>
    <col min="6403" max="6403" width="7.140625" style="298" customWidth="1"/>
    <col min="6404" max="6404" width="12.85546875" style="298" customWidth="1"/>
    <col min="6405" max="6405" width="12.5703125" style="298" customWidth="1"/>
    <col min="6406" max="6406" width="9.42578125" style="298" customWidth="1"/>
    <col min="6407" max="6407" width="5.7109375" style="298" customWidth="1"/>
    <col min="6408" max="6408" width="7.85546875" style="298" customWidth="1"/>
    <col min="6409" max="6409" width="6.5703125" style="298" customWidth="1"/>
    <col min="6410" max="6411" width="12" style="298" customWidth="1"/>
    <col min="6412" max="6426" width="11.42578125" style="298" customWidth="1"/>
    <col min="6427" max="6656" width="11.42578125" style="298"/>
    <col min="6657" max="6657" width="12.140625" style="298" customWidth="1"/>
    <col min="6658" max="6658" width="6.140625" style="298" customWidth="1"/>
    <col min="6659" max="6659" width="7.140625" style="298" customWidth="1"/>
    <col min="6660" max="6660" width="12.85546875" style="298" customWidth="1"/>
    <col min="6661" max="6661" width="12.5703125" style="298" customWidth="1"/>
    <col min="6662" max="6662" width="9.42578125" style="298" customWidth="1"/>
    <col min="6663" max="6663" width="5.7109375" style="298" customWidth="1"/>
    <col min="6664" max="6664" width="7.85546875" style="298" customWidth="1"/>
    <col min="6665" max="6665" width="6.5703125" style="298" customWidth="1"/>
    <col min="6666" max="6667" width="12" style="298" customWidth="1"/>
    <col min="6668" max="6682" width="11.42578125" style="298" customWidth="1"/>
    <col min="6683" max="6912" width="11.42578125" style="298"/>
    <col min="6913" max="6913" width="12.140625" style="298" customWidth="1"/>
    <col min="6914" max="6914" width="6.140625" style="298" customWidth="1"/>
    <col min="6915" max="6915" width="7.140625" style="298" customWidth="1"/>
    <col min="6916" max="6916" width="12.85546875" style="298" customWidth="1"/>
    <col min="6917" max="6917" width="12.5703125" style="298" customWidth="1"/>
    <col min="6918" max="6918" width="9.42578125" style="298" customWidth="1"/>
    <col min="6919" max="6919" width="5.7109375" style="298" customWidth="1"/>
    <col min="6920" max="6920" width="7.85546875" style="298" customWidth="1"/>
    <col min="6921" max="6921" width="6.5703125" style="298" customWidth="1"/>
    <col min="6922" max="6923" width="12" style="298" customWidth="1"/>
    <col min="6924" max="6938" width="11.42578125" style="298" customWidth="1"/>
    <col min="6939" max="7168" width="11.42578125" style="298"/>
    <col min="7169" max="7169" width="12.140625" style="298" customWidth="1"/>
    <col min="7170" max="7170" width="6.140625" style="298" customWidth="1"/>
    <col min="7171" max="7171" width="7.140625" style="298" customWidth="1"/>
    <col min="7172" max="7172" width="12.85546875" style="298" customWidth="1"/>
    <col min="7173" max="7173" width="12.5703125" style="298" customWidth="1"/>
    <col min="7174" max="7174" width="9.42578125" style="298" customWidth="1"/>
    <col min="7175" max="7175" width="5.7109375" style="298" customWidth="1"/>
    <col min="7176" max="7176" width="7.85546875" style="298" customWidth="1"/>
    <col min="7177" max="7177" width="6.5703125" style="298" customWidth="1"/>
    <col min="7178" max="7179" width="12" style="298" customWidth="1"/>
    <col min="7180" max="7194" width="11.42578125" style="298" customWidth="1"/>
    <col min="7195" max="7424" width="11.42578125" style="298"/>
    <col min="7425" max="7425" width="12.140625" style="298" customWidth="1"/>
    <col min="7426" max="7426" width="6.140625" style="298" customWidth="1"/>
    <col min="7427" max="7427" width="7.140625" style="298" customWidth="1"/>
    <col min="7428" max="7428" width="12.85546875" style="298" customWidth="1"/>
    <col min="7429" max="7429" width="12.5703125" style="298" customWidth="1"/>
    <col min="7430" max="7430" width="9.42578125" style="298" customWidth="1"/>
    <col min="7431" max="7431" width="5.7109375" style="298" customWidth="1"/>
    <col min="7432" max="7432" width="7.85546875" style="298" customWidth="1"/>
    <col min="7433" max="7433" width="6.5703125" style="298" customWidth="1"/>
    <col min="7434" max="7435" width="12" style="298" customWidth="1"/>
    <col min="7436" max="7450" width="11.42578125" style="298" customWidth="1"/>
    <col min="7451" max="7680" width="11.42578125" style="298"/>
    <col min="7681" max="7681" width="12.140625" style="298" customWidth="1"/>
    <col min="7682" max="7682" width="6.140625" style="298" customWidth="1"/>
    <col min="7683" max="7683" width="7.140625" style="298" customWidth="1"/>
    <col min="7684" max="7684" width="12.85546875" style="298" customWidth="1"/>
    <col min="7685" max="7685" width="12.5703125" style="298" customWidth="1"/>
    <col min="7686" max="7686" width="9.42578125" style="298" customWidth="1"/>
    <col min="7687" max="7687" width="5.7109375" style="298" customWidth="1"/>
    <col min="7688" max="7688" width="7.85546875" style="298" customWidth="1"/>
    <col min="7689" max="7689" width="6.5703125" style="298" customWidth="1"/>
    <col min="7690" max="7691" width="12" style="298" customWidth="1"/>
    <col min="7692" max="7706" width="11.42578125" style="298" customWidth="1"/>
    <col min="7707" max="7936" width="11.42578125" style="298"/>
    <col min="7937" max="7937" width="12.140625" style="298" customWidth="1"/>
    <col min="7938" max="7938" width="6.140625" style="298" customWidth="1"/>
    <col min="7939" max="7939" width="7.140625" style="298" customWidth="1"/>
    <col min="7940" max="7940" width="12.85546875" style="298" customWidth="1"/>
    <col min="7941" max="7941" width="12.5703125" style="298" customWidth="1"/>
    <col min="7942" max="7942" width="9.42578125" style="298" customWidth="1"/>
    <col min="7943" max="7943" width="5.7109375" style="298" customWidth="1"/>
    <col min="7944" max="7944" width="7.85546875" style="298" customWidth="1"/>
    <col min="7945" max="7945" width="6.5703125" style="298" customWidth="1"/>
    <col min="7946" max="7947" width="12" style="298" customWidth="1"/>
    <col min="7948" max="7962" width="11.42578125" style="298" customWidth="1"/>
    <col min="7963" max="8192" width="11.42578125" style="298"/>
    <col min="8193" max="8193" width="12.140625" style="298" customWidth="1"/>
    <col min="8194" max="8194" width="6.140625" style="298" customWidth="1"/>
    <col min="8195" max="8195" width="7.140625" style="298" customWidth="1"/>
    <col min="8196" max="8196" width="12.85546875" style="298" customWidth="1"/>
    <col min="8197" max="8197" width="12.5703125" style="298" customWidth="1"/>
    <col min="8198" max="8198" width="9.42578125" style="298" customWidth="1"/>
    <col min="8199" max="8199" width="5.7109375" style="298" customWidth="1"/>
    <col min="8200" max="8200" width="7.85546875" style="298" customWidth="1"/>
    <col min="8201" max="8201" width="6.5703125" style="298" customWidth="1"/>
    <col min="8202" max="8203" width="12" style="298" customWidth="1"/>
    <col min="8204" max="8218" width="11.42578125" style="298" customWidth="1"/>
    <col min="8219" max="8448" width="11.42578125" style="298"/>
    <col min="8449" max="8449" width="12.140625" style="298" customWidth="1"/>
    <col min="8450" max="8450" width="6.140625" style="298" customWidth="1"/>
    <col min="8451" max="8451" width="7.140625" style="298" customWidth="1"/>
    <col min="8452" max="8452" width="12.85546875" style="298" customWidth="1"/>
    <col min="8453" max="8453" width="12.5703125" style="298" customWidth="1"/>
    <col min="8454" max="8454" width="9.42578125" style="298" customWidth="1"/>
    <col min="8455" max="8455" width="5.7109375" style="298" customWidth="1"/>
    <col min="8456" max="8456" width="7.85546875" style="298" customWidth="1"/>
    <col min="8457" max="8457" width="6.5703125" style="298" customWidth="1"/>
    <col min="8458" max="8459" width="12" style="298" customWidth="1"/>
    <col min="8460" max="8474" width="11.42578125" style="298" customWidth="1"/>
    <col min="8475" max="8704" width="11.42578125" style="298"/>
    <col min="8705" max="8705" width="12.140625" style="298" customWidth="1"/>
    <col min="8706" max="8706" width="6.140625" style="298" customWidth="1"/>
    <col min="8707" max="8707" width="7.140625" style="298" customWidth="1"/>
    <col min="8708" max="8708" width="12.85546875" style="298" customWidth="1"/>
    <col min="8709" max="8709" width="12.5703125" style="298" customWidth="1"/>
    <col min="8710" max="8710" width="9.42578125" style="298" customWidth="1"/>
    <col min="8711" max="8711" width="5.7109375" style="298" customWidth="1"/>
    <col min="8712" max="8712" width="7.85546875" style="298" customWidth="1"/>
    <col min="8713" max="8713" width="6.5703125" style="298" customWidth="1"/>
    <col min="8714" max="8715" width="12" style="298" customWidth="1"/>
    <col min="8716" max="8730" width="11.42578125" style="298" customWidth="1"/>
    <col min="8731" max="8960" width="11.42578125" style="298"/>
    <col min="8961" max="8961" width="12.140625" style="298" customWidth="1"/>
    <col min="8962" max="8962" width="6.140625" style="298" customWidth="1"/>
    <col min="8963" max="8963" width="7.140625" style="298" customWidth="1"/>
    <col min="8964" max="8964" width="12.85546875" style="298" customWidth="1"/>
    <col min="8965" max="8965" width="12.5703125" style="298" customWidth="1"/>
    <col min="8966" max="8966" width="9.42578125" style="298" customWidth="1"/>
    <col min="8967" max="8967" width="5.7109375" style="298" customWidth="1"/>
    <col min="8968" max="8968" width="7.85546875" style="298" customWidth="1"/>
    <col min="8969" max="8969" width="6.5703125" style="298" customWidth="1"/>
    <col min="8970" max="8971" width="12" style="298" customWidth="1"/>
    <col min="8972" max="8986" width="11.42578125" style="298" customWidth="1"/>
    <col min="8987" max="9216" width="11.42578125" style="298"/>
    <col min="9217" max="9217" width="12.140625" style="298" customWidth="1"/>
    <col min="9218" max="9218" width="6.140625" style="298" customWidth="1"/>
    <col min="9219" max="9219" width="7.140625" style="298" customWidth="1"/>
    <col min="9220" max="9220" width="12.85546875" style="298" customWidth="1"/>
    <col min="9221" max="9221" width="12.5703125" style="298" customWidth="1"/>
    <col min="9222" max="9222" width="9.42578125" style="298" customWidth="1"/>
    <col min="9223" max="9223" width="5.7109375" style="298" customWidth="1"/>
    <col min="9224" max="9224" width="7.85546875" style="298" customWidth="1"/>
    <col min="9225" max="9225" width="6.5703125" style="298" customWidth="1"/>
    <col min="9226" max="9227" width="12" style="298" customWidth="1"/>
    <col min="9228" max="9242" width="11.42578125" style="298" customWidth="1"/>
    <col min="9243" max="9472" width="11.42578125" style="298"/>
    <col min="9473" max="9473" width="12.140625" style="298" customWidth="1"/>
    <col min="9474" max="9474" width="6.140625" style="298" customWidth="1"/>
    <col min="9475" max="9475" width="7.140625" style="298" customWidth="1"/>
    <col min="9476" max="9476" width="12.85546875" style="298" customWidth="1"/>
    <col min="9477" max="9477" width="12.5703125" style="298" customWidth="1"/>
    <col min="9478" max="9478" width="9.42578125" style="298" customWidth="1"/>
    <col min="9479" max="9479" width="5.7109375" style="298" customWidth="1"/>
    <col min="9480" max="9480" width="7.85546875" style="298" customWidth="1"/>
    <col min="9481" max="9481" width="6.5703125" style="298" customWidth="1"/>
    <col min="9482" max="9483" width="12" style="298" customWidth="1"/>
    <col min="9484" max="9498" width="11.42578125" style="298" customWidth="1"/>
    <col min="9499" max="9728" width="11.42578125" style="298"/>
    <col min="9729" max="9729" width="12.140625" style="298" customWidth="1"/>
    <col min="9730" max="9730" width="6.140625" style="298" customWidth="1"/>
    <col min="9731" max="9731" width="7.140625" style="298" customWidth="1"/>
    <col min="9732" max="9732" width="12.85546875" style="298" customWidth="1"/>
    <col min="9733" max="9733" width="12.5703125" style="298" customWidth="1"/>
    <col min="9734" max="9734" width="9.42578125" style="298" customWidth="1"/>
    <col min="9735" max="9735" width="5.7109375" style="298" customWidth="1"/>
    <col min="9736" max="9736" width="7.85546875" style="298" customWidth="1"/>
    <col min="9737" max="9737" width="6.5703125" style="298" customWidth="1"/>
    <col min="9738" max="9739" width="12" style="298" customWidth="1"/>
    <col min="9740" max="9754" width="11.42578125" style="298" customWidth="1"/>
    <col min="9755" max="9984" width="11.42578125" style="298"/>
    <col min="9985" max="9985" width="12.140625" style="298" customWidth="1"/>
    <col min="9986" max="9986" width="6.140625" style="298" customWidth="1"/>
    <col min="9987" max="9987" width="7.140625" style="298" customWidth="1"/>
    <col min="9988" max="9988" width="12.85546875" style="298" customWidth="1"/>
    <col min="9989" max="9989" width="12.5703125" style="298" customWidth="1"/>
    <col min="9990" max="9990" width="9.42578125" style="298" customWidth="1"/>
    <col min="9991" max="9991" width="5.7109375" style="298" customWidth="1"/>
    <col min="9992" max="9992" width="7.85546875" style="298" customWidth="1"/>
    <col min="9993" max="9993" width="6.5703125" style="298" customWidth="1"/>
    <col min="9994" max="9995" width="12" style="298" customWidth="1"/>
    <col min="9996" max="10010" width="11.42578125" style="298" customWidth="1"/>
    <col min="10011" max="10240" width="11.42578125" style="298"/>
    <col min="10241" max="10241" width="12.140625" style="298" customWidth="1"/>
    <col min="10242" max="10242" width="6.140625" style="298" customWidth="1"/>
    <col min="10243" max="10243" width="7.140625" style="298" customWidth="1"/>
    <col min="10244" max="10244" width="12.85546875" style="298" customWidth="1"/>
    <col min="10245" max="10245" width="12.5703125" style="298" customWidth="1"/>
    <col min="10246" max="10246" width="9.42578125" style="298" customWidth="1"/>
    <col min="10247" max="10247" width="5.7109375" style="298" customWidth="1"/>
    <col min="10248" max="10248" width="7.85546875" style="298" customWidth="1"/>
    <col min="10249" max="10249" width="6.5703125" style="298" customWidth="1"/>
    <col min="10250" max="10251" width="12" style="298" customWidth="1"/>
    <col min="10252" max="10266" width="11.42578125" style="298" customWidth="1"/>
    <col min="10267" max="10496" width="11.42578125" style="298"/>
    <col min="10497" max="10497" width="12.140625" style="298" customWidth="1"/>
    <col min="10498" max="10498" width="6.140625" style="298" customWidth="1"/>
    <col min="10499" max="10499" width="7.140625" style="298" customWidth="1"/>
    <col min="10500" max="10500" width="12.85546875" style="298" customWidth="1"/>
    <col min="10501" max="10501" width="12.5703125" style="298" customWidth="1"/>
    <col min="10502" max="10502" width="9.42578125" style="298" customWidth="1"/>
    <col min="10503" max="10503" width="5.7109375" style="298" customWidth="1"/>
    <col min="10504" max="10504" width="7.85546875" style="298" customWidth="1"/>
    <col min="10505" max="10505" width="6.5703125" style="298" customWidth="1"/>
    <col min="10506" max="10507" width="12" style="298" customWidth="1"/>
    <col min="10508" max="10522" width="11.42578125" style="298" customWidth="1"/>
    <col min="10523" max="10752" width="11.42578125" style="298"/>
    <col min="10753" max="10753" width="12.140625" style="298" customWidth="1"/>
    <col min="10754" max="10754" width="6.140625" style="298" customWidth="1"/>
    <col min="10755" max="10755" width="7.140625" style="298" customWidth="1"/>
    <col min="10756" max="10756" width="12.85546875" style="298" customWidth="1"/>
    <col min="10757" max="10757" width="12.5703125" style="298" customWidth="1"/>
    <col min="10758" max="10758" width="9.42578125" style="298" customWidth="1"/>
    <col min="10759" max="10759" width="5.7109375" style="298" customWidth="1"/>
    <col min="10760" max="10760" width="7.85546875" style="298" customWidth="1"/>
    <col min="10761" max="10761" width="6.5703125" style="298" customWidth="1"/>
    <col min="10762" max="10763" width="12" style="298" customWidth="1"/>
    <col min="10764" max="10778" width="11.42578125" style="298" customWidth="1"/>
    <col min="10779" max="11008" width="11.42578125" style="298"/>
    <col min="11009" max="11009" width="12.140625" style="298" customWidth="1"/>
    <col min="11010" max="11010" width="6.140625" style="298" customWidth="1"/>
    <col min="11011" max="11011" width="7.140625" style="298" customWidth="1"/>
    <col min="11012" max="11012" width="12.85546875" style="298" customWidth="1"/>
    <col min="11013" max="11013" width="12.5703125" style="298" customWidth="1"/>
    <col min="11014" max="11014" width="9.42578125" style="298" customWidth="1"/>
    <col min="11015" max="11015" width="5.7109375" style="298" customWidth="1"/>
    <col min="11016" max="11016" width="7.85546875" style="298" customWidth="1"/>
    <col min="11017" max="11017" width="6.5703125" style="298" customWidth="1"/>
    <col min="11018" max="11019" width="12" style="298" customWidth="1"/>
    <col min="11020" max="11034" width="11.42578125" style="298" customWidth="1"/>
    <col min="11035" max="11264" width="11.42578125" style="298"/>
    <col min="11265" max="11265" width="12.140625" style="298" customWidth="1"/>
    <col min="11266" max="11266" width="6.140625" style="298" customWidth="1"/>
    <col min="11267" max="11267" width="7.140625" style="298" customWidth="1"/>
    <col min="11268" max="11268" width="12.85546875" style="298" customWidth="1"/>
    <col min="11269" max="11269" width="12.5703125" style="298" customWidth="1"/>
    <col min="11270" max="11270" width="9.42578125" style="298" customWidth="1"/>
    <col min="11271" max="11271" width="5.7109375" style="298" customWidth="1"/>
    <col min="11272" max="11272" width="7.85546875" style="298" customWidth="1"/>
    <col min="11273" max="11273" width="6.5703125" style="298" customWidth="1"/>
    <col min="11274" max="11275" width="12" style="298" customWidth="1"/>
    <col min="11276" max="11290" width="11.42578125" style="298" customWidth="1"/>
    <col min="11291" max="11520" width="11.42578125" style="298"/>
    <col min="11521" max="11521" width="12.140625" style="298" customWidth="1"/>
    <col min="11522" max="11522" width="6.140625" style="298" customWidth="1"/>
    <col min="11523" max="11523" width="7.140625" style="298" customWidth="1"/>
    <col min="11524" max="11524" width="12.85546875" style="298" customWidth="1"/>
    <col min="11525" max="11525" width="12.5703125" style="298" customWidth="1"/>
    <col min="11526" max="11526" width="9.42578125" style="298" customWidth="1"/>
    <col min="11527" max="11527" width="5.7109375" style="298" customWidth="1"/>
    <col min="11528" max="11528" width="7.85546875" style="298" customWidth="1"/>
    <col min="11529" max="11529" width="6.5703125" style="298" customWidth="1"/>
    <col min="11530" max="11531" width="12" style="298" customWidth="1"/>
    <col min="11532" max="11546" width="11.42578125" style="298" customWidth="1"/>
    <col min="11547" max="11776" width="11.42578125" style="298"/>
    <col min="11777" max="11777" width="12.140625" style="298" customWidth="1"/>
    <col min="11778" max="11778" width="6.140625" style="298" customWidth="1"/>
    <col min="11779" max="11779" width="7.140625" style="298" customWidth="1"/>
    <col min="11780" max="11780" width="12.85546875" style="298" customWidth="1"/>
    <col min="11781" max="11781" width="12.5703125" style="298" customWidth="1"/>
    <col min="11782" max="11782" width="9.42578125" style="298" customWidth="1"/>
    <col min="11783" max="11783" width="5.7109375" style="298" customWidth="1"/>
    <col min="11784" max="11784" width="7.85546875" style="298" customWidth="1"/>
    <col min="11785" max="11785" width="6.5703125" style="298" customWidth="1"/>
    <col min="11786" max="11787" width="12" style="298" customWidth="1"/>
    <col min="11788" max="11802" width="11.42578125" style="298" customWidth="1"/>
    <col min="11803" max="12032" width="11.42578125" style="298"/>
    <col min="12033" max="12033" width="12.140625" style="298" customWidth="1"/>
    <col min="12034" max="12034" width="6.140625" style="298" customWidth="1"/>
    <col min="12035" max="12035" width="7.140625" style="298" customWidth="1"/>
    <col min="12036" max="12036" width="12.85546875" style="298" customWidth="1"/>
    <col min="12037" max="12037" width="12.5703125" style="298" customWidth="1"/>
    <col min="12038" max="12038" width="9.42578125" style="298" customWidth="1"/>
    <col min="12039" max="12039" width="5.7109375" style="298" customWidth="1"/>
    <col min="12040" max="12040" width="7.85546875" style="298" customWidth="1"/>
    <col min="12041" max="12041" width="6.5703125" style="298" customWidth="1"/>
    <col min="12042" max="12043" width="12" style="298" customWidth="1"/>
    <col min="12044" max="12058" width="11.42578125" style="298" customWidth="1"/>
    <col min="12059" max="12288" width="11.42578125" style="298"/>
    <col min="12289" max="12289" width="12.140625" style="298" customWidth="1"/>
    <col min="12290" max="12290" width="6.140625" style="298" customWidth="1"/>
    <col min="12291" max="12291" width="7.140625" style="298" customWidth="1"/>
    <col min="12292" max="12292" width="12.85546875" style="298" customWidth="1"/>
    <col min="12293" max="12293" width="12.5703125" style="298" customWidth="1"/>
    <col min="12294" max="12294" width="9.42578125" style="298" customWidth="1"/>
    <col min="12295" max="12295" width="5.7109375" style="298" customWidth="1"/>
    <col min="12296" max="12296" width="7.85546875" style="298" customWidth="1"/>
    <col min="12297" max="12297" width="6.5703125" style="298" customWidth="1"/>
    <col min="12298" max="12299" width="12" style="298" customWidth="1"/>
    <col min="12300" max="12314" width="11.42578125" style="298" customWidth="1"/>
    <col min="12315" max="12544" width="11.42578125" style="298"/>
    <col min="12545" max="12545" width="12.140625" style="298" customWidth="1"/>
    <col min="12546" max="12546" width="6.140625" style="298" customWidth="1"/>
    <col min="12547" max="12547" width="7.140625" style="298" customWidth="1"/>
    <col min="12548" max="12548" width="12.85546875" style="298" customWidth="1"/>
    <col min="12549" max="12549" width="12.5703125" style="298" customWidth="1"/>
    <col min="12550" max="12550" width="9.42578125" style="298" customWidth="1"/>
    <col min="12551" max="12551" width="5.7109375" style="298" customWidth="1"/>
    <col min="12552" max="12552" width="7.85546875" style="298" customWidth="1"/>
    <col min="12553" max="12553" width="6.5703125" style="298" customWidth="1"/>
    <col min="12554" max="12555" width="12" style="298" customWidth="1"/>
    <col min="12556" max="12570" width="11.42578125" style="298" customWidth="1"/>
    <col min="12571" max="12800" width="11.42578125" style="298"/>
    <col min="12801" max="12801" width="12.140625" style="298" customWidth="1"/>
    <col min="12802" max="12802" width="6.140625" style="298" customWidth="1"/>
    <col min="12803" max="12803" width="7.140625" style="298" customWidth="1"/>
    <col min="12804" max="12804" width="12.85546875" style="298" customWidth="1"/>
    <col min="12805" max="12805" width="12.5703125" style="298" customWidth="1"/>
    <col min="12806" max="12806" width="9.42578125" style="298" customWidth="1"/>
    <col min="12807" max="12807" width="5.7109375" style="298" customWidth="1"/>
    <col min="12808" max="12808" width="7.85546875" style="298" customWidth="1"/>
    <col min="12809" max="12809" width="6.5703125" style="298" customWidth="1"/>
    <col min="12810" max="12811" width="12" style="298" customWidth="1"/>
    <col min="12812" max="12826" width="11.42578125" style="298" customWidth="1"/>
    <col min="12827" max="13056" width="11.42578125" style="298"/>
    <col min="13057" max="13057" width="12.140625" style="298" customWidth="1"/>
    <col min="13058" max="13058" width="6.140625" style="298" customWidth="1"/>
    <col min="13059" max="13059" width="7.140625" style="298" customWidth="1"/>
    <col min="13060" max="13060" width="12.85546875" style="298" customWidth="1"/>
    <col min="13061" max="13061" width="12.5703125" style="298" customWidth="1"/>
    <col min="13062" max="13062" width="9.42578125" style="298" customWidth="1"/>
    <col min="13063" max="13063" width="5.7109375" style="298" customWidth="1"/>
    <col min="13064" max="13064" width="7.85546875" style="298" customWidth="1"/>
    <col min="13065" max="13065" width="6.5703125" style="298" customWidth="1"/>
    <col min="13066" max="13067" width="12" style="298" customWidth="1"/>
    <col min="13068" max="13082" width="11.42578125" style="298" customWidth="1"/>
    <col min="13083" max="13312" width="11.42578125" style="298"/>
    <col min="13313" max="13313" width="12.140625" style="298" customWidth="1"/>
    <col min="13314" max="13314" width="6.140625" style="298" customWidth="1"/>
    <col min="13315" max="13315" width="7.140625" style="298" customWidth="1"/>
    <col min="13316" max="13316" width="12.85546875" style="298" customWidth="1"/>
    <col min="13317" max="13317" width="12.5703125" style="298" customWidth="1"/>
    <col min="13318" max="13318" width="9.42578125" style="298" customWidth="1"/>
    <col min="13319" max="13319" width="5.7109375" style="298" customWidth="1"/>
    <col min="13320" max="13320" width="7.85546875" style="298" customWidth="1"/>
    <col min="13321" max="13321" width="6.5703125" style="298" customWidth="1"/>
    <col min="13322" max="13323" width="12" style="298" customWidth="1"/>
    <col min="13324" max="13338" width="11.42578125" style="298" customWidth="1"/>
    <col min="13339" max="13568" width="11.42578125" style="298"/>
    <col min="13569" max="13569" width="12.140625" style="298" customWidth="1"/>
    <col min="13570" max="13570" width="6.140625" style="298" customWidth="1"/>
    <col min="13571" max="13571" width="7.140625" style="298" customWidth="1"/>
    <col min="13572" max="13572" width="12.85546875" style="298" customWidth="1"/>
    <col min="13573" max="13573" width="12.5703125" style="298" customWidth="1"/>
    <col min="13574" max="13574" width="9.42578125" style="298" customWidth="1"/>
    <col min="13575" max="13575" width="5.7109375" style="298" customWidth="1"/>
    <col min="13576" max="13576" width="7.85546875" style="298" customWidth="1"/>
    <col min="13577" max="13577" width="6.5703125" style="298" customWidth="1"/>
    <col min="13578" max="13579" width="12" style="298" customWidth="1"/>
    <col min="13580" max="13594" width="11.42578125" style="298" customWidth="1"/>
    <col min="13595" max="13824" width="11.42578125" style="298"/>
    <col min="13825" max="13825" width="12.140625" style="298" customWidth="1"/>
    <col min="13826" max="13826" width="6.140625" style="298" customWidth="1"/>
    <col min="13827" max="13827" width="7.140625" style="298" customWidth="1"/>
    <col min="13828" max="13828" width="12.85546875" style="298" customWidth="1"/>
    <col min="13829" max="13829" width="12.5703125" style="298" customWidth="1"/>
    <col min="13830" max="13830" width="9.42578125" style="298" customWidth="1"/>
    <col min="13831" max="13831" width="5.7109375" style="298" customWidth="1"/>
    <col min="13832" max="13832" width="7.85546875" style="298" customWidth="1"/>
    <col min="13833" max="13833" width="6.5703125" style="298" customWidth="1"/>
    <col min="13834" max="13835" width="12" style="298" customWidth="1"/>
    <col min="13836" max="13850" width="11.42578125" style="298" customWidth="1"/>
    <col min="13851" max="14080" width="11.42578125" style="298"/>
    <col min="14081" max="14081" width="12.140625" style="298" customWidth="1"/>
    <col min="14082" max="14082" width="6.140625" style="298" customWidth="1"/>
    <col min="14083" max="14083" width="7.140625" style="298" customWidth="1"/>
    <col min="14084" max="14084" width="12.85546875" style="298" customWidth="1"/>
    <col min="14085" max="14085" width="12.5703125" style="298" customWidth="1"/>
    <col min="14086" max="14086" width="9.42578125" style="298" customWidth="1"/>
    <col min="14087" max="14087" width="5.7109375" style="298" customWidth="1"/>
    <col min="14088" max="14088" width="7.85546875" style="298" customWidth="1"/>
    <col min="14089" max="14089" width="6.5703125" style="298" customWidth="1"/>
    <col min="14090" max="14091" width="12" style="298" customWidth="1"/>
    <col min="14092" max="14106" width="11.42578125" style="298" customWidth="1"/>
    <col min="14107" max="14336" width="11.42578125" style="298"/>
    <col min="14337" max="14337" width="12.140625" style="298" customWidth="1"/>
    <col min="14338" max="14338" width="6.140625" style="298" customWidth="1"/>
    <col min="14339" max="14339" width="7.140625" style="298" customWidth="1"/>
    <col min="14340" max="14340" width="12.85546875" style="298" customWidth="1"/>
    <col min="14341" max="14341" width="12.5703125" style="298" customWidth="1"/>
    <col min="14342" max="14342" width="9.42578125" style="298" customWidth="1"/>
    <col min="14343" max="14343" width="5.7109375" style="298" customWidth="1"/>
    <col min="14344" max="14344" width="7.85546875" style="298" customWidth="1"/>
    <col min="14345" max="14345" width="6.5703125" style="298" customWidth="1"/>
    <col min="14346" max="14347" width="12" style="298" customWidth="1"/>
    <col min="14348" max="14362" width="11.42578125" style="298" customWidth="1"/>
    <col min="14363" max="14592" width="11.42578125" style="298"/>
    <col min="14593" max="14593" width="12.140625" style="298" customWidth="1"/>
    <col min="14594" max="14594" width="6.140625" style="298" customWidth="1"/>
    <col min="14595" max="14595" width="7.140625" style="298" customWidth="1"/>
    <col min="14596" max="14596" width="12.85546875" style="298" customWidth="1"/>
    <col min="14597" max="14597" width="12.5703125" style="298" customWidth="1"/>
    <col min="14598" max="14598" width="9.42578125" style="298" customWidth="1"/>
    <col min="14599" max="14599" width="5.7109375" style="298" customWidth="1"/>
    <col min="14600" max="14600" width="7.85546875" style="298" customWidth="1"/>
    <col min="14601" max="14601" width="6.5703125" style="298" customWidth="1"/>
    <col min="14602" max="14603" width="12" style="298" customWidth="1"/>
    <col min="14604" max="14618" width="11.42578125" style="298" customWidth="1"/>
    <col min="14619" max="14848" width="11.42578125" style="298"/>
    <col min="14849" max="14849" width="12.140625" style="298" customWidth="1"/>
    <col min="14850" max="14850" width="6.140625" style="298" customWidth="1"/>
    <col min="14851" max="14851" width="7.140625" style="298" customWidth="1"/>
    <col min="14852" max="14852" width="12.85546875" style="298" customWidth="1"/>
    <col min="14853" max="14853" width="12.5703125" style="298" customWidth="1"/>
    <col min="14854" max="14854" width="9.42578125" style="298" customWidth="1"/>
    <col min="14855" max="14855" width="5.7109375" style="298" customWidth="1"/>
    <col min="14856" max="14856" width="7.85546875" style="298" customWidth="1"/>
    <col min="14857" max="14857" width="6.5703125" style="298" customWidth="1"/>
    <col min="14858" max="14859" width="12" style="298" customWidth="1"/>
    <col min="14860" max="14874" width="11.42578125" style="298" customWidth="1"/>
    <col min="14875" max="15104" width="11.42578125" style="298"/>
    <col min="15105" max="15105" width="12.140625" style="298" customWidth="1"/>
    <col min="15106" max="15106" width="6.140625" style="298" customWidth="1"/>
    <col min="15107" max="15107" width="7.140625" style="298" customWidth="1"/>
    <col min="15108" max="15108" width="12.85546875" style="298" customWidth="1"/>
    <col min="15109" max="15109" width="12.5703125" style="298" customWidth="1"/>
    <col min="15110" max="15110" width="9.42578125" style="298" customWidth="1"/>
    <col min="15111" max="15111" width="5.7109375" style="298" customWidth="1"/>
    <col min="15112" max="15112" width="7.85546875" style="298" customWidth="1"/>
    <col min="15113" max="15113" width="6.5703125" style="298" customWidth="1"/>
    <col min="15114" max="15115" width="12" style="298" customWidth="1"/>
    <col min="15116" max="15130" width="11.42578125" style="298" customWidth="1"/>
    <col min="15131" max="15360" width="11.42578125" style="298"/>
    <col min="15361" max="15361" width="12.140625" style="298" customWidth="1"/>
    <col min="15362" max="15362" width="6.140625" style="298" customWidth="1"/>
    <col min="15363" max="15363" width="7.140625" style="298" customWidth="1"/>
    <col min="15364" max="15364" width="12.85546875" style="298" customWidth="1"/>
    <col min="15365" max="15365" width="12.5703125" style="298" customWidth="1"/>
    <col min="15366" max="15366" width="9.42578125" style="298" customWidth="1"/>
    <col min="15367" max="15367" width="5.7109375" style="298" customWidth="1"/>
    <col min="15368" max="15368" width="7.85546875" style="298" customWidth="1"/>
    <col min="15369" max="15369" width="6.5703125" style="298" customWidth="1"/>
    <col min="15370" max="15371" width="12" style="298" customWidth="1"/>
    <col min="15372" max="15386" width="11.42578125" style="298" customWidth="1"/>
    <col min="15387" max="15616" width="11.42578125" style="298"/>
    <col min="15617" max="15617" width="12.140625" style="298" customWidth="1"/>
    <col min="15618" max="15618" width="6.140625" style="298" customWidth="1"/>
    <col min="15619" max="15619" width="7.140625" style="298" customWidth="1"/>
    <col min="15620" max="15620" width="12.85546875" style="298" customWidth="1"/>
    <col min="15621" max="15621" width="12.5703125" style="298" customWidth="1"/>
    <col min="15622" max="15622" width="9.42578125" style="298" customWidth="1"/>
    <col min="15623" max="15623" width="5.7109375" style="298" customWidth="1"/>
    <col min="15624" max="15624" width="7.85546875" style="298" customWidth="1"/>
    <col min="15625" max="15625" width="6.5703125" style="298" customWidth="1"/>
    <col min="15626" max="15627" width="12" style="298" customWidth="1"/>
    <col min="15628" max="15642" width="11.42578125" style="298" customWidth="1"/>
    <col min="15643" max="15872" width="11.42578125" style="298"/>
    <col min="15873" max="15873" width="12.140625" style="298" customWidth="1"/>
    <col min="15874" max="15874" width="6.140625" style="298" customWidth="1"/>
    <col min="15875" max="15875" width="7.140625" style="298" customWidth="1"/>
    <col min="15876" max="15876" width="12.85546875" style="298" customWidth="1"/>
    <col min="15877" max="15877" width="12.5703125" style="298" customWidth="1"/>
    <col min="15878" max="15878" width="9.42578125" style="298" customWidth="1"/>
    <col min="15879" max="15879" width="5.7109375" style="298" customWidth="1"/>
    <col min="15880" max="15880" width="7.85546875" style="298" customWidth="1"/>
    <col min="15881" max="15881" width="6.5703125" style="298" customWidth="1"/>
    <col min="15882" max="15883" width="12" style="298" customWidth="1"/>
    <col min="15884" max="15898" width="11.42578125" style="298" customWidth="1"/>
    <col min="15899" max="16128" width="11.42578125" style="298"/>
    <col min="16129" max="16129" width="12.140625" style="298" customWidth="1"/>
    <col min="16130" max="16130" width="6.140625" style="298" customWidth="1"/>
    <col min="16131" max="16131" width="7.140625" style="298" customWidth="1"/>
    <col min="16132" max="16132" width="12.85546875" style="298" customWidth="1"/>
    <col min="16133" max="16133" width="12.5703125" style="298" customWidth="1"/>
    <col min="16134" max="16134" width="9.42578125" style="298" customWidth="1"/>
    <col min="16135" max="16135" width="5.7109375" style="298" customWidth="1"/>
    <col min="16136" max="16136" width="7.85546875" style="298" customWidth="1"/>
    <col min="16137" max="16137" width="6.5703125" style="298" customWidth="1"/>
    <col min="16138" max="16139" width="12" style="298" customWidth="1"/>
    <col min="16140" max="16154" width="11.42578125" style="298" customWidth="1"/>
    <col min="16155" max="16384" width="11.42578125" style="298"/>
  </cols>
  <sheetData>
    <row r="1" spans="1:26" ht="20.25" customHeight="1">
      <c r="A1" s="507" t="s">
        <v>0</v>
      </c>
      <c r="B1" s="507"/>
      <c r="C1" s="507"/>
      <c r="D1" s="507"/>
      <c r="E1" s="507"/>
      <c r="F1" s="507"/>
      <c r="G1" s="507"/>
      <c r="H1" s="507"/>
      <c r="I1" s="507"/>
      <c r="J1" s="507"/>
      <c r="K1" s="507"/>
    </row>
    <row r="2" spans="1:26" ht="20.25" customHeight="1">
      <c r="A2" s="508" t="s">
        <v>407</v>
      </c>
      <c r="B2" s="508"/>
      <c r="C2" s="508"/>
      <c r="D2" s="508"/>
      <c r="E2" s="508"/>
      <c r="F2" s="508"/>
      <c r="G2" s="508"/>
      <c r="H2" s="508"/>
      <c r="I2" s="508"/>
      <c r="J2" s="508"/>
      <c r="K2" s="508"/>
    </row>
    <row r="3" spans="1:26" ht="18.75" customHeight="1" thickBot="1">
      <c r="A3" s="299" t="s">
        <v>132</v>
      </c>
      <c r="B3" s="300" t="s">
        <v>133</v>
      </c>
      <c r="C3" s="301"/>
      <c r="D3" s="301"/>
      <c r="E3" s="301"/>
      <c r="F3" s="302"/>
      <c r="G3" s="301"/>
      <c r="H3" s="301"/>
      <c r="I3" s="299" t="s">
        <v>408</v>
      </c>
      <c r="J3" s="509" t="s">
        <v>409</v>
      </c>
      <c r="K3" s="509"/>
    </row>
    <row r="4" spans="1:26" s="311" customFormat="1" ht="18.399999999999999" customHeight="1" thickBot="1">
      <c r="A4" s="303" t="s">
        <v>410</v>
      </c>
      <c r="B4" s="304"/>
      <c r="C4" s="305"/>
      <c r="D4" s="305"/>
      <c r="E4" s="305"/>
      <c r="F4" s="305"/>
      <c r="G4" s="305"/>
      <c r="H4" s="305"/>
      <c r="I4" s="305"/>
      <c r="J4" s="305"/>
      <c r="K4" s="306"/>
      <c r="L4" s="307"/>
      <c r="M4" s="307"/>
      <c r="N4" s="307"/>
      <c r="O4" s="307"/>
      <c r="P4" s="307"/>
      <c r="Q4" s="308" t="s">
        <v>411</v>
      </c>
      <c r="R4" s="309"/>
      <c r="S4" s="307"/>
      <c r="T4" s="308" t="s">
        <v>412</v>
      </c>
      <c r="U4" s="310"/>
      <c r="V4" s="307"/>
      <c r="W4" s="307"/>
      <c r="X4" s="307"/>
      <c r="Y4" s="307"/>
      <c r="Z4" s="307"/>
    </row>
    <row r="5" spans="1:26" s="311" customFormat="1" ht="18.399999999999999" customHeight="1">
      <c r="A5" s="510" t="s">
        <v>413</v>
      </c>
      <c r="B5" s="511"/>
      <c r="C5" s="511"/>
      <c r="D5" s="312"/>
      <c r="E5" s="313"/>
      <c r="F5" s="314" t="s">
        <v>414</v>
      </c>
      <c r="G5" s="301"/>
      <c r="H5" s="301"/>
      <c r="I5" s="315"/>
      <c r="J5" s="316" t="s">
        <v>415</v>
      </c>
      <c r="K5" s="317" t="s">
        <v>416</v>
      </c>
      <c r="L5" s="307"/>
      <c r="M5" s="307"/>
      <c r="N5" s="307"/>
      <c r="O5" s="307"/>
      <c r="P5" s="307"/>
      <c r="Q5" s="318" t="s">
        <v>417</v>
      </c>
      <c r="R5" s="319"/>
      <c r="S5" s="307"/>
      <c r="T5" s="318" t="s">
        <v>418</v>
      </c>
      <c r="U5" s="320"/>
      <c r="V5" s="307"/>
      <c r="W5" s="307"/>
      <c r="X5" s="307"/>
      <c r="Y5" s="307"/>
      <c r="Z5" s="307"/>
    </row>
    <row r="6" spans="1:26" s="311" customFormat="1" ht="18.399999999999999" customHeight="1">
      <c r="A6" s="512" t="s">
        <v>252</v>
      </c>
      <c r="B6" s="513"/>
      <c r="C6" s="513"/>
      <c r="D6" s="514" t="s">
        <v>419</v>
      </c>
      <c r="E6" s="515"/>
      <c r="F6" s="516" t="s">
        <v>420</v>
      </c>
      <c r="G6" s="517"/>
      <c r="H6" s="517"/>
      <c r="I6" s="517"/>
      <c r="J6" s="517"/>
      <c r="K6" s="518"/>
      <c r="L6" s="307"/>
      <c r="M6" s="307" t="s">
        <v>727</v>
      </c>
      <c r="N6" s="307"/>
      <c r="O6" s="307"/>
      <c r="P6" s="307"/>
      <c r="Q6" s="318" t="s">
        <v>421</v>
      </c>
      <c r="R6" s="319"/>
      <c r="S6" s="307"/>
      <c r="T6" s="318" t="s">
        <v>419</v>
      </c>
      <c r="U6" s="320"/>
      <c r="V6" s="307"/>
      <c r="W6" s="307"/>
      <c r="X6" s="307"/>
      <c r="Y6" s="307"/>
      <c r="Z6" s="307"/>
    </row>
    <row r="7" spans="1:26" s="311" customFormat="1" ht="18.399999999999999" customHeight="1">
      <c r="A7" s="522" t="s">
        <v>192</v>
      </c>
      <c r="B7" s="523"/>
      <c r="C7" s="523"/>
      <c r="D7" s="524">
        <v>2.5</v>
      </c>
      <c r="E7" s="525"/>
      <c r="F7" s="321" t="s">
        <v>422</v>
      </c>
      <c r="G7" s="322"/>
      <c r="H7" s="323"/>
      <c r="I7" s="324"/>
      <c r="J7" s="325">
        <v>16.600000000000001</v>
      </c>
      <c r="K7" s="326" t="s">
        <v>18</v>
      </c>
      <c r="L7" s="307"/>
      <c r="M7" s="307">
        <v>30</v>
      </c>
      <c r="N7" s="307"/>
      <c r="O7" s="307"/>
      <c r="P7" s="307"/>
      <c r="Q7" s="318" t="s">
        <v>423</v>
      </c>
      <c r="R7" s="319"/>
      <c r="S7" s="307"/>
      <c r="T7" s="318" t="s">
        <v>424</v>
      </c>
      <c r="U7" s="320"/>
      <c r="V7" s="307"/>
      <c r="W7" s="307"/>
      <c r="X7" s="307"/>
      <c r="Y7" s="307"/>
      <c r="Z7" s="307"/>
    </row>
    <row r="8" spans="1:26" s="311" customFormat="1" ht="18.399999999999999" customHeight="1">
      <c r="A8" s="522" t="s">
        <v>425</v>
      </c>
      <c r="B8" s="523"/>
      <c r="C8" s="523"/>
      <c r="D8" s="526">
        <v>530</v>
      </c>
      <c r="E8" s="527"/>
      <c r="F8" s="327" t="s">
        <v>426</v>
      </c>
      <c r="G8" s="328"/>
      <c r="H8" s="329"/>
      <c r="I8" s="330"/>
      <c r="J8" s="331">
        <v>9330</v>
      </c>
      <c r="K8" s="332" t="s">
        <v>18</v>
      </c>
      <c r="L8" s="307"/>
      <c r="M8" s="307">
        <v>9303</v>
      </c>
      <c r="N8" s="307"/>
      <c r="O8" s="307"/>
      <c r="P8" s="307"/>
      <c r="Q8" s="318" t="s">
        <v>427</v>
      </c>
      <c r="R8" s="319"/>
      <c r="S8" s="307"/>
      <c r="T8" s="318" t="s">
        <v>428</v>
      </c>
      <c r="U8" s="320"/>
      <c r="V8" s="307"/>
      <c r="W8" s="307"/>
      <c r="X8" s="307"/>
      <c r="Y8" s="307"/>
      <c r="Z8" s="307"/>
    </row>
    <row r="9" spans="1:26" s="311" customFormat="1" ht="18.399999999999999" customHeight="1">
      <c r="A9" s="528" t="s">
        <v>429</v>
      </c>
      <c r="B9" s="529"/>
      <c r="C9" s="530"/>
      <c r="D9" s="526">
        <v>8</v>
      </c>
      <c r="E9" s="527"/>
      <c r="F9" s="321" t="s">
        <v>430</v>
      </c>
      <c r="G9" s="322"/>
      <c r="H9" s="333">
        <v>3</v>
      </c>
      <c r="I9" s="334" t="s">
        <v>431</v>
      </c>
      <c r="J9" s="335">
        <v>99</v>
      </c>
      <c r="K9" s="332" t="s">
        <v>18</v>
      </c>
      <c r="L9" s="307"/>
      <c r="M9" s="307">
        <v>104</v>
      </c>
      <c r="N9" s="307"/>
      <c r="O9" s="307"/>
      <c r="P9" s="307"/>
      <c r="Q9" s="318" t="s">
        <v>432</v>
      </c>
      <c r="R9" s="319"/>
      <c r="S9" s="307"/>
      <c r="T9" s="318" t="s">
        <v>433</v>
      </c>
      <c r="U9" s="320"/>
      <c r="V9" s="307"/>
      <c r="W9" s="307"/>
      <c r="X9" s="307"/>
      <c r="Y9" s="307"/>
      <c r="Z9" s="307"/>
    </row>
    <row r="10" spans="1:26" s="311" customFormat="1" ht="18.399999999999999" customHeight="1" thickBot="1">
      <c r="A10" s="528" t="s">
        <v>434</v>
      </c>
      <c r="B10" s="529"/>
      <c r="C10" s="530"/>
      <c r="D10" s="531" t="s">
        <v>220</v>
      </c>
      <c r="E10" s="532"/>
      <c r="F10" s="321" t="s">
        <v>435</v>
      </c>
      <c r="G10" s="322"/>
      <c r="H10" s="333">
        <v>3</v>
      </c>
      <c r="I10" s="334" t="s">
        <v>431</v>
      </c>
      <c r="J10" s="335">
        <v>1150</v>
      </c>
      <c r="K10" s="332" t="s">
        <v>18</v>
      </c>
      <c r="L10" s="307"/>
      <c r="M10" s="307">
        <v>460</v>
      </c>
      <c r="N10" s="307"/>
      <c r="O10" s="307"/>
      <c r="P10" s="307"/>
      <c r="Q10" s="318" t="s">
        <v>436</v>
      </c>
      <c r="R10" s="319"/>
      <c r="S10" s="307"/>
      <c r="T10" s="336" t="s">
        <v>437</v>
      </c>
      <c r="U10" s="337"/>
      <c r="V10" s="307"/>
      <c r="W10" s="307"/>
      <c r="X10" s="307"/>
      <c r="Y10" s="307"/>
      <c r="Z10" s="307"/>
    </row>
    <row r="11" spans="1:26" s="311" customFormat="1" ht="18.399999999999999" customHeight="1" thickBot="1">
      <c r="A11" s="528" t="s">
        <v>438</v>
      </c>
      <c r="B11" s="529"/>
      <c r="C11" s="530"/>
      <c r="D11" s="533" t="s">
        <v>18</v>
      </c>
      <c r="E11" s="534"/>
      <c r="F11" s="338" t="s">
        <v>439</v>
      </c>
      <c r="G11" s="339"/>
      <c r="H11" s="340">
        <v>3</v>
      </c>
      <c r="I11" s="334" t="s">
        <v>431</v>
      </c>
      <c r="J11" s="341">
        <v>16837</v>
      </c>
      <c r="K11" s="342" t="s">
        <v>18</v>
      </c>
      <c r="L11" s="307"/>
      <c r="M11" s="307">
        <v>19700</v>
      </c>
      <c r="N11" s="307"/>
      <c r="O11" s="307"/>
      <c r="P11" s="307"/>
      <c r="Q11" s="336" t="s">
        <v>440</v>
      </c>
      <c r="R11" s="343"/>
      <c r="S11" s="307"/>
      <c r="T11" s="307"/>
      <c r="U11" s="307"/>
      <c r="V11" s="307"/>
      <c r="W11" s="307"/>
      <c r="X11" s="307"/>
      <c r="Y11" s="307"/>
      <c r="Z11" s="307"/>
    </row>
    <row r="12" spans="1:26" s="311" customFormat="1" ht="18.399999999999999" customHeight="1">
      <c r="A12" s="344" t="s">
        <v>441</v>
      </c>
      <c r="C12" s="345"/>
      <c r="D12" s="535" t="s">
        <v>18</v>
      </c>
      <c r="E12" s="536"/>
      <c r="F12" s="519" t="s">
        <v>442</v>
      </c>
      <c r="G12" s="520"/>
      <c r="H12" s="520"/>
      <c r="I12" s="520"/>
      <c r="J12" s="520"/>
      <c r="K12" s="521"/>
      <c r="L12" s="307"/>
      <c r="M12" s="307"/>
      <c r="N12" s="307"/>
      <c r="O12" s="307"/>
      <c r="P12" s="307"/>
      <c r="Q12" s="307"/>
      <c r="R12" s="307"/>
      <c r="S12" s="307"/>
      <c r="T12" s="307"/>
      <c r="U12" s="307"/>
      <c r="V12" s="307"/>
      <c r="W12" s="307"/>
      <c r="X12" s="307"/>
      <c r="Y12" s="307"/>
      <c r="Z12" s="307"/>
    </row>
    <row r="13" spans="1:26" s="311" customFormat="1" ht="18.399999999999999" customHeight="1">
      <c r="A13" s="528" t="s">
        <v>233</v>
      </c>
      <c r="B13" s="529"/>
      <c r="C13" s="530"/>
      <c r="D13" s="537" t="s">
        <v>726</v>
      </c>
      <c r="E13" s="538"/>
      <c r="F13" s="346"/>
      <c r="G13" s="347" t="s">
        <v>443</v>
      </c>
      <c r="H13" s="348"/>
      <c r="I13" s="349" t="s">
        <v>444</v>
      </c>
      <c r="J13" s="350" t="s">
        <v>445</v>
      </c>
      <c r="K13" s="351" t="s">
        <v>18</v>
      </c>
      <c r="L13" s="307"/>
      <c r="M13" s="307"/>
      <c r="N13" s="307"/>
      <c r="O13" s="307"/>
      <c r="P13" s="307"/>
      <c r="Q13" s="307"/>
      <c r="R13" s="307"/>
      <c r="S13" s="307"/>
      <c r="T13" s="307"/>
      <c r="U13" s="307"/>
      <c r="V13" s="307"/>
      <c r="W13" s="307"/>
      <c r="X13" s="307"/>
      <c r="Y13" s="307"/>
      <c r="Z13" s="307"/>
    </row>
    <row r="14" spans="1:26" s="311" customFormat="1" ht="18.399999999999999" customHeight="1">
      <c r="A14" s="528" t="s">
        <v>237</v>
      </c>
      <c r="B14" s="529"/>
      <c r="C14" s="530"/>
      <c r="D14" s="535">
        <v>1127</v>
      </c>
      <c r="E14" s="536"/>
      <c r="F14" s="346"/>
      <c r="G14" s="352" t="s">
        <v>180</v>
      </c>
      <c r="H14" s="353"/>
      <c r="I14" s="353"/>
      <c r="J14" s="335" t="s">
        <v>18</v>
      </c>
      <c r="K14" s="332" t="s">
        <v>18</v>
      </c>
      <c r="L14" s="307"/>
      <c r="M14" s="307"/>
      <c r="N14" s="307"/>
      <c r="O14" s="307"/>
      <c r="P14" s="307"/>
      <c r="Q14" s="307"/>
      <c r="R14" s="307"/>
      <c r="S14" s="307"/>
      <c r="T14" s="307"/>
      <c r="U14" s="307"/>
      <c r="V14" s="307"/>
      <c r="W14" s="307"/>
      <c r="X14" s="307"/>
      <c r="Y14" s="307"/>
      <c r="Z14" s="307"/>
    </row>
    <row r="15" spans="1:26" s="311" customFormat="1" ht="18.399999999999999" customHeight="1">
      <c r="A15" s="539" t="s">
        <v>446</v>
      </c>
      <c r="B15" s="540"/>
      <c r="C15" s="541"/>
      <c r="D15" s="542">
        <v>12.987600326538086</v>
      </c>
      <c r="E15" s="543"/>
      <c r="F15" s="346"/>
      <c r="G15" s="352" t="s">
        <v>447</v>
      </c>
      <c r="H15" s="353"/>
      <c r="I15" s="353"/>
      <c r="J15" s="335" t="s">
        <v>18</v>
      </c>
      <c r="K15" s="332" t="s">
        <v>18</v>
      </c>
      <c r="L15" s="307"/>
      <c r="M15" s="307"/>
      <c r="N15" s="307"/>
      <c r="O15" s="307"/>
      <c r="P15" s="307"/>
      <c r="Q15" s="307"/>
      <c r="R15" s="307"/>
      <c r="S15" s="307"/>
      <c r="T15" s="307"/>
      <c r="U15" s="307"/>
      <c r="V15" s="307"/>
      <c r="W15" s="307"/>
      <c r="X15" s="307"/>
      <c r="Y15" s="307"/>
      <c r="Z15" s="307"/>
    </row>
    <row r="16" spans="1:26" s="311" customFormat="1" ht="18.399999999999999" customHeight="1">
      <c r="A16" s="544" t="s">
        <v>448</v>
      </c>
      <c r="B16" s="545"/>
      <c r="C16" s="546"/>
      <c r="D16" s="542">
        <v>3.236799955368042</v>
      </c>
      <c r="E16" s="543"/>
      <c r="F16" s="354"/>
      <c r="G16" s="355" t="s">
        <v>189</v>
      </c>
      <c r="H16" s="356"/>
      <c r="I16" s="356"/>
      <c r="J16" s="341" t="s">
        <v>18</v>
      </c>
      <c r="K16" s="342" t="s">
        <v>18</v>
      </c>
      <c r="L16" s="307"/>
      <c r="M16" s="307"/>
      <c r="N16" s="307"/>
      <c r="O16" s="307"/>
      <c r="P16" s="307"/>
      <c r="Q16" s="307"/>
      <c r="R16" s="307"/>
      <c r="S16" s="307"/>
      <c r="T16" s="307"/>
      <c r="U16" s="307"/>
      <c r="V16" s="307"/>
      <c r="W16" s="307"/>
      <c r="X16" s="307"/>
      <c r="Y16" s="307"/>
      <c r="Z16" s="307"/>
    </row>
    <row r="17" spans="1:26" s="311" customFormat="1" ht="18.399999999999999" customHeight="1">
      <c r="A17" s="357" t="s">
        <v>449</v>
      </c>
      <c r="B17" s="358"/>
      <c r="C17" s="359"/>
      <c r="D17" s="533" t="s">
        <v>450</v>
      </c>
      <c r="E17" s="534"/>
      <c r="F17" s="519" t="s">
        <v>451</v>
      </c>
      <c r="G17" s="520"/>
      <c r="H17" s="520"/>
      <c r="I17" s="520"/>
      <c r="J17" s="520"/>
      <c r="K17" s="521"/>
      <c r="L17" s="307"/>
      <c r="M17" s="307"/>
      <c r="N17" s="307"/>
      <c r="O17" s="307"/>
      <c r="P17" s="307"/>
      <c r="Q17" s="307"/>
      <c r="R17" s="307"/>
      <c r="S17" s="307"/>
      <c r="T17" s="307"/>
      <c r="U17" s="307"/>
      <c r="V17" s="307"/>
      <c r="W17" s="307"/>
      <c r="X17" s="307"/>
      <c r="Y17" s="307"/>
      <c r="Z17" s="307"/>
    </row>
    <row r="18" spans="1:26" s="311" customFormat="1" ht="18.399999999999999" customHeight="1">
      <c r="A18" s="360" t="s">
        <v>452</v>
      </c>
      <c r="B18" s="361"/>
      <c r="C18" s="359"/>
      <c r="D18" s="531" t="s">
        <v>18</v>
      </c>
      <c r="E18" s="532"/>
      <c r="F18" s="547"/>
      <c r="G18" s="548"/>
      <c r="H18" s="362" t="s">
        <v>453</v>
      </c>
      <c r="I18" s="363"/>
      <c r="J18" s="331" t="s">
        <v>716</v>
      </c>
      <c r="K18" s="332"/>
      <c r="L18" s="307"/>
      <c r="M18" s="307"/>
      <c r="N18" s="307"/>
      <c r="O18" s="307"/>
      <c r="P18" s="307"/>
      <c r="Q18" s="307"/>
      <c r="R18" s="307"/>
      <c r="S18" s="307"/>
      <c r="T18" s="307"/>
      <c r="U18" s="307"/>
      <c r="V18" s="307"/>
      <c r="W18" s="307"/>
      <c r="X18" s="307"/>
      <c r="Y18" s="307"/>
      <c r="Z18" s="307"/>
    </row>
    <row r="19" spans="1:26" s="311" customFormat="1" ht="18.399999999999999" customHeight="1">
      <c r="A19" s="553" t="s">
        <v>454</v>
      </c>
      <c r="B19" s="554"/>
      <c r="C19" s="555"/>
      <c r="D19" s="556" t="s">
        <v>18</v>
      </c>
      <c r="E19" s="534"/>
      <c r="F19" s="549"/>
      <c r="G19" s="550"/>
      <c r="H19" s="362" t="s">
        <v>163</v>
      </c>
      <c r="I19" s="324"/>
      <c r="J19" s="331">
        <v>3575</v>
      </c>
      <c r="K19" s="332"/>
      <c r="L19" s="307"/>
      <c r="M19" s="307"/>
      <c r="N19" s="307"/>
      <c r="O19" s="307"/>
      <c r="P19" s="307"/>
      <c r="Q19" s="307"/>
      <c r="R19" s="307"/>
      <c r="S19" s="307"/>
      <c r="T19" s="307"/>
      <c r="U19" s="307"/>
      <c r="V19" s="307"/>
      <c r="W19" s="307"/>
      <c r="X19" s="307"/>
      <c r="Y19" s="307"/>
      <c r="Z19" s="307"/>
    </row>
    <row r="20" spans="1:26" s="311" customFormat="1" ht="18.399999999999999" customHeight="1" thickBot="1">
      <c r="A20" s="364" t="s">
        <v>455</v>
      </c>
      <c r="C20" s="365"/>
      <c r="D20" s="557" t="s">
        <v>197</v>
      </c>
      <c r="E20" s="527"/>
      <c r="F20" s="549"/>
      <c r="G20" s="550"/>
      <c r="H20" s="362" t="s">
        <v>456</v>
      </c>
      <c r="I20" s="324"/>
      <c r="J20" s="335" t="s">
        <v>43</v>
      </c>
      <c r="K20" s="332"/>
      <c r="L20" s="307"/>
      <c r="M20" s="307"/>
      <c r="N20" s="307"/>
      <c r="O20" s="307"/>
      <c r="P20" s="307"/>
      <c r="Q20" s="307"/>
      <c r="R20" s="307"/>
      <c r="S20" s="307"/>
      <c r="T20" s="307"/>
      <c r="U20" s="307"/>
      <c r="V20" s="307"/>
      <c r="W20" s="307"/>
      <c r="X20" s="307"/>
      <c r="Y20" s="307"/>
      <c r="Z20" s="307"/>
    </row>
    <row r="21" spans="1:26" s="311" customFormat="1" ht="18.399999999999999" customHeight="1" thickBot="1">
      <c r="A21" s="539" t="s">
        <v>457</v>
      </c>
      <c r="B21" s="540"/>
      <c r="C21" s="541"/>
      <c r="D21" s="526" t="s">
        <v>18</v>
      </c>
      <c r="E21" s="527"/>
      <c r="F21" s="549"/>
      <c r="G21" s="550"/>
      <c r="H21" s="366" t="s">
        <v>458</v>
      </c>
      <c r="I21" s="324"/>
      <c r="J21" s="335">
        <v>1.1499999999999999</v>
      </c>
      <c r="K21" s="332"/>
      <c r="L21" s="307"/>
      <c r="M21" s="307"/>
      <c r="N21" s="307"/>
      <c r="O21" s="307"/>
      <c r="P21" s="307"/>
      <c r="Q21" s="308" t="s">
        <v>459</v>
      </c>
      <c r="R21" s="310"/>
      <c r="S21" s="307"/>
      <c r="T21" s="307"/>
      <c r="U21" s="307"/>
      <c r="V21" s="307"/>
      <c r="W21" s="307"/>
      <c r="X21" s="307"/>
      <c r="Y21" s="307"/>
      <c r="Z21" s="307"/>
    </row>
    <row r="22" spans="1:26" s="311" customFormat="1" ht="18.399999999999999" customHeight="1">
      <c r="A22" s="360" t="s">
        <v>460</v>
      </c>
      <c r="B22" s="367"/>
      <c r="C22" s="367"/>
      <c r="D22" s="558">
        <v>0.1918</v>
      </c>
      <c r="E22" s="559"/>
      <c r="F22" s="549"/>
      <c r="G22" s="550"/>
      <c r="H22" s="362" t="s">
        <v>415</v>
      </c>
      <c r="I22" s="324"/>
      <c r="J22" s="335" t="s">
        <v>461</v>
      </c>
      <c r="K22" s="332"/>
      <c r="L22" s="307"/>
      <c r="M22" s="307"/>
      <c r="N22" s="307"/>
      <c r="O22" s="307"/>
      <c r="P22" s="307"/>
      <c r="Q22" s="318" t="s">
        <v>462</v>
      </c>
      <c r="R22" s="320"/>
      <c r="S22" s="307"/>
      <c r="T22" s="307"/>
      <c r="U22" s="307"/>
      <c r="V22" s="307"/>
      <c r="W22" s="307"/>
      <c r="X22" s="307"/>
      <c r="Y22" s="307"/>
      <c r="Z22" s="307"/>
    </row>
    <row r="23" spans="1:26" s="311" customFormat="1" ht="18.399999999999999" customHeight="1">
      <c r="A23" s="368" t="s">
        <v>463</v>
      </c>
      <c r="B23" s="369" t="s">
        <v>464</v>
      </c>
      <c r="C23" s="370"/>
      <c r="D23" s="537">
        <v>356</v>
      </c>
      <c r="E23" s="538"/>
      <c r="F23" s="549"/>
      <c r="G23" s="550"/>
      <c r="H23" s="371" t="s">
        <v>465</v>
      </c>
      <c r="I23" s="372"/>
      <c r="J23" s="373"/>
      <c r="K23" s="374"/>
      <c r="L23" s="307"/>
      <c r="Q23" s="318" t="s">
        <v>466</v>
      </c>
      <c r="R23" s="320"/>
      <c r="S23" s="307"/>
      <c r="T23" s="307"/>
      <c r="U23" s="307"/>
      <c r="V23" s="307"/>
      <c r="W23" s="307"/>
      <c r="X23" s="307"/>
      <c r="Y23" s="307"/>
      <c r="Z23" s="307"/>
    </row>
    <row r="24" spans="1:26" s="311" customFormat="1" ht="18.399999999999999" customHeight="1" thickBot="1">
      <c r="A24" s="375" t="s">
        <v>467</v>
      </c>
      <c r="B24" s="376" t="s">
        <v>468</v>
      </c>
      <c r="C24" s="377"/>
      <c r="D24" s="560" t="s">
        <v>18</v>
      </c>
      <c r="E24" s="561"/>
      <c r="F24" s="549"/>
      <c r="G24" s="550"/>
      <c r="H24" s="362" t="s">
        <v>469</v>
      </c>
      <c r="I24" s="345"/>
      <c r="J24" s="378"/>
      <c r="K24" s="379"/>
      <c r="Q24" s="380" t="s">
        <v>18</v>
      </c>
      <c r="R24" s="381"/>
      <c r="S24" s="307"/>
      <c r="T24" s="307"/>
      <c r="U24" s="307"/>
      <c r="V24" s="307"/>
      <c r="W24" s="307"/>
      <c r="X24" s="307"/>
      <c r="Y24" s="307"/>
      <c r="Z24" s="307"/>
    </row>
    <row r="25" spans="1:26" s="311" customFormat="1" ht="18.399999999999999" customHeight="1">
      <c r="A25" s="382" t="s">
        <v>470</v>
      </c>
      <c r="B25" s="383"/>
      <c r="C25" s="383"/>
      <c r="D25" s="384"/>
      <c r="E25" s="384" t="s">
        <v>471</v>
      </c>
      <c r="F25" s="549"/>
      <c r="G25" s="550"/>
      <c r="H25" s="362" t="s">
        <v>472</v>
      </c>
      <c r="I25" s="345"/>
      <c r="J25" s="385"/>
      <c r="K25" s="379"/>
      <c r="R25" s="307"/>
      <c r="S25" s="307"/>
      <c r="T25" s="307"/>
      <c r="U25" s="307"/>
      <c r="V25" s="307"/>
      <c r="W25" s="307"/>
      <c r="X25" s="307"/>
      <c r="Y25" s="307"/>
      <c r="Z25" s="307"/>
    </row>
    <row r="26" spans="1:26" s="311" customFormat="1" ht="18.399999999999999" customHeight="1">
      <c r="A26" s="386" t="s">
        <v>473</v>
      </c>
      <c r="B26" s="387"/>
      <c r="C26" s="388"/>
      <c r="D26" s="389" t="s">
        <v>474</v>
      </c>
      <c r="E26" s="389" t="s">
        <v>475</v>
      </c>
      <c r="F26" s="551"/>
      <c r="G26" s="552"/>
      <c r="H26" s="562"/>
      <c r="I26" s="563"/>
      <c r="J26" s="390"/>
      <c r="K26" s="391"/>
      <c r="R26" s="307"/>
      <c r="S26" s="307"/>
      <c r="T26" s="307"/>
      <c r="U26" s="307"/>
      <c r="V26" s="307"/>
      <c r="W26" s="307"/>
      <c r="X26" s="307"/>
      <c r="Y26" s="307"/>
      <c r="Z26" s="307"/>
    </row>
    <row r="27" spans="1:26" s="311" customFormat="1" ht="18.399999999999999" customHeight="1">
      <c r="A27" s="572" t="s">
        <v>476</v>
      </c>
      <c r="B27" s="573"/>
      <c r="C27" s="573"/>
      <c r="D27" s="573"/>
      <c r="E27" s="573"/>
      <c r="F27" s="516" t="s">
        <v>477</v>
      </c>
      <c r="G27" s="517"/>
      <c r="H27" s="517"/>
      <c r="I27" s="517"/>
      <c r="J27" s="517"/>
      <c r="K27" s="518"/>
      <c r="R27" s="307"/>
      <c r="S27" s="307"/>
      <c r="T27" s="307"/>
      <c r="U27" s="307"/>
      <c r="V27" s="307"/>
      <c r="W27" s="307"/>
      <c r="X27" s="307"/>
      <c r="Y27" s="307"/>
      <c r="Z27" s="307"/>
    </row>
    <row r="28" spans="1:26" s="311" customFormat="1" ht="18.399999999999999" customHeight="1">
      <c r="A28" s="566"/>
      <c r="B28" s="567"/>
      <c r="C28" s="567"/>
      <c r="D28" s="567"/>
      <c r="E28" s="568"/>
      <c r="F28" s="392"/>
      <c r="G28" s="393"/>
      <c r="H28" s="352" t="s">
        <v>478</v>
      </c>
      <c r="I28" s="394">
        <v>374</v>
      </c>
      <c r="J28" s="331" t="s">
        <v>712</v>
      </c>
      <c r="K28" s="326" t="s">
        <v>18</v>
      </c>
      <c r="R28" s="307"/>
      <c r="S28" s="307"/>
      <c r="T28" s="307"/>
      <c r="U28" s="307"/>
      <c r="V28" s="307"/>
      <c r="W28" s="307"/>
      <c r="X28" s="307"/>
      <c r="Y28" s="307"/>
      <c r="Z28" s="307"/>
    </row>
    <row r="29" spans="1:26" s="311" customFormat="1" ht="18.399999999999999" customHeight="1">
      <c r="A29" s="566"/>
      <c r="B29" s="567"/>
      <c r="C29" s="567"/>
      <c r="D29" s="567"/>
      <c r="E29" s="568"/>
      <c r="F29" s="395"/>
      <c r="G29" s="396"/>
      <c r="H29" s="352" t="s">
        <v>479</v>
      </c>
      <c r="I29" s="397">
        <v>70</v>
      </c>
      <c r="J29" s="331">
        <v>200</v>
      </c>
      <c r="K29" s="326" t="s">
        <v>18</v>
      </c>
      <c r="Q29" s="307"/>
      <c r="R29" s="307"/>
      <c r="S29" s="307"/>
      <c r="T29" s="307"/>
      <c r="U29" s="307"/>
      <c r="V29" s="307"/>
      <c r="W29" s="307"/>
      <c r="X29" s="307"/>
      <c r="Y29" s="307"/>
      <c r="Z29" s="307"/>
    </row>
    <row r="30" spans="1:26" s="311" customFormat="1" ht="18.399999999999999" customHeight="1">
      <c r="A30" s="566"/>
      <c r="B30" s="567"/>
      <c r="C30" s="567"/>
      <c r="D30" s="567"/>
      <c r="E30" s="568"/>
      <c r="F30" s="395"/>
      <c r="G30" s="396"/>
      <c r="H30" s="352" t="s">
        <v>480</v>
      </c>
      <c r="I30" s="397">
        <v>175</v>
      </c>
      <c r="J30" s="331">
        <v>250</v>
      </c>
      <c r="K30" s="326" t="s">
        <v>18</v>
      </c>
      <c r="L30" s="307"/>
      <c r="R30" s="307"/>
      <c r="S30" s="307"/>
      <c r="T30" s="307"/>
      <c r="U30" s="307"/>
      <c r="V30" s="307"/>
      <c r="W30" s="307"/>
      <c r="X30" s="307"/>
      <c r="Y30" s="307"/>
      <c r="Z30" s="307"/>
    </row>
    <row r="31" spans="1:26" s="311" customFormat="1" ht="18.399999999999999" customHeight="1">
      <c r="A31" s="566"/>
      <c r="B31" s="567"/>
      <c r="C31" s="567"/>
      <c r="D31" s="567"/>
      <c r="E31" s="568"/>
      <c r="F31" s="395"/>
      <c r="G31" s="396"/>
      <c r="H31" s="352" t="s">
        <v>481</v>
      </c>
      <c r="I31" s="353"/>
      <c r="J31" s="398">
        <v>0.61</v>
      </c>
      <c r="K31" s="326" t="s">
        <v>18</v>
      </c>
      <c r="L31" s="307"/>
      <c r="R31" s="307"/>
      <c r="S31" s="307"/>
      <c r="T31" s="307"/>
      <c r="U31" s="307"/>
      <c r="V31" s="307"/>
      <c r="W31" s="307"/>
      <c r="X31" s="307"/>
      <c r="Y31" s="307"/>
      <c r="Z31" s="307"/>
    </row>
    <row r="32" spans="1:26" s="311" customFormat="1" ht="18.399999999999999" customHeight="1">
      <c r="A32" s="569"/>
      <c r="B32" s="570"/>
      <c r="C32" s="570"/>
      <c r="D32" s="570"/>
      <c r="E32" s="571"/>
      <c r="F32" s="395"/>
      <c r="G32" s="399" t="s">
        <v>482</v>
      </c>
      <c r="H32" s="352" t="s">
        <v>483</v>
      </c>
      <c r="I32" s="400"/>
      <c r="J32" s="325">
        <v>94.7</v>
      </c>
      <c r="K32" s="326" t="s">
        <v>18</v>
      </c>
      <c r="L32" s="307"/>
      <c r="R32" s="307"/>
      <c r="S32" s="307"/>
      <c r="T32" s="307"/>
      <c r="U32" s="307"/>
      <c r="V32" s="307"/>
      <c r="W32" s="307"/>
      <c r="X32" s="307"/>
      <c r="Y32" s="307"/>
      <c r="Z32" s="307"/>
    </row>
    <row r="33" spans="1:26" s="311" customFormat="1" ht="18.399999999999999" customHeight="1">
      <c r="A33" s="572" t="s">
        <v>484</v>
      </c>
      <c r="B33" s="573"/>
      <c r="C33" s="573"/>
      <c r="D33" s="573"/>
      <c r="E33" s="574"/>
      <c r="F33" s="401"/>
      <c r="G33" s="402"/>
      <c r="H33" s="403" t="s">
        <v>485</v>
      </c>
      <c r="I33" s="404"/>
      <c r="J33" s="405">
        <v>86.4</v>
      </c>
      <c r="K33" s="406" t="s">
        <v>18</v>
      </c>
      <c r="L33" s="307"/>
      <c r="R33" s="307"/>
      <c r="S33" s="307"/>
      <c r="T33" s="307"/>
      <c r="U33" s="307"/>
      <c r="V33" s="307"/>
      <c r="W33" s="307"/>
      <c r="X33" s="307"/>
      <c r="Y33" s="307"/>
      <c r="Z33" s="307"/>
    </row>
    <row r="34" spans="1:26" s="311" customFormat="1" ht="18.399999999999999" customHeight="1">
      <c r="A34" s="566"/>
      <c r="B34" s="567"/>
      <c r="C34" s="567"/>
      <c r="D34" s="567"/>
      <c r="E34" s="568"/>
      <c r="F34" s="327" t="s">
        <v>486</v>
      </c>
      <c r="G34" s="407"/>
      <c r="H34" s="408" t="s">
        <v>186</v>
      </c>
      <c r="I34" s="409"/>
      <c r="J34" s="410">
        <v>2750</v>
      </c>
      <c r="K34" s="411" t="s">
        <v>18</v>
      </c>
      <c r="L34" s="412"/>
      <c r="R34" s="307"/>
      <c r="S34" s="307"/>
      <c r="T34" s="307"/>
      <c r="U34" s="307"/>
      <c r="V34" s="307"/>
      <c r="W34" s="307"/>
      <c r="X34" s="307"/>
      <c r="Y34" s="307"/>
      <c r="Z34" s="307"/>
    </row>
    <row r="35" spans="1:26" s="311" customFormat="1" ht="18.399999999999999" customHeight="1">
      <c r="A35" s="566"/>
      <c r="B35" s="567"/>
      <c r="C35" s="567"/>
      <c r="D35" s="567"/>
      <c r="E35" s="568"/>
      <c r="F35" s="346"/>
      <c r="G35" s="413"/>
      <c r="H35" s="414" t="s">
        <v>187</v>
      </c>
      <c r="I35" s="415"/>
      <c r="J35" s="331">
        <v>2141</v>
      </c>
      <c r="K35" s="326" t="s">
        <v>18</v>
      </c>
      <c r="R35" s="307"/>
      <c r="S35" s="307"/>
      <c r="T35" s="307"/>
      <c r="U35" s="307"/>
      <c r="V35" s="307"/>
      <c r="W35" s="307"/>
      <c r="X35" s="307"/>
      <c r="Y35" s="307"/>
      <c r="Z35" s="307"/>
    </row>
    <row r="36" spans="1:26" s="311" customFormat="1" ht="18.399999999999999" customHeight="1">
      <c r="A36" s="566"/>
      <c r="B36" s="567"/>
      <c r="C36" s="567"/>
      <c r="D36" s="567"/>
      <c r="E36" s="568"/>
      <c r="F36" s="346"/>
      <c r="G36" s="413"/>
      <c r="H36" s="414" t="s">
        <v>487</v>
      </c>
      <c r="I36" s="415"/>
      <c r="J36" s="331">
        <v>3287</v>
      </c>
      <c r="K36" s="326" t="s">
        <v>18</v>
      </c>
      <c r="Q36" s="307"/>
      <c r="R36" s="307"/>
      <c r="S36" s="307"/>
      <c r="T36" s="307"/>
      <c r="U36" s="307"/>
      <c r="V36" s="307"/>
      <c r="W36" s="307"/>
      <c r="X36" s="307"/>
      <c r="Y36" s="307"/>
      <c r="Z36" s="307"/>
    </row>
    <row r="37" spans="1:26" s="311" customFormat="1" ht="18.399999999999999" customHeight="1">
      <c r="A37" s="566"/>
      <c r="B37" s="567"/>
      <c r="C37" s="567"/>
      <c r="D37" s="567"/>
      <c r="E37" s="568"/>
      <c r="F37" s="395"/>
      <c r="G37" s="413"/>
      <c r="H37" s="414" t="s">
        <v>488</v>
      </c>
      <c r="I37" s="415"/>
      <c r="J37" s="331">
        <v>5885</v>
      </c>
      <c r="K37" s="326" t="s">
        <v>18</v>
      </c>
      <c r="R37" s="307"/>
      <c r="S37" s="307"/>
      <c r="T37" s="307"/>
      <c r="U37" s="307"/>
      <c r="V37" s="307"/>
      <c r="W37" s="307"/>
      <c r="X37" s="307"/>
      <c r="Y37" s="307"/>
      <c r="Z37" s="307"/>
    </row>
    <row r="38" spans="1:26" s="311" customFormat="1" ht="18.399999999999999" customHeight="1">
      <c r="A38" s="569"/>
      <c r="B38" s="570"/>
      <c r="C38" s="570"/>
      <c r="D38" s="570"/>
      <c r="E38" s="571"/>
      <c r="F38" s="354"/>
      <c r="G38" s="416"/>
      <c r="H38" s="417" t="s">
        <v>489</v>
      </c>
      <c r="I38" s="418"/>
      <c r="J38" s="419">
        <v>4655</v>
      </c>
      <c r="K38" s="420" t="s">
        <v>18</v>
      </c>
      <c r="R38" s="307"/>
      <c r="S38" s="307"/>
      <c r="T38" s="307"/>
      <c r="U38" s="307"/>
      <c r="V38" s="307"/>
      <c r="W38" s="307"/>
      <c r="X38" s="307"/>
      <c r="Y38" s="307"/>
      <c r="Z38" s="307"/>
    </row>
    <row r="39" spans="1:26" s="311" customFormat="1" ht="18.399999999999999" customHeight="1">
      <c r="A39" s="572" t="s">
        <v>490</v>
      </c>
      <c r="B39" s="573"/>
      <c r="C39" s="573"/>
      <c r="D39" s="573"/>
      <c r="E39" s="573"/>
      <c r="F39" s="421" t="s">
        <v>491</v>
      </c>
      <c r="G39" s="422" t="s">
        <v>492</v>
      </c>
      <c r="H39" s="422"/>
      <c r="I39" s="422"/>
      <c r="J39" s="422"/>
      <c r="K39" s="423"/>
      <c r="R39" s="307"/>
      <c r="S39" s="307"/>
      <c r="T39" s="307"/>
      <c r="U39" s="307"/>
      <c r="V39" s="307"/>
      <c r="W39" s="307"/>
      <c r="X39" s="307"/>
      <c r="Y39" s="307"/>
      <c r="Z39" s="307"/>
    </row>
    <row r="40" spans="1:26" s="311" customFormat="1" ht="18.399999999999999" customHeight="1">
      <c r="A40" s="566"/>
      <c r="B40" s="567"/>
      <c r="C40" s="567"/>
      <c r="D40" s="567"/>
      <c r="E40" s="568"/>
      <c r="F40" s="424"/>
      <c r="G40" s="505" t="s">
        <v>722</v>
      </c>
      <c r="H40" s="505"/>
      <c r="I40" s="505"/>
      <c r="J40" s="505"/>
      <c r="K40" s="506"/>
      <c r="R40" s="307"/>
      <c r="S40" s="307"/>
      <c r="T40" s="307"/>
      <c r="U40" s="307"/>
      <c r="V40" s="307"/>
      <c r="W40" s="307"/>
      <c r="X40" s="307"/>
      <c r="Y40" s="307"/>
      <c r="Z40" s="307"/>
    </row>
    <row r="41" spans="1:26" s="311" customFormat="1" ht="18.399999999999999" customHeight="1">
      <c r="A41" s="566"/>
      <c r="B41" s="567"/>
      <c r="C41" s="567"/>
      <c r="D41" s="567"/>
      <c r="E41" s="568"/>
      <c r="F41" s="424"/>
      <c r="G41" s="505" t="s">
        <v>723</v>
      </c>
      <c r="H41" s="505"/>
      <c r="I41" s="505"/>
      <c r="J41" s="505"/>
      <c r="K41" s="506"/>
      <c r="L41" s="427"/>
      <c r="R41" s="307"/>
      <c r="S41" s="307"/>
      <c r="T41" s="307"/>
      <c r="U41" s="307"/>
      <c r="V41" s="307"/>
      <c r="W41" s="307"/>
      <c r="X41" s="307"/>
      <c r="Y41" s="307"/>
      <c r="Z41" s="307"/>
    </row>
    <row r="42" spans="1:26" s="311" customFormat="1" ht="18.399999999999999" customHeight="1">
      <c r="A42" s="566"/>
      <c r="B42" s="567"/>
      <c r="C42" s="567"/>
      <c r="D42" s="567"/>
      <c r="E42" s="568"/>
      <c r="F42" s="424"/>
      <c r="G42" s="505" t="s">
        <v>724</v>
      </c>
      <c r="H42" s="505"/>
      <c r="I42" s="505"/>
      <c r="J42" s="505"/>
      <c r="K42" s="506"/>
      <c r="L42" s="307"/>
      <c r="M42" s="307"/>
      <c r="N42" s="307"/>
      <c r="O42" s="307"/>
      <c r="P42" s="307"/>
      <c r="Q42" s="307"/>
      <c r="R42" s="307"/>
      <c r="S42" s="307"/>
      <c r="T42" s="307"/>
      <c r="U42" s="307"/>
      <c r="V42" s="307"/>
      <c r="W42" s="307"/>
      <c r="X42" s="307"/>
      <c r="Y42" s="307"/>
      <c r="Z42" s="307"/>
    </row>
    <row r="43" spans="1:26" s="311" customFormat="1" ht="18.399999999999999" customHeight="1">
      <c r="A43" s="566"/>
      <c r="B43" s="567"/>
      <c r="C43" s="567"/>
      <c r="D43" s="567"/>
      <c r="E43" s="568"/>
      <c r="F43" s="424"/>
      <c r="G43" s="505" t="s">
        <v>725</v>
      </c>
      <c r="H43" s="505"/>
      <c r="I43" s="505"/>
      <c r="J43" s="505"/>
      <c r="K43" s="506"/>
      <c r="L43" s="307"/>
      <c r="M43" s="307"/>
      <c r="N43" s="307"/>
      <c r="O43" s="307"/>
      <c r="P43" s="307"/>
      <c r="Q43" s="307"/>
      <c r="R43" s="307"/>
      <c r="S43" s="307"/>
      <c r="T43" s="307"/>
      <c r="U43" s="307"/>
      <c r="V43" s="307"/>
      <c r="W43" s="307"/>
      <c r="X43" s="307"/>
      <c r="Y43" s="307"/>
      <c r="Z43" s="307"/>
    </row>
    <row r="44" spans="1:26" s="311" customFormat="1" ht="17.100000000000001" customHeight="1" thickBot="1">
      <c r="A44" s="575"/>
      <c r="B44" s="576"/>
      <c r="C44" s="576"/>
      <c r="D44" s="576"/>
      <c r="E44" s="577"/>
      <c r="F44" s="424"/>
      <c r="G44" s="425" t="s">
        <v>493</v>
      </c>
      <c r="H44" s="425"/>
      <c r="I44" s="425"/>
      <c r="J44" s="425"/>
      <c r="K44" s="426"/>
      <c r="L44" s="307"/>
      <c r="M44" s="307"/>
      <c r="N44" s="307"/>
      <c r="O44" s="307"/>
      <c r="P44" s="307"/>
      <c r="Q44" s="307"/>
      <c r="R44" s="307"/>
      <c r="S44" s="307"/>
      <c r="T44" s="307"/>
      <c r="U44" s="307"/>
      <c r="V44" s="307"/>
      <c r="W44" s="307"/>
      <c r="X44" s="307"/>
      <c r="Y44" s="307"/>
      <c r="Z44" s="307"/>
    </row>
    <row r="45" spans="1:26" s="311" customFormat="1" ht="17.100000000000001" customHeight="1">
      <c r="A45" s="428" t="s">
        <v>494</v>
      </c>
      <c r="B45" s="578" t="s">
        <v>495</v>
      </c>
      <c r="C45" s="579"/>
      <c r="D45" s="429" t="s">
        <v>496</v>
      </c>
      <c r="E45" s="430" t="s">
        <v>497</v>
      </c>
      <c r="F45" s="431"/>
      <c r="G45" s="425" t="s">
        <v>498</v>
      </c>
      <c r="H45" s="425"/>
      <c r="I45" s="425"/>
      <c r="J45" s="425"/>
      <c r="K45" s="426"/>
      <c r="L45" s="307"/>
      <c r="M45" s="307"/>
      <c r="N45" s="307"/>
      <c r="O45" s="307"/>
      <c r="P45" s="307"/>
      <c r="Q45" s="307"/>
      <c r="R45" s="307"/>
      <c r="S45" s="307"/>
      <c r="T45" s="307"/>
      <c r="U45" s="307"/>
      <c r="V45" s="307"/>
      <c r="W45" s="307"/>
      <c r="X45" s="307"/>
      <c r="Y45" s="307"/>
      <c r="Z45" s="307"/>
    </row>
    <row r="46" spans="1:26" s="311" customFormat="1" ht="17.100000000000001" customHeight="1" thickBot="1">
      <c r="A46" s="432" t="s">
        <v>499</v>
      </c>
      <c r="B46" s="564">
        <v>39258</v>
      </c>
      <c r="C46" s="565"/>
      <c r="D46" s="433" t="s">
        <v>499</v>
      </c>
      <c r="E46" s="434">
        <v>39195</v>
      </c>
      <c r="F46" s="435"/>
      <c r="G46" s="436" t="s">
        <v>500</v>
      </c>
      <c r="H46" s="436"/>
      <c r="I46" s="436"/>
      <c r="J46" s="436"/>
      <c r="K46" s="437"/>
      <c r="L46" s="307"/>
      <c r="M46" s="307"/>
      <c r="N46" s="307"/>
      <c r="O46" s="307"/>
      <c r="P46" s="307"/>
      <c r="Q46" s="307"/>
      <c r="R46" s="307"/>
      <c r="S46" s="307"/>
      <c r="T46" s="307"/>
      <c r="U46" s="307"/>
      <c r="V46" s="307"/>
      <c r="W46" s="307"/>
      <c r="X46" s="307"/>
      <c r="Y46" s="307"/>
      <c r="Z46" s="307"/>
    </row>
    <row r="47" spans="1:26" s="311" customFormat="1" ht="17.100000000000001" customHeight="1">
      <c r="F47" s="438"/>
      <c r="G47" s="307"/>
      <c r="H47" s="307"/>
      <c r="I47" s="307"/>
      <c r="J47" s="307"/>
      <c r="K47" s="307"/>
      <c r="L47" s="307"/>
      <c r="M47" s="307"/>
      <c r="N47" s="307"/>
      <c r="O47" s="307"/>
      <c r="P47" s="307"/>
      <c r="Q47" s="307"/>
      <c r="R47" s="307"/>
      <c r="S47" s="307"/>
      <c r="T47" s="307"/>
      <c r="U47" s="307"/>
    </row>
    <row r="48" spans="1:26" s="311" customFormat="1" ht="17.100000000000001" customHeight="1">
      <c r="F48" s="307"/>
      <c r="G48" s="307"/>
      <c r="H48" s="307"/>
      <c r="I48" s="307"/>
      <c r="J48" s="307"/>
      <c r="K48" s="307"/>
    </row>
    <row r="49" spans="2:26" ht="17.100000000000001" customHeight="1">
      <c r="F49" s="297"/>
      <c r="G49" s="297"/>
      <c r="H49" s="297"/>
      <c r="I49" s="297"/>
      <c r="J49" s="297"/>
      <c r="K49" s="297"/>
      <c r="L49" s="298"/>
      <c r="M49" s="298"/>
      <c r="N49" s="298"/>
      <c r="O49" s="298"/>
      <c r="P49" s="298"/>
      <c r="Q49" s="298"/>
      <c r="R49" s="298"/>
      <c r="S49" s="298"/>
      <c r="T49" s="298"/>
      <c r="U49" s="298"/>
      <c r="V49" s="298"/>
      <c r="W49" s="298"/>
      <c r="X49" s="298"/>
      <c r="Y49" s="298"/>
      <c r="Z49" s="298"/>
    </row>
    <row r="50" spans="2:26">
      <c r="F50" s="297"/>
      <c r="G50" s="297"/>
      <c r="H50" s="297"/>
      <c r="I50" s="297"/>
      <c r="J50" s="297"/>
      <c r="K50" s="297"/>
      <c r="L50" s="298"/>
      <c r="M50" s="298"/>
      <c r="N50" s="298"/>
      <c r="O50" s="298"/>
      <c r="P50" s="298"/>
      <c r="Q50" s="298"/>
      <c r="R50" s="298"/>
      <c r="S50" s="298"/>
      <c r="T50" s="298"/>
      <c r="U50" s="298"/>
      <c r="V50" s="298"/>
      <c r="W50" s="298"/>
      <c r="X50" s="298"/>
      <c r="Y50" s="298"/>
      <c r="Z50" s="298"/>
    </row>
    <row r="51" spans="2:26">
      <c r="F51" s="297"/>
      <c r="G51" s="297"/>
      <c r="H51" s="297"/>
      <c r="I51" s="297"/>
      <c r="J51" s="297"/>
      <c r="K51" s="297"/>
      <c r="L51" s="298"/>
      <c r="M51" s="298"/>
      <c r="N51" s="298"/>
      <c r="O51" s="298"/>
      <c r="P51" s="298"/>
      <c r="Q51" s="298"/>
      <c r="R51" s="298"/>
      <c r="S51" s="298"/>
      <c r="T51" s="298"/>
      <c r="U51" s="298"/>
      <c r="V51" s="298"/>
      <c r="W51" s="298"/>
      <c r="X51" s="298"/>
      <c r="Y51" s="298"/>
      <c r="Z51" s="298"/>
    </row>
    <row r="52" spans="2:26">
      <c r="B52" s="297"/>
      <c r="C52" s="297"/>
      <c r="D52" s="297"/>
      <c r="E52" s="297"/>
      <c r="F52" s="297"/>
      <c r="G52" s="297"/>
      <c r="H52" s="297"/>
      <c r="I52" s="297"/>
      <c r="J52" s="297"/>
      <c r="K52" s="297"/>
      <c r="Q52" s="298"/>
      <c r="R52" s="298"/>
      <c r="S52" s="298"/>
      <c r="T52" s="298"/>
      <c r="U52" s="298"/>
      <c r="V52" s="298"/>
      <c r="W52" s="298"/>
      <c r="X52" s="298"/>
      <c r="Y52" s="298"/>
      <c r="Z52" s="298"/>
    </row>
    <row r="53" spans="2:26">
      <c r="F53" s="297"/>
      <c r="G53" s="297"/>
      <c r="H53" s="297"/>
      <c r="I53" s="297"/>
      <c r="J53" s="297"/>
      <c r="K53" s="297"/>
      <c r="Q53" s="298"/>
      <c r="R53" s="298"/>
      <c r="S53" s="298"/>
      <c r="T53" s="298"/>
      <c r="U53" s="298"/>
      <c r="V53" s="298"/>
      <c r="W53" s="298"/>
      <c r="X53" s="298"/>
      <c r="Y53" s="298"/>
      <c r="Z53" s="298"/>
    </row>
  </sheetData>
  <mergeCells count="49">
    <mergeCell ref="A27:E27"/>
    <mergeCell ref="F27:K27"/>
    <mergeCell ref="B46:C46"/>
    <mergeCell ref="A28:E32"/>
    <mergeCell ref="A33:E33"/>
    <mergeCell ref="A34:E38"/>
    <mergeCell ref="A39:E39"/>
    <mergeCell ref="A40:E44"/>
    <mergeCell ref="B45:C45"/>
    <mergeCell ref="A16:C16"/>
    <mergeCell ref="D16:E16"/>
    <mergeCell ref="D17:E17"/>
    <mergeCell ref="F17:K17"/>
    <mergeCell ref="D18:E18"/>
    <mergeCell ref="F18:G26"/>
    <mergeCell ref="A19:C19"/>
    <mergeCell ref="D19:E19"/>
    <mergeCell ref="D20:E20"/>
    <mergeCell ref="A21:C21"/>
    <mergeCell ref="D21:E21"/>
    <mergeCell ref="D22:E22"/>
    <mergeCell ref="D23:E23"/>
    <mergeCell ref="D24:E24"/>
    <mergeCell ref="H26:I26"/>
    <mergeCell ref="A13:C13"/>
    <mergeCell ref="D13:E13"/>
    <mergeCell ref="A14:C14"/>
    <mergeCell ref="D14:E14"/>
    <mergeCell ref="A15:C15"/>
    <mergeCell ref="D15:E15"/>
    <mergeCell ref="F12:K12"/>
    <mergeCell ref="A7:C7"/>
    <mergeCell ref="D7:E7"/>
    <mergeCell ref="A8:C8"/>
    <mergeCell ref="D8:E8"/>
    <mergeCell ref="A9:C9"/>
    <mergeCell ref="D9:E9"/>
    <mergeCell ref="A10:C10"/>
    <mergeCell ref="D10:E10"/>
    <mergeCell ref="A11:C11"/>
    <mergeCell ref="D11:E11"/>
    <mergeCell ref="D12:E12"/>
    <mergeCell ref="A1:K1"/>
    <mergeCell ref="A2:K2"/>
    <mergeCell ref="J3:K3"/>
    <mergeCell ref="A5:C5"/>
    <mergeCell ref="A6:C6"/>
    <mergeCell ref="D6:E6"/>
    <mergeCell ref="F6:K6"/>
  </mergeCells>
  <dataValidations count="3">
    <dataValidation type="list" allowBlank="1" showInputMessage="1" sqref="D6:E6 IZ6:JA6 SV6:SW6 ACR6:ACS6 AMN6:AMO6 AWJ6:AWK6 BGF6:BGG6 BQB6:BQC6 BZX6:BZY6 CJT6:CJU6 CTP6:CTQ6 DDL6:DDM6 DNH6:DNI6 DXD6:DXE6 EGZ6:EHA6 EQV6:EQW6 FAR6:FAS6 FKN6:FKO6 FUJ6:FUK6 GEF6:GEG6 GOB6:GOC6 GXX6:GXY6 HHT6:HHU6 HRP6:HRQ6 IBL6:IBM6 ILH6:ILI6 IVD6:IVE6 JEZ6:JFA6 JOV6:JOW6 JYR6:JYS6 KIN6:KIO6 KSJ6:KSK6 LCF6:LCG6 LMB6:LMC6 LVX6:LVY6 MFT6:MFU6 MPP6:MPQ6 MZL6:MZM6 NJH6:NJI6 NTD6:NTE6 OCZ6:ODA6 OMV6:OMW6 OWR6:OWS6 PGN6:PGO6 PQJ6:PQK6 QAF6:QAG6 QKB6:QKC6 QTX6:QTY6 RDT6:RDU6 RNP6:RNQ6 RXL6:RXM6 SHH6:SHI6 SRD6:SRE6 TAZ6:TBA6 TKV6:TKW6 TUR6:TUS6 UEN6:UEO6 UOJ6:UOK6 UYF6:UYG6 VIB6:VIC6 VRX6:VRY6 WBT6:WBU6 WLP6:WLQ6 WVL6:WVM6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00000000-0002-0000-0100-000000000000}">
      <formula1>$T$5:$T$10</formula1>
    </dataValidation>
    <dataValidation type="list" allowBlank="1" showErrorMessage="1" error="Choose from list!" sqref="D21 IZ21 SV21 ACR21 AMN21 AWJ21 BGF21 BQB21 BZX21 CJT21 CTP21 DDL21 DNH21 DXD21 EGZ21 EQV21 FAR21 FKN21 FUJ21 GEF21 GOB21 GXX21 HHT21 HRP21 IBL21 ILH21 IVD21 JEZ21 JOV21 JYR21 KIN21 KSJ21 LCF21 LMB21 LVX21 MFT21 MPP21 MZL21 NJH21 NTD21 OCZ21 OMV21 OWR21 PGN21 PQJ21 QAF21 QKB21 QTX21 RDT21 RNP21 RXL21 SHH21 SRD21 TAZ21 TKV21 TUR21 UEN21 UOJ21 UYF21 VIB21 VRX21 WBT21 WLP21 WVL21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xr:uid="{00000000-0002-0000-0100-000001000000}">
      <formula1>$Q$22:$Q$24</formula1>
    </dataValidation>
    <dataValidation type="list" allowBlank="1" showInputMessage="1" errorTitle="Hold on!" error="Enter a valid motor type!" prompt="Motor Type  Select one from the list or input name" sqref="K4 JG4 TC4 ACY4 AMU4 AWQ4 BGM4 BQI4 CAE4 CKA4 CTW4 DDS4 DNO4 DXK4 EHG4 ERC4 FAY4 FKU4 FUQ4 GEM4 GOI4 GYE4 HIA4 HRW4 IBS4 ILO4 IVK4 JFG4 JPC4 JYY4 KIU4 KSQ4 LCM4 LMI4 LWE4 MGA4 MPW4 MZS4 NJO4 NTK4 ODG4 ONC4 OWY4 PGU4 PQQ4 QAM4 QKI4 QUE4 REA4 RNW4 RXS4 SHO4 SRK4 TBG4 TLC4 TUY4 UEU4 UOQ4 UYM4 VII4 VSE4 WCA4 WLW4 WVS4 K65540 JG65540 TC65540 ACY65540 AMU65540 AWQ65540 BGM65540 BQI65540 CAE65540 CKA65540 CTW65540 DDS65540 DNO65540 DXK65540 EHG65540 ERC65540 FAY65540 FKU65540 FUQ65540 GEM65540 GOI65540 GYE65540 HIA65540 HRW65540 IBS65540 ILO65540 IVK65540 JFG65540 JPC65540 JYY65540 KIU65540 KSQ65540 LCM65540 LMI65540 LWE65540 MGA65540 MPW65540 MZS65540 NJO65540 NTK65540 ODG65540 ONC65540 OWY65540 PGU65540 PQQ65540 QAM65540 QKI65540 QUE65540 REA65540 RNW65540 RXS65540 SHO65540 SRK65540 TBG65540 TLC65540 TUY65540 UEU65540 UOQ65540 UYM65540 VII65540 VSE65540 WCA65540 WLW65540 WVS65540 K131076 JG131076 TC131076 ACY131076 AMU131076 AWQ131076 BGM131076 BQI131076 CAE131076 CKA131076 CTW131076 DDS131076 DNO131076 DXK131076 EHG131076 ERC131076 FAY131076 FKU131076 FUQ131076 GEM131076 GOI131076 GYE131076 HIA131076 HRW131076 IBS131076 ILO131076 IVK131076 JFG131076 JPC131076 JYY131076 KIU131076 KSQ131076 LCM131076 LMI131076 LWE131076 MGA131076 MPW131076 MZS131076 NJO131076 NTK131076 ODG131076 ONC131076 OWY131076 PGU131076 PQQ131076 QAM131076 QKI131076 QUE131076 REA131076 RNW131076 RXS131076 SHO131076 SRK131076 TBG131076 TLC131076 TUY131076 UEU131076 UOQ131076 UYM131076 VII131076 VSE131076 WCA131076 WLW131076 WVS131076 K196612 JG196612 TC196612 ACY196612 AMU196612 AWQ196612 BGM196612 BQI196612 CAE196612 CKA196612 CTW196612 DDS196612 DNO196612 DXK196612 EHG196612 ERC196612 FAY196612 FKU196612 FUQ196612 GEM196612 GOI196612 GYE196612 HIA196612 HRW196612 IBS196612 ILO196612 IVK196612 JFG196612 JPC196612 JYY196612 KIU196612 KSQ196612 LCM196612 LMI196612 LWE196612 MGA196612 MPW196612 MZS196612 NJO196612 NTK196612 ODG196612 ONC196612 OWY196612 PGU196612 PQQ196612 QAM196612 QKI196612 QUE196612 REA196612 RNW196612 RXS196612 SHO196612 SRK196612 TBG196612 TLC196612 TUY196612 UEU196612 UOQ196612 UYM196612 VII196612 VSE196612 WCA196612 WLW196612 WVS196612 K262148 JG262148 TC262148 ACY262148 AMU262148 AWQ262148 BGM262148 BQI262148 CAE262148 CKA262148 CTW262148 DDS262148 DNO262148 DXK262148 EHG262148 ERC262148 FAY262148 FKU262148 FUQ262148 GEM262148 GOI262148 GYE262148 HIA262148 HRW262148 IBS262148 ILO262148 IVK262148 JFG262148 JPC262148 JYY262148 KIU262148 KSQ262148 LCM262148 LMI262148 LWE262148 MGA262148 MPW262148 MZS262148 NJO262148 NTK262148 ODG262148 ONC262148 OWY262148 PGU262148 PQQ262148 QAM262148 QKI262148 QUE262148 REA262148 RNW262148 RXS262148 SHO262148 SRK262148 TBG262148 TLC262148 TUY262148 UEU262148 UOQ262148 UYM262148 VII262148 VSE262148 WCA262148 WLW262148 WVS262148 K327684 JG327684 TC327684 ACY327684 AMU327684 AWQ327684 BGM327684 BQI327684 CAE327684 CKA327684 CTW327684 DDS327684 DNO327684 DXK327684 EHG327684 ERC327684 FAY327684 FKU327684 FUQ327684 GEM327684 GOI327684 GYE327684 HIA327684 HRW327684 IBS327684 ILO327684 IVK327684 JFG327684 JPC327684 JYY327684 KIU327684 KSQ327684 LCM327684 LMI327684 LWE327684 MGA327684 MPW327684 MZS327684 NJO327684 NTK327684 ODG327684 ONC327684 OWY327684 PGU327684 PQQ327684 QAM327684 QKI327684 QUE327684 REA327684 RNW327684 RXS327684 SHO327684 SRK327684 TBG327684 TLC327684 TUY327684 UEU327684 UOQ327684 UYM327684 VII327684 VSE327684 WCA327684 WLW327684 WVS327684 K393220 JG393220 TC393220 ACY393220 AMU393220 AWQ393220 BGM393220 BQI393220 CAE393220 CKA393220 CTW393220 DDS393220 DNO393220 DXK393220 EHG393220 ERC393220 FAY393220 FKU393220 FUQ393220 GEM393220 GOI393220 GYE393220 HIA393220 HRW393220 IBS393220 ILO393220 IVK393220 JFG393220 JPC393220 JYY393220 KIU393220 KSQ393220 LCM393220 LMI393220 LWE393220 MGA393220 MPW393220 MZS393220 NJO393220 NTK393220 ODG393220 ONC393220 OWY393220 PGU393220 PQQ393220 QAM393220 QKI393220 QUE393220 REA393220 RNW393220 RXS393220 SHO393220 SRK393220 TBG393220 TLC393220 TUY393220 UEU393220 UOQ393220 UYM393220 VII393220 VSE393220 WCA393220 WLW393220 WVS393220 K458756 JG458756 TC458756 ACY458756 AMU458756 AWQ458756 BGM458756 BQI458756 CAE458756 CKA458756 CTW458756 DDS458756 DNO458756 DXK458756 EHG458756 ERC458756 FAY458756 FKU458756 FUQ458756 GEM458756 GOI458756 GYE458756 HIA458756 HRW458756 IBS458756 ILO458756 IVK458756 JFG458756 JPC458756 JYY458756 KIU458756 KSQ458756 LCM458756 LMI458756 LWE458756 MGA458756 MPW458756 MZS458756 NJO458756 NTK458756 ODG458756 ONC458756 OWY458756 PGU458756 PQQ458756 QAM458756 QKI458756 QUE458756 REA458756 RNW458756 RXS458756 SHO458756 SRK458756 TBG458756 TLC458756 TUY458756 UEU458756 UOQ458756 UYM458756 VII458756 VSE458756 WCA458756 WLW458756 WVS458756 K524292 JG524292 TC524292 ACY524292 AMU524292 AWQ524292 BGM524292 BQI524292 CAE524292 CKA524292 CTW524292 DDS524292 DNO524292 DXK524292 EHG524292 ERC524292 FAY524292 FKU524292 FUQ524292 GEM524292 GOI524292 GYE524292 HIA524292 HRW524292 IBS524292 ILO524292 IVK524292 JFG524292 JPC524292 JYY524292 KIU524292 KSQ524292 LCM524292 LMI524292 LWE524292 MGA524292 MPW524292 MZS524292 NJO524292 NTK524292 ODG524292 ONC524292 OWY524292 PGU524292 PQQ524292 QAM524292 QKI524292 QUE524292 REA524292 RNW524292 RXS524292 SHO524292 SRK524292 TBG524292 TLC524292 TUY524292 UEU524292 UOQ524292 UYM524292 VII524292 VSE524292 WCA524292 WLW524292 WVS524292 K589828 JG589828 TC589828 ACY589828 AMU589828 AWQ589828 BGM589828 BQI589828 CAE589828 CKA589828 CTW589828 DDS589828 DNO589828 DXK589828 EHG589828 ERC589828 FAY589828 FKU589828 FUQ589828 GEM589828 GOI589828 GYE589828 HIA589828 HRW589828 IBS589828 ILO589828 IVK589828 JFG589828 JPC589828 JYY589828 KIU589828 KSQ589828 LCM589828 LMI589828 LWE589828 MGA589828 MPW589828 MZS589828 NJO589828 NTK589828 ODG589828 ONC589828 OWY589828 PGU589828 PQQ589828 QAM589828 QKI589828 QUE589828 REA589828 RNW589828 RXS589828 SHO589828 SRK589828 TBG589828 TLC589828 TUY589828 UEU589828 UOQ589828 UYM589828 VII589828 VSE589828 WCA589828 WLW589828 WVS589828 K655364 JG655364 TC655364 ACY655364 AMU655364 AWQ655364 BGM655364 BQI655364 CAE655364 CKA655364 CTW655364 DDS655364 DNO655364 DXK655364 EHG655364 ERC655364 FAY655364 FKU655364 FUQ655364 GEM655364 GOI655364 GYE655364 HIA655364 HRW655364 IBS655364 ILO655364 IVK655364 JFG655364 JPC655364 JYY655364 KIU655364 KSQ655364 LCM655364 LMI655364 LWE655364 MGA655364 MPW655364 MZS655364 NJO655364 NTK655364 ODG655364 ONC655364 OWY655364 PGU655364 PQQ655364 QAM655364 QKI655364 QUE655364 REA655364 RNW655364 RXS655364 SHO655364 SRK655364 TBG655364 TLC655364 TUY655364 UEU655364 UOQ655364 UYM655364 VII655364 VSE655364 WCA655364 WLW655364 WVS655364 K720900 JG720900 TC720900 ACY720900 AMU720900 AWQ720900 BGM720900 BQI720900 CAE720900 CKA720900 CTW720900 DDS720900 DNO720900 DXK720900 EHG720900 ERC720900 FAY720900 FKU720900 FUQ720900 GEM720900 GOI720900 GYE720900 HIA720900 HRW720900 IBS720900 ILO720900 IVK720900 JFG720900 JPC720900 JYY720900 KIU720900 KSQ720900 LCM720900 LMI720900 LWE720900 MGA720900 MPW720900 MZS720900 NJO720900 NTK720900 ODG720900 ONC720900 OWY720900 PGU720900 PQQ720900 QAM720900 QKI720900 QUE720900 REA720900 RNW720900 RXS720900 SHO720900 SRK720900 TBG720900 TLC720900 TUY720900 UEU720900 UOQ720900 UYM720900 VII720900 VSE720900 WCA720900 WLW720900 WVS720900 K786436 JG786436 TC786436 ACY786436 AMU786436 AWQ786436 BGM786436 BQI786436 CAE786436 CKA786436 CTW786436 DDS786436 DNO786436 DXK786436 EHG786436 ERC786436 FAY786436 FKU786436 FUQ786436 GEM786436 GOI786436 GYE786436 HIA786436 HRW786436 IBS786436 ILO786436 IVK786436 JFG786436 JPC786436 JYY786436 KIU786436 KSQ786436 LCM786436 LMI786436 LWE786436 MGA786436 MPW786436 MZS786436 NJO786436 NTK786436 ODG786436 ONC786436 OWY786436 PGU786436 PQQ786436 QAM786436 QKI786436 QUE786436 REA786436 RNW786436 RXS786436 SHO786436 SRK786436 TBG786436 TLC786436 TUY786436 UEU786436 UOQ786436 UYM786436 VII786436 VSE786436 WCA786436 WLW786436 WVS786436 K851972 JG851972 TC851972 ACY851972 AMU851972 AWQ851972 BGM851972 BQI851972 CAE851972 CKA851972 CTW851972 DDS851972 DNO851972 DXK851972 EHG851972 ERC851972 FAY851972 FKU851972 FUQ851972 GEM851972 GOI851972 GYE851972 HIA851972 HRW851972 IBS851972 ILO851972 IVK851972 JFG851972 JPC851972 JYY851972 KIU851972 KSQ851972 LCM851972 LMI851972 LWE851972 MGA851972 MPW851972 MZS851972 NJO851972 NTK851972 ODG851972 ONC851972 OWY851972 PGU851972 PQQ851972 QAM851972 QKI851972 QUE851972 REA851972 RNW851972 RXS851972 SHO851972 SRK851972 TBG851972 TLC851972 TUY851972 UEU851972 UOQ851972 UYM851972 VII851972 VSE851972 WCA851972 WLW851972 WVS851972 K917508 JG917508 TC917508 ACY917508 AMU917508 AWQ917508 BGM917508 BQI917508 CAE917508 CKA917508 CTW917508 DDS917508 DNO917508 DXK917508 EHG917508 ERC917508 FAY917508 FKU917508 FUQ917508 GEM917508 GOI917508 GYE917508 HIA917508 HRW917508 IBS917508 ILO917508 IVK917508 JFG917508 JPC917508 JYY917508 KIU917508 KSQ917508 LCM917508 LMI917508 LWE917508 MGA917508 MPW917508 MZS917508 NJO917508 NTK917508 ODG917508 ONC917508 OWY917508 PGU917508 PQQ917508 QAM917508 QKI917508 QUE917508 REA917508 RNW917508 RXS917508 SHO917508 SRK917508 TBG917508 TLC917508 TUY917508 UEU917508 UOQ917508 UYM917508 VII917508 VSE917508 WCA917508 WLW917508 WVS917508 K983044 JG983044 TC983044 ACY983044 AMU983044 AWQ983044 BGM983044 BQI983044 CAE983044 CKA983044 CTW983044 DDS983044 DNO983044 DXK983044 EHG983044 ERC983044 FAY983044 FKU983044 FUQ983044 GEM983044 GOI983044 GYE983044 HIA983044 HRW983044 IBS983044 ILO983044 IVK983044 JFG983044 JPC983044 JYY983044 KIU983044 KSQ983044 LCM983044 LMI983044 LWE983044 MGA983044 MPW983044 MZS983044 NJO983044 NTK983044 ODG983044 ONC983044 OWY983044 PGU983044 PQQ983044 QAM983044 QKI983044 QUE983044 REA983044 RNW983044 RXS983044 SHO983044 SRK983044 TBG983044 TLC983044 TUY983044 UEU983044 UOQ983044 UYM983044 VII983044 VSE983044 WCA983044 WLW983044 WVS983044" xr:uid="{00000000-0002-0000-0100-000002000000}">
      <formula1>$Q$5:$Q$11</formula1>
    </dataValidation>
  </dataValidations>
  <printOptions horizontalCentered="1" verticalCentered="1"/>
  <pageMargins left="0.25" right="0.25" top="0.5" bottom="0.5" header="0.5" footer="0.5"/>
  <pageSetup scale="82" orientation="portrait" blackAndWhite="1" horizont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79"/>
  <sheetViews>
    <sheetView zoomScale="75" zoomScaleNormal="75" workbookViewId="0"/>
  </sheetViews>
  <sheetFormatPr defaultRowHeight="12.75"/>
  <cols>
    <col min="1" max="1" width="9.140625" style="444" customWidth="1"/>
    <col min="2" max="2" width="8.140625" style="444" bestFit="1" customWidth="1"/>
    <col min="3" max="3" width="12.5703125" style="444" bestFit="1" customWidth="1"/>
    <col min="4" max="4" width="21.28515625" style="444" bestFit="1" customWidth="1"/>
    <col min="5" max="5" width="6.85546875" style="444" bestFit="1" customWidth="1"/>
    <col min="6" max="6" width="29.85546875" style="444" customWidth="1"/>
    <col min="7" max="7" width="65.85546875" style="444" customWidth="1"/>
    <col min="8" max="8" width="11.7109375" style="444" bestFit="1" customWidth="1"/>
    <col min="9" max="9" width="5.140625" style="444" bestFit="1" customWidth="1"/>
    <col min="10" max="10" width="2.28515625" style="444" bestFit="1" customWidth="1"/>
    <col min="11" max="12" width="2.28515625" style="444" customWidth="1"/>
    <col min="13" max="13" width="2.5703125" style="444" bestFit="1" customWidth="1"/>
    <col min="14" max="14" width="2.28515625" style="444" bestFit="1" customWidth="1"/>
    <col min="15" max="256" width="9.140625" style="444"/>
    <col min="257" max="257" width="9.140625" style="444" customWidth="1"/>
    <col min="258" max="258" width="8.140625" style="444" bestFit="1" customWidth="1"/>
    <col min="259" max="259" width="12.5703125" style="444" bestFit="1" customWidth="1"/>
    <col min="260" max="260" width="21.28515625" style="444" bestFit="1" customWidth="1"/>
    <col min="261" max="261" width="6.85546875" style="444" bestFit="1" customWidth="1"/>
    <col min="262" max="262" width="29.85546875" style="444" customWidth="1"/>
    <col min="263" max="263" width="65.85546875" style="444" customWidth="1"/>
    <col min="264" max="264" width="11.7109375" style="444" bestFit="1" customWidth="1"/>
    <col min="265" max="265" width="5.140625" style="444" bestFit="1" customWidth="1"/>
    <col min="266" max="266" width="2.28515625" style="444" bestFit="1" customWidth="1"/>
    <col min="267" max="268" width="2.28515625" style="444" customWidth="1"/>
    <col min="269" max="269" width="2.5703125" style="444" bestFit="1" customWidth="1"/>
    <col min="270" max="270" width="2.28515625" style="444" bestFit="1" customWidth="1"/>
    <col min="271" max="512" width="9.140625" style="444"/>
    <col min="513" max="513" width="9.140625" style="444" customWidth="1"/>
    <col min="514" max="514" width="8.140625" style="444" bestFit="1" customWidth="1"/>
    <col min="515" max="515" width="12.5703125" style="444" bestFit="1" customWidth="1"/>
    <col min="516" max="516" width="21.28515625" style="444" bestFit="1" customWidth="1"/>
    <col min="517" max="517" width="6.85546875" style="444" bestFit="1" customWidth="1"/>
    <col min="518" max="518" width="29.85546875" style="444" customWidth="1"/>
    <col min="519" max="519" width="65.85546875" style="444" customWidth="1"/>
    <col min="520" max="520" width="11.7109375" style="444" bestFit="1" customWidth="1"/>
    <col min="521" max="521" width="5.140625" style="444" bestFit="1" customWidth="1"/>
    <col min="522" max="522" width="2.28515625" style="444" bestFit="1" customWidth="1"/>
    <col min="523" max="524" width="2.28515625" style="444" customWidth="1"/>
    <col min="525" max="525" width="2.5703125" style="444" bestFit="1" customWidth="1"/>
    <col min="526" max="526" width="2.28515625" style="444" bestFit="1" customWidth="1"/>
    <col min="527" max="768" width="9.140625" style="444"/>
    <col min="769" max="769" width="9.140625" style="444" customWidth="1"/>
    <col min="770" max="770" width="8.140625" style="444" bestFit="1" customWidth="1"/>
    <col min="771" max="771" width="12.5703125" style="444" bestFit="1" customWidth="1"/>
    <col min="772" max="772" width="21.28515625" style="444" bestFit="1" customWidth="1"/>
    <col min="773" max="773" width="6.85546875" style="444" bestFit="1" customWidth="1"/>
    <col min="774" max="774" width="29.85546875" style="444" customWidth="1"/>
    <col min="775" max="775" width="65.85546875" style="444" customWidth="1"/>
    <col min="776" max="776" width="11.7109375" style="444" bestFit="1" customWidth="1"/>
    <col min="777" max="777" width="5.140625" style="444" bestFit="1" customWidth="1"/>
    <col min="778" max="778" width="2.28515625" style="444" bestFit="1" customWidth="1"/>
    <col min="779" max="780" width="2.28515625" style="444" customWidth="1"/>
    <col min="781" max="781" width="2.5703125" style="444" bestFit="1" customWidth="1"/>
    <col min="782" max="782" width="2.28515625" style="444" bestFit="1" customWidth="1"/>
    <col min="783" max="1024" width="9.140625" style="444"/>
    <col min="1025" max="1025" width="9.140625" style="444" customWidth="1"/>
    <col min="1026" max="1026" width="8.140625" style="444" bestFit="1" customWidth="1"/>
    <col min="1027" max="1027" width="12.5703125" style="444" bestFit="1" customWidth="1"/>
    <col min="1028" max="1028" width="21.28515625" style="444" bestFit="1" customWidth="1"/>
    <col min="1029" max="1029" width="6.85546875" style="444" bestFit="1" customWidth="1"/>
    <col min="1030" max="1030" width="29.85546875" style="444" customWidth="1"/>
    <col min="1031" max="1031" width="65.85546875" style="444" customWidth="1"/>
    <col min="1032" max="1032" width="11.7109375" style="444" bestFit="1" customWidth="1"/>
    <col min="1033" max="1033" width="5.140625" style="444" bestFit="1" customWidth="1"/>
    <col min="1034" max="1034" width="2.28515625" style="444" bestFit="1" customWidth="1"/>
    <col min="1035" max="1036" width="2.28515625" style="444" customWidth="1"/>
    <col min="1037" max="1037" width="2.5703125" style="444" bestFit="1" customWidth="1"/>
    <col min="1038" max="1038" width="2.28515625" style="444" bestFit="1" customWidth="1"/>
    <col min="1039" max="1280" width="9.140625" style="444"/>
    <col min="1281" max="1281" width="9.140625" style="444" customWidth="1"/>
    <col min="1282" max="1282" width="8.140625" style="444" bestFit="1" customWidth="1"/>
    <col min="1283" max="1283" width="12.5703125" style="444" bestFit="1" customWidth="1"/>
    <col min="1284" max="1284" width="21.28515625" style="444" bestFit="1" customWidth="1"/>
    <col min="1285" max="1285" width="6.85546875" style="444" bestFit="1" customWidth="1"/>
    <col min="1286" max="1286" width="29.85546875" style="444" customWidth="1"/>
    <col min="1287" max="1287" width="65.85546875" style="444" customWidth="1"/>
    <col min="1288" max="1288" width="11.7109375" style="444" bestFit="1" customWidth="1"/>
    <col min="1289" max="1289" width="5.140625" style="444" bestFit="1" customWidth="1"/>
    <col min="1290" max="1290" width="2.28515625" style="444" bestFit="1" customWidth="1"/>
    <col min="1291" max="1292" width="2.28515625" style="444" customWidth="1"/>
    <col min="1293" max="1293" width="2.5703125" style="444" bestFit="1" customWidth="1"/>
    <col min="1294" max="1294" width="2.28515625" style="444" bestFit="1" customWidth="1"/>
    <col min="1295" max="1536" width="9.140625" style="444"/>
    <col min="1537" max="1537" width="9.140625" style="444" customWidth="1"/>
    <col min="1538" max="1538" width="8.140625" style="444" bestFit="1" customWidth="1"/>
    <col min="1539" max="1539" width="12.5703125" style="444" bestFit="1" customWidth="1"/>
    <col min="1540" max="1540" width="21.28515625" style="444" bestFit="1" customWidth="1"/>
    <col min="1541" max="1541" width="6.85546875" style="444" bestFit="1" customWidth="1"/>
    <col min="1542" max="1542" width="29.85546875" style="444" customWidth="1"/>
    <col min="1543" max="1543" width="65.85546875" style="444" customWidth="1"/>
    <col min="1544" max="1544" width="11.7109375" style="444" bestFit="1" customWidth="1"/>
    <col min="1545" max="1545" width="5.140625" style="444" bestFit="1" customWidth="1"/>
    <col min="1546" max="1546" width="2.28515625" style="444" bestFit="1" customWidth="1"/>
    <col min="1547" max="1548" width="2.28515625" style="444" customWidth="1"/>
    <col min="1549" max="1549" width="2.5703125" style="444" bestFit="1" customWidth="1"/>
    <col min="1550" max="1550" width="2.28515625" style="444" bestFit="1" customWidth="1"/>
    <col min="1551" max="1792" width="9.140625" style="444"/>
    <col min="1793" max="1793" width="9.140625" style="444" customWidth="1"/>
    <col min="1794" max="1794" width="8.140625" style="444" bestFit="1" customWidth="1"/>
    <col min="1795" max="1795" width="12.5703125" style="444" bestFit="1" customWidth="1"/>
    <col min="1796" max="1796" width="21.28515625" style="444" bestFit="1" customWidth="1"/>
    <col min="1797" max="1797" width="6.85546875" style="444" bestFit="1" customWidth="1"/>
    <col min="1798" max="1798" width="29.85546875" style="444" customWidth="1"/>
    <col min="1799" max="1799" width="65.85546875" style="444" customWidth="1"/>
    <col min="1800" max="1800" width="11.7109375" style="444" bestFit="1" customWidth="1"/>
    <col min="1801" max="1801" width="5.140625" style="444" bestFit="1" customWidth="1"/>
    <col min="1802" max="1802" width="2.28515625" style="444" bestFit="1" customWidth="1"/>
    <col min="1803" max="1804" width="2.28515625" style="444" customWidth="1"/>
    <col min="1805" max="1805" width="2.5703125" style="444" bestFit="1" customWidth="1"/>
    <col min="1806" max="1806" width="2.28515625" style="444" bestFit="1" customWidth="1"/>
    <col min="1807" max="2048" width="9.140625" style="444"/>
    <col min="2049" max="2049" width="9.140625" style="444" customWidth="1"/>
    <col min="2050" max="2050" width="8.140625" style="444" bestFit="1" customWidth="1"/>
    <col min="2051" max="2051" width="12.5703125" style="444" bestFit="1" customWidth="1"/>
    <col min="2052" max="2052" width="21.28515625" style="444" bestFit="1" customWidth="1"/>
    <col min="2053" max="2053" width="6.85546875" style="444" bestFit="1" customWidth="1"/>
    <col min="2054" max="2054" width="29.85546875" style="444" customWidth="1"/>
    <col min="2055" max="2055" width="65.85546875" style="444" customWidth="1"/>
    <col min="2056" max="2056" width="11.7109375" style="444" bestFit="1" customWidth="1"/>
    <col min="2057" max="2057" width="5.140625" style="444" bestFit="1" customWidth="1"/>
    <col min="2058" max="2058" width="2.28515625" style="444" bestFit="1" customWidth="1"/>
    <col min="2059" max="2060" width="2.28515625" style="444" customWidth="1"/>
    <col min="2061" max="2061" width="2.5703125" style="444" bestFit="1" customWidth="1"/>
    <col min="2062" max="2062" width="2.28515625" style="444" bestFit="1" customWidth="1"/>
    <col min="2063" max="2304" width="9.140625" style="444"/>
    <col min="2305" max="2305" width="9.140625" style="444" customWidth="1"/>
    <col min="2306" max="2306" width="8.140625" style="444" bestFit="1" customWidth="1"/>
    <col min="2307" max="2307" width="12.5703125" style="444" bestFit="1" customWidth="1"/>
    <col min="2308" max="2308" width="21.28515625" style="444" bestFit="1" customWidth="1"/>
    <col min="2309" max="2309" width="6.85546875" style="444" bestFit="1" customWidth="1"/>
    <col min="2310" max="2310" width="29.85546875" style="444" customWidth="1"/>
    <col min="2311" max="2311" width="65.85546875" style="444" customWidth="1"/>
    <col min="2312" max="2312" width="11.7109375" style="444" bestFit="1" customWidth="1"/>
    <col min="2313" max="2313" width="5.140625" style="444" bestFit="1" customWidth="1"/>
    <col min="2314" max="2314" width="2.28515625" style="444" bestFit="1" customWidth="1"/>
    <col min="2315" max="2316" width="2.28515625" style="444" customWidth="1"/>
    <col min="2317" max="2317" width="2.5703125" style="444" bestFit="1" customWidth="1"/>
    <col min="2318" max="2318" width="2.28515625" style="444" bestFit="1" customWidth="1"/>
    <col min="2319" max="2560" width="9.140625" style="444"/>
    <col min="2561" max="2561" width="9.140625" style="444" customWidth="1"/>
    <col min="2562" max="2562" width="8.140625" style="444" bestFit="1" customWidth="1"/>
    <col min="2563" max="2563" width="12.5703125" style="444" bestFit="1" customWidth="1"/>
    <col min="2564" max="2564" width="21.28515625" style="444" bestFit="1" customWidth="1"/>
    <col min="2565" max="2565" width="6.85546875" style="444" bestFit="1" customWidth="1"/>
    <col min="2566" max="2566" width="29.85546875" style="444" customWidth="1"/>
    <col min="2567" max="2567" width="65.85546875" style="444" customWidth="1"/>
    <col min="2568" max="2568" width="11.7109375" style="444" bestFit="1" customWidth="1"/>
    <col min="2569" max="2569" width="5.140625" style="444" bestFit="1" customWidth="1"/>
    <col min="2570" max="2570" width="2.28515625" style="444" bestFit="1" customWidth="1"/>
    <col min="2571" max="2572" width="2.28515625" style="444" customWidth="1"/>
    <col min="2573" max="2573" width="2.5703125" style="444" bestFit="1" customWidth="1"/>
    <col min="2574" max="2574" width="2.28515625" style="444" bestFit="1" customWidth="1"/>
    <col min="2575" max="2816" width="9.140625" style="444"/>
    <col min="2817" max="2817" width="9.140625" style="444" customWidth="1"/>
    <col min="2818" max="2818" width="8.140625" style="444" bestFit="1" customWidth="1"/>
    <col min="2819" max="2819" width="12.5703125" style="444" bestFit="1" customWidth="1"/>
    <col min="2820" max="2820" width="21.28515625" style="444" bestFit="1" customWidth="1"/>
    <col min="2821" max="2821" width="6.85546875" style="444" bestFit="1" customWidth="1"/>
    <col min="2822" max="2822" width="29.85546875" style="444" customWidth="1"/>
    <col min="2823" max="2823" width="65.85546875" style="444" customWidth="1"/>
    <col min="2824" max="2824" width="11.7109375" style="444" bestFit="1" customWidth="1"/>
    <col min="2825" max="2825" width="5.140625" style="444" bestFit="1" customWidth="1"/>
    <col min="2826" max="2826" width="2.28515625" style="444" bestFit="1" customWidth="1"/>
    <col min="2827" max="2828" width="2.28515625" style="444" customWidth="1"/>
    <col min="2829" max="2829" width="2.5703125" style="444" bestFit="1" customWidth="1"/>
    <col min="2830" max="2830" width="2.28515625" style="444" bestFit="1" customWidth="1"/>
    <col min="2831" max="3072" width="9.140625" style="444"/>
    <col min="3073" max="3073" width="9.140625" style="444" customWidth="1"/>
    <col min="3074" max="3074" width="8.140625" style="444" bestFit="1" customWidth="1"/>
    <col min="3075" max="3075" width="12.5703125" style="444" bestFit="1" customWidth="1"/>
    <col min="3076" max="3076" width="21.28515625" style="444" bestFit="1" customWidth="1"/>
    <col min="3077" max="3077" width="6.85546875" style="444" bestFit="1" customWidth="1"/>
    <col min="3078" max="3078" width="29.85546875" style="444" customWidth="1"/>
    <col min="3079" max="3079" width="65.85546875" style="444" customWidth="1"/>
    <col min="3080" max="3080" width="11.7109375" style="444" bestFit="1" customWidth="1"/>
    <col min="3081" max="3081" width="5.140625" style="444" bestFit="1" customWidth="1"/>
    <col min="3082" max="3082" width="2.28515625" style="444" bestFit="1" customWidth="1"/>
    <col min="3083" max="3084" width="2.28515625" style="444" customWidth="1"/>
    <col min="3085" max="3085" width="2.5703125" style="444" bestFit="1" customWidth="1"/>
    <col min="3086" max="3086" width="2.28515625" style="444" bestFit="1" customWidth="1"/>
    <col min="3087" max="3328" width="9.140625" style="444"/>
    <col min="3329" max="3329" width="9.140625" style="444" customWidth="1"/>
    <col min="3330" max="3330" width="8.140625" style="444" bestFit="1" customWidth="1"/>
    <col min="3331" max="3331" width="12.5703125" style="444" bestFit="1" customWidth="1"/>
    <col min="3332" max="3332" width="21.28515625" style="444" bestFit="1" customWidth="1"/>
    <col min="3333" max="3333" width="6.85546875" style="444" bestFit="1" customWidth="1"/>
    <col min="3334" max="3334" width="29.85546875" style="444" customWidth="1"/>
    <col min="3335" max="3335" width="65.85546875" style="444" customWidth="1"/>
    <col min="3336" max="3336" width="11.7109375" style="444" bestFit="1" customWidth="1"/>
    <col min="3337" max="3337" width="5.140625" style="444" bestFit="1" customWidth="1"/>
    <col min="3338" max="3338" width="2.28515625" style="444" bestFit="1" customWidth="1"/>
    <col min="3339" max="3340" width="2.28515625" style="444" customWidth="1"/>
    <col min="3341" max="3341" width="2.5703125" style="444" bestFit="1" customWidth="1"/>
    <col min="3342" max="3342" width="2.28515625" style="444" bestFit="1" customWidth="1"/>
    <col min="3343" max="3584" width="9.140625" style="444"/>
    <col min="3585" max="3585" width="9.140625" style="444" customWidth="1"/>
    <col min="3586" max="3586" width="8.140625" style="444" bestFit="1" customWidth="1"/>
    <col min="3587" max="3587" width="12.5703125" style="444" bestFit="1" customWidth="1"/>
    <col min="3588" max="3588" width="21.28515625" style="444" bestFit="1" customWidth="1"/>
    <col min="3589" max="3589" width="6.85546875" style="444" bestFit="1" customWidth="1"/>
    <col min="3590" max="3590" width="29.85546875" style="444" customWidth="1"/>
    <col min="3591" max="3591" width="65.85546875" style="444" customWidth="1"/>
    <col min="3592" max="3592" width="11.7109375" style="444" bestFit="1" customWidth="1"/>
    <col min="3593" max="3593" width="5.140625" style="444" bestFit="1" customWidth="1"/>
    <col min="3594" max="3594" width="2.28515625" style="444" bestFit="1" customWidth="1"/>
    <col min="3595" max="3596" width="2.28515625" style="444" customWidth="1"/>
    <col min="3597" max="3597" width="2.5703125" style="444" bestFit="1" customWidth="1"/>
    <col min="3598" max="3598" width="2.28515625" style="444" bestFit="1" customWidth="1"/>
    <col min="3599" max="3840" width="9.140625" style="444"/>
    <col min="3841" max="3841" width="9.140625" style="444" customWidth="1"/>
    <col min="3842" max="3842" width="8.140625" style="444" bestFit="1" customWidth="1"/>
    <col min="3843" max="3843" width="12.5703125" style="444" bestFit="1" customWidth="1"/>
    <col min="3844" max="3844" width="21.28515625" style="444" bestFit="1" customWidth="1"/>
    <col min="3845" max="3845" width="6.85546875" style="444" bestFit="1" customWidth="1"/>
    <col min="3846" max="3846" width="29.85546875" style="444" customWidth="1"/>
    <col min="3847" max="3847" width="65.85546875" style="444" customWidth="1"/>
    <col min="3848" max="3848" width="11.7109375" style="444" bestFit="1" customWidth="1"/>
    <col min="3849" max="3849" width="5.140625" style="444" bestFit="1" customWidth="1"/>
    <col min="3850" max="3850" width="2.28515625" style="444" bestFit="1" customWidth="1"/>
    <col min="3851" max="3852" width="2.28515625" style="444" customWidth="1"/>
    <col min="3853" max="3853" width="2.5703125" style="444" bestFit="1" customWidth="1"/>
    <col min="3854" max="3854" width="2.28515625" style="444" bestFit="1" customWidth="1"/>
    <col min="3855" max="4096" width="9.140625" style="444"/>
    <col min="4097" max="4097" width="9.140625" style="444" customWidth="1"/>
    <col min="4098" max="4098" width="8.140625" style="444" bestFit="1" customWidth="1"/>
    <col min="4099" max="4099" width="12.5703125" style="444" bestFit="1" customWidth="1"/>
    <col min="4100" max="4100" width="21.28515625" style="444" bestFit="1" customWidth="1"/>
    <col min="4101" max="4101" width="6.85546875" style="444" bestFit="1" customWidth="1"/>
    <col min="4102" max="4102" width="29.85546875" style="444" customWidth="1"/>
    <col min="4103" max="4103" width="65.85546875" style="444" customWidth="1"/>
    <col min="4104" max="4104" width="11.7109375" style="444" bestFit="1" customWidth="1"/>
    <col min="4105" max="4105" width="5.140625" style="444" bestFit="1" customWidth="1"/>
    <col min="4106" max="4106" width="2.28515625" style="444" bestFit="1" customWidth="1"/>
    <col min="4107" max="4108" width="2.28515625" style="444" customWidth="1"/>
    <col min="4109" max="4109" width="2.5703125" style="444" bestFit="1" customWidth="1"/>
    <col min="4110" max="4110" width="2.28515625" style="444" bestFit="1" customWidth="1"/>
    <col min="4111" max="4352" width="9.140625" style="444"/>
    <col min="4353" max="4353" width="9.140625" style="444" customWidth="1"/>
    <col min="4354" max="4354" width="8.140625" style="444" bestFit="1" customWidth="1"/>
    <col min="4355" max="4355" width="12.5703125" style="444" bestFit="1" customWidth="1"/>
    <col min="4356" max="4356" width="21.28515625" style="444" bestFit="1" customWidth="1"/>
    <col min="4357" max="4357" width="6.85546875" style="444" bestFit="1" customWidth="1"/>
    <col min="4358" max="4358" width="29.85546875" style="444" customWidth="1"/>
    <col min="4359" max="4359" width="65.85546875" style="444" customWidth="1"/>
    <col min="4360" max="4360" width="11.7109375" style="444" bestFit="1" customWidth="1"/>
    <col min="4361" max="4361" width="5.140625" style="444" bestFit="1" customWidth="1"/>
    <col min="4362" max="4362" width="2.28515625" style="444" bestFit="1" customWidth="1"/>
    <col min="4363" max="4364" width="2.28515625" style="444" customWidth="1"/>
    <col min="4365" max="4365" width="2.5703125" style="444" bestFit="1" customWidth="1"/>
    <col min="4366" max="4366" width="2.28515625" style="444" bestFit="1" customWidth="1"/>
    <col min="4367" max="4608" width="9.140625" style="444"/>
    <col min="4609" max="4609" width="9.140625" style="444" customWidth="1"/>
    <col min="4610" max="4610" width="8.140625" style="444" bestFit="1" customWidth="1"/>
    <col min="4611" max="4611" width="12.5703125" style="444" bestFit="1" customWidth="1"/>
    <col min="4612" max="4612" width="21.28515625" style="444" bestFit="1" customWidth="1"/>
    <col min="4613" max="4613" width="6.85546875" style="444" bestFit="1" customWidth="1"/>
    <col min="4614" max="4614" width="29.85546875" style="444" customWidth="1"/>
    <col min="4615" max="4615" width="65.85546875" style="444" customWidth="1"/>
    <col min="4616" max="4616" width="11.7109375" style="444" bestFit="1" customWidth="1"/>
    <col min="4617" max="4617" width="5.140625" style="444" bestFit="1" customWidth="1"/>
    <col min="4618" max="4618" width="2.28515625" style="444" bestFit="1" customWidth="1"/>
    <col min="4619" max="4620" width="2.28515625" style="444" customWidth="1"/>
    <col min="4621" max="4621" width="2.5703125" style="444" bestFit="1" customWidth="1"/>
    <col min="4622" max="4622" width="2.28515625" style="444" bestFit="1" customWidth="1"/>
    <col min="4623" max="4864" width="9.140625" style="444"/>
    <col min="4865" max="4865" width="9.140625" style="444" customWidth="1"/>
    <col min="4866" max="4866" width="8.140625" style="444" bestFit="1" customWidth="1"/>
    <col min="4867" max="4867" width="12.5703125" style="444" bestFit="1" customWidth="1"/>
    <col min="4868" max="4868" width="21.28515625" style="444" bestFit="1" customWidth="1"/>
    <col min="4869" max="4869" width="6.85546875" style="444" bestFit="1" customWidth="1"/>
    <col min="4870" max="4870" width="29.85546875" style="444" customWidth="1"/>
    <col min="4871" max="4871" width="65.85546875" style="444" customWidth="1"/>
    <col min="4872" max="4872" width="11.7109375" style="444" bestFit="1" customWidth="1"/>
    <col min="4873" max="4873" width="5.140625" style="444" bestFit="1" customWidth="1"/>
    <col min="4874" max="4874" width="2.28515625" style="444" bestFit="1" customWidth="1"/>
    <col min="4875" max="4876" width="2.28515625" style="444" customWidth="1"/>
    <col min="4877" max="4877" width="2.5703125" style="444" bestFit="1" customWidth="1"/>
    <col min="4878" max="4878" width="2.28515625" style="444" bestFit="1" customWidth="1"/>
    <col min="4879" max="5120" width="9.140625" style="444"/>
    <col min="5121" max="5121" width="9.140625" style="444" customWidth="1"/>
    <col min="5122" max="5122" width="8.140625" style="444" bestFit="1" customWidth="1"/>
    <col min="5123" max="5123" width="12.5703125" style="444" bestFit="1" customWidth="1"/>
    <col min="5124" max="5124" width="21.28515625" style="444" bestFit="1" customWidth="1"/>
    <col min="5125" max="5125" width="6.85546875" style="444" bestFit="1" customWidth="1"/>
    <col min="5126" max="5126" width="29.85546875" style="444" customWidth="1"/>
    <col min="5127" max="5127" width="65.85546875" style="444" customWidth="1"/>
    <col min="5128" max="5128" width="11.7109375" style="444" bestFit="1" customWidth="1"/>
    <col min="5129" max="5129" width="5.140625" style="444" bestFit="1" customWidth="1"/>
    <col min="5130" max="5130" width="2.28515625" style="444" bestFit="1" customWidth="1"/>
    <col min="5131" max="5132" width="2.28515625" style="444" customWidth="1"/>
    <col min="5133" max="5133" width="2.5703125" style="444" bestFit="1" customWidth="1"/>
    <col min="5134" max="5134" width="2.28515625" style="444" bestFit="1" customWidth="1"/>
    <col min="5135" max="5376" width="9.140625" style="444"/>
    <col min="5377" max="5377" width="9.140625" style="444" customWidth="1"/>
    <col min="5378" max="5378" width="8.140625" style="444" bestFit="1" customWidth="1"/>
    <col min="5379" max="5379" width="12.5703125" style="444" bestFit="1" customWidth="1"/>
    <col min="5380" max="5380" width="21.28515625" style="444" bestFit="1" customWidth="1"/>
    <col min="5381" max="5381" width="6.85546875" style="444" bestFit="1" customWidth="1"/>
    <col min="5382" max="5382" width="29.85546875" style="444" customWidth="1"/>
    <col min="5383" max="5383" width="65.85546875" style="444" customWidth="1"/>
    <col min="5384" max="5384" width="11.7109375" style="444" bestFit="1" customWidth="1"/>
    <col min="5385" max="5385" width="5.140625" style="444" bestFit="1" customWidth="1"/>
    <col min="5386" max="5386" width="2.28515625" style="444" bestFit="1" customWidth="1"/>
    <col min="5387" max="5388" width="2.28515625" style="444" customWidth="1"/>
    <col min="5389" max="5389" width="2.5703125" style="444" bestFit="1" customWidth="1"/>
    <col min="5390" max="5390" width="2.28515625" style="444" bestFit="1" customWidth="1"/>
    <col min="5391" max="5632" width="9.140625" style="444"/>
    <col min="5633" max="5633" width="9.140625" style="444" customWidth="1"/>
    <col min="5634" max="5634" width="8.140625" style="444" bestFit="1" customWidth="1"/>
    <col min="5635" max="5635" width="12.5703125" style="444" bestFit="1" customWidth="1"/>
    <col min="5636" max="5636" width="21.28515625" style="444" bestFit="1" customWidth="1"/>
    <col min="5637" max="5637" width="6.85546875" style="444" bestFit="1" customWidth="1"/>
    <col min="5638" max="5638" width="29.85546875" style="444" customWidth="1"/>
    <col min="5639" max="5639" width="65.85546875" style="444" customWidth="1"/>
    <col min="5640" max="5640" width="11.7109375" style="444" bestFit="1" customWidth="1"/>
    <col min="5641" max="5641" width="5.140625" style="444" bestFit="1" customWidth="1"/>
    <col min="5642" max="5642" width="2.28515625" style="444" bestFit="1" customWidth="1"/>
    <col min="5643" max="5644" width="2.28515625" style="444" customWidth="1"/>
    <col min="5645" max="5645" width="2.5703125" style="444" bestFit="1" customWidth="1"/>
    <col min="5646" max="5646" width="2.28515625" style="444" bestFit="1" customWidth="1"/>
    <col min="5647" max="5888" width="9.140625" style="444"/>
    <col min="5889" max="5889" width="9.140625" style="444" customWidth="1"/>
    <col min="5890" max="5890" width="8.140625" style="444" bestFit="1" customWidth="1"/>
    <col min="5891" max="5891" width="12.5703125" style="444" bestFit="1" customWidth="1"/>
    <col min="5892" max="5892" width="21.28515625" style="444" bestFit="1" customWidth="1"/>
    <col min="5893" max="5893" width="6.85546875" style="444" bestFit="1" customWidth="1"/>
    <col min="5894" max="5894" width="29.85546875" style="444" customWidth="1"/>
    <col min="5895" max="5895" width="65.85546875" style="444" customWidth="1"/>
    <col min="5896" max="5896" width="11.7109375" style="444" bestFit="1" customWidth="1"/>
    <col min="5897" max="5897" width="5.140625" style="444" bestFit="1" customWidth="1"/>
    <col min="5898" max="5898" width="2.28515625" style="444" bestFit="1" customWidth="1"/>
    <col min="5899" max="5900" width="2.28515625" style="444" customWidth="1"/>
    <col min="5901" max="5901" width="2.5703125" style="444" bestFit="1" customWidth="1"/>
    <col min="5902" max="5902" width="2.28515625" style="444" bestFit="1" customWidth="1"/>
    <col min="5903" max="6144" width="9.140625" style="444"/>
    <col min="6145" max="6145" width="9.140625" style="444" customWidth="1"/>
    <col min="6146" max="6146" width="8.140625" style="444" bestFit="1" customWidth="1"/>
    <col min="6147" max="6147" width="12.5703125" style="444" bestFit="1" customWidth="1"/>
    <col min="6148" max="6148" width="21.28515625" style="444" bestFit="1" customWidth="1"/>
    <col min="6149" max="6149" width="6.85546875" style="444" bestFit="1" customWidth="1"/>
    <col min="6150" max="6150" width="29.85546875" style="444" customWidth="1"/>
    <col min="6151" max="6151" width="65.85546875" style="444" customWidth="1"/>
    <col min="6152" max="6152" width="11.7109375" style="444" bestFit="1" customWidth="1"/>
    <col min="6153" max="6153" width="5.140625" style="444" bestFit="1" customWidth="1"/>
    <col min="6154" max="6154" width="2.28515625" style="444" bestFit="1" customWidth="1"/>
    <col min="6155" max="6156" width="2.28515625" style="444" customWidth="1"/>
    <col min="6157" max="6157" width="2.5703125" style="444" bestFit="1" customWidth="1"/>
    <col min="6158" max="6158" width="2.28515625" style="444" bestFit="1" customWidth="1"/>
    <col min="6159" max="6400" width="9.140625" style="444"/>
    <col min="6401" max="6401" width="9.140625" style="444" customWidth="1"/>
    <col min="6402" max="6402" width="8.140625" style="444" bestFit="1" customWidth="1"/>
    <col min="6403" max="6403" width="12.5703125" style="444" bestFit="1" customWidth="1"/>
    <col min="6404" max="6404" width="21.28515625" style="444" bestFit="1" customWidth="1"/>
    <col min="6405" max="6405" width="6.85546875" style="444" bestFit="1" customWidth="1"/>
    <col min="6406" max="6406" width="29.85546875" style="444" customWidth="1"/>
    <col min="6407" max="6407" width="65.85546875" style="444" customWidth="1"/>
    <col min="6408" max="6408" width="11.7109375" style="444" bestFit="1" customWidth="1"/>
    <col min="6409" max="6409" width="5.140625" style="444" bestFit="1" customWidth="1"/>
    <col min="6410" max="6410" width="2.28515625" style="444" bestFit="1" customWidth="1"/>
    <col min="6411" max="6412" width="2.28515625" style="444" customWidth="1"/>
    <col min="6413" max="6413" width="2.5703125" style="444" bestFit="1" customWidth="1"/>
    <col min="6414" max="6414" width="2.28515625" style="444" bestFit="1" customWidth="1"/>
    <col min="6415" max="6656" width="9.140625" style="444"/>
    <col min="6657" max="6657" width="9.140625" style="444" customWidth="1"/>
    <col min="6658" max="6658" width="8.140625" style="444" bestFit="1" customWidth="1"/>
    <col min="6659" max="6659" width="12.5703125" style="444" bestFit="1" customWidth="1"/>
    <col min="6660" max="6660" width="21.28515625" style="444" bestFit="1" customWidth="1"/>
    <col min="6661" max="6661" width="6.85546875" style="444" bestFit="1" customWidth="1"/>
    <col min="6662" max="6662" width="29.85546875" style="444" customWidth="1"/>
    <col min="6663" max="6663" width="65.85546875" style="444" customWidth="1"/>
    <col min="6664" max="6664" width="11.7109375" style="444" bestFit="1" customWidth="1"/>
    <col min="6665" max="6665" width="5.140625" style="444" bestFit="1" customWidth="1"/>
    <col min="6666" max="6666" width="2.28515625" style="444" bestFit="1" customWidth="1"/>
    <col min="6667" max="6668" width="2.28515625" style="444" customWidth="1"/>
    <col min="6669" max="6669" width="2.5703125" style="444" bestFit="1" customWidth="1"/>
    <col min="6670" max="6670" width="2.28515625" style="444" bestFit="1" customWidth="1"/>
    <col min="6671" max="6912" width="9.140625" style="444"/>
    <col min="6913" max="6913" width="9.140625" style="444" customWidth="1"/>
    <col min="6914" max="6914" width="8.140625" style="444" bestFit="1" customWidth="1"/>
    <col min="6915" max="6915" width="12.5703125" style="444" bestFit="1" customWidth="1"/>
    <col min="6916" max="6916" width="21.28515625" style="444" bestFit="1" customWidth="1"/>
    <col min="6917" max="6917" width="6.85546875" style="444" bestFit="1" customWidth="1"/>
    <col min="6918" max="6918" width="29.85546875" style="444" customWidth="1"/>
    <col min="6919" max="6919" width="65.85546875" style="444" customWidth="1"/>
    <col min="6920" max="6920" width="11.7109375" style="444" bestFit="1" customWidth="1"/>
    <col min="6921" max="6921" width="5.140625" style="444" bestFit="1" customWidth="1"/>
    <col min="6922" max="6922" width="2.28515625" style="444" bestFit="1" customWidth="1"/>
    <col min="6923" max="6924" width="2.28515625" style="444" customWidth="1"/>
    <col min="6925" max="6925" width="2.5703125" style="444" bestFit="1" customWidth="1"/>
    <col min="6926" max="6926" width="2.28515625" style="444" bestFit="1" customWidth="1"/>
    <col min="6927" max="7168" width="9.140625" style="444"/>
    <col min="7169" max="7169" width="9.140625" style="444" customWidth="1"/>
    <col min="7170" max="7170" width="8.140625" style="444" bestFit="1" customWidth="1"/>
    <col min="7171" max="7171" width="12.5703125" style="444" bestFit="1" customWidth="1"/>
    <col min="7172" max="7172" width="21.28515625" style="444" bestFit="1" customWidth="1"/>
    <col min="7173" max="7173" width="6.85546875" style="444" bestFit="1" customWidth="1"/>
    <col min="7174" max="7174" width="29.85546875" style="444" customWidth="1"/>
    <col min="7175" max="7175" width="65.85546875" style="444" customWidth="1"/>
    <col min="7176" max="7176" width="11.7109375" style="444" bestFit="1" customWidth="1"/>
    <col min="7177" max="7177" width="5.140625" style="444" bestFit="1" customWidth="1"/>
    <col min="7178" max="7178" width="2.28515625" style="444" bestFit="1" customWidth="1"/>
    <col min="7179" max="7180" width="2.28515625" style="444" customWidth="1"/>
    <col min="7181" max="7181" width="2.5703125" style="444" bestFit="1" customWidth="1"/>
    <col min="7182" max="7182" width="2.28515625" style="444" bestFit="1" customWidth="1"/>
    <col min="7183" max="7424" width="9.140625" style="444"/>
    <col min="7425" max="7425" width="9.140625" style="444" customWidth="1"/>
    <col min="7426" max="7426" width="8.140625" style="444" bestFit="1" customWidth="1"/>
    <col min="7427" max="7427" width="12.5703125" style="444" bestFit="1" customWidth="1"/>
    <col min="7428" max="7428" width="21.28515625" style="444" bestFit="1" customWidth="1"/>
    <col min="7429" max="7429" width="6.85546875" style="444" bestFit="1" customWidth="1"/>
    <col min="7430" max="7430" width="29.85546875" style="444" customWidth="1"/>
    <col min="7431" max="7431" width="65.85546875" style="444" customWidth="1"/>
    <col min="7432" max="7432" width="11.7109375" style="444" bestFit="1" customWidth="1"/>
    <col min="7433" max="7433" width="5.140625" style="444" bestFit="1" customWidth="1"/>
    <col min="7434" max="7434" width="2.28515625" style="444" bestFit="1" customWidth="1"/>
    <col min="7435" max="7436" width="2.28515625" style="444" customWidth="1"/>
    <col min="7437" max="7437" width="2.5703125" style="444" bestFit="1" customWidth="1"/>
    <col min="7438" max="7438" width="2.28515625" style="444" bestFit="1" customWidth="1"/>
    <col min="7439" max="7680" width="9.140625" style="444"/>
    <col min="7681" max="7681" width="9.140625" style="444" customWidth="1"/>
    <col min="7682" max="7682" width="8.140625" style="444" bestFit="1" customWidth="1"/>
    <col min="7683" max="7683" width="12.5703125" style="444" bestFit="1" customWidth="1"/>
    <col min="7684" max="7684" width="21.28515625" style="444" bestFit="1" customWidth="1"/>
    <col min="7685" max="7685" width="6.85546875" style="444" bestFit="1" customWidth="1"/>
    <col min="7686" max="7686" width="29.85546875" style="444" customWidth="1"/>
    <col min="7687" max="7687" width="65.85546875" style="444" customWidth="1"/>
    <col min="7688" max="7688" width="11.7109375" style="444" bestFit="1" customWidth="1"/>
    <col min="7689" max="7689" width="5.140625" style="444" bestFit="1" customWidth="1"/>
    <col min="7690" max="7690" width="2.28515625" style="444" bestFit="1" customWidth="1"/>
    <col min="7691" max="7692" width="2.28515625" style="444" customWidth="1"/>
    <col min="7693" max="7693" width="2.5703125" style="444" bestFit="1" customWidth="1"/>
    <col min="7694" max="7694" width="2.28515625" style="444" bestFit="1" customWidth="1"/>
    <col min="7695" max="7936" width="9.140625" style="444"/>
    <col min="7937" max="7937" width="9.140625" style="444" customWidth="1"/>
    <col min="7938" max="7938" width="8.140625" style="444" bestFit="1" customWidth="1"/>
    <col min="7939" max="7939" width="12.5703125" style="444" bestFit="1" customWidth="1"/>
    <col min="7940" max="7940" width="21.28515625" style="444" bestFit="1" customWidth="1"/>
    <col min="7941" max="7941" width="6.85546875" style="444" bestFit="1" customWidth="1"/>
    <col min="7942" max="7942" width="29.85546875" style="444" customWidth="1"/>
    <col min="7943" max="7943" width="65.85546875" style="444" customWidth="1"/>
    <col min="7944" max="7944" width="11.7109375" style="444" bestFit="1" customWidth="1"/>
    <col min="7945" max="7945" width="5.140625" style="444" bestFit="1" customWidth="1"/>
    <col min="7946" max="7946" width="2.28515625" style="444" bestFit="1" customWidth="1"/>
    <col min="7947" max="7948" width="2.28515625" style="444" customWidth="1"/>
    <col min="7949" max="7949" width="2.5703125" style="444" bestFit="1" customWidth="1"/>
    <col min="7950" max="7950" width="2.28515625" style="444" bestFit="1" customWidth="1"/>
    <col min="7951" max="8192" width="9.140625" style="444"/>
    <col min="8193" max="8193" width="9.140625" style="444" customWidth="1"/>
    <col min="8194" max="8194" width="8.140625" style="444" bestFit="1" customWidth="1"/>
    <col min="8195" max="8195" width="12.5703125" style="444" bestFit="1" customWidth="1"/>
    <col min="8196" max="8196" width="21.28515625" style="444" bestFit="1" customWidth="1"/>
    <col min="8197" max="8197" width="6.85546875" style="444" bestFit="1" customWidth="1"/>
    <col min="8198" max="8198" width="29.85546875" style="444" customWidth="1"/>
    <col min="8199" max="8199" width="65.85546875" style="444" customWidth="1"/>
    <col min="8200" max="8200" width="11.7109375" style="444" bestFit="1" customWidth="1"/>
    <col min="8201" max="8201" width="5.140625" style="444" bestFit="1" customWidth="1"/>
    <col min="8202" max="8202" width="2.28515625" style="444" bestFit="1" customWidth="1"/>
    <col min="8203" max="8204" width="2.28515625" style="444" customWidth="1"/>
    <col min="8205" max="8205" width="2.5703125" style="444" bestFit="1" customWidth="1"/>
    <col min="8206" max="8206" width="2.28515625" style="444" bestFit="1" customWidth="1"/>
    <col min="8207" max="8448" width="9.140625" style="444"/>
    <col min="8449" max="8449" width="9.140625" style="444" customWidth="1"/>
    <col min="8450" max="8450" width="8.140625" style="444" bestFit="1" customWidth="1"/>
    <col min="8451" max="8451" width="12.5703125" style="444" bestFit="1" customWidth="1"/>
    <col min="8452" max="8452" width="21.28515625" style="444" bestFit="1" customWidth="1"/>
    <col min="8453" max="8453" width="6.85546875" style="444" bestFit="1" customWidth="1"/>
    <col min="8454" max="8454" width="29.85546875" style="444" customWidth="1"/>
    <col min="8455" max="8455" width="65.85546875" style="444" customWidth="1"/>
    <col min="8456" max="8456" width="11.7109375" style="444" bestFit="1" customWidth="1"/>
    <col min="8457" max="8457" width="5.140625" style="444" bestFit="1" customWidth="1"/>
    <col min="8458" max="8458" width="2.28515625" style="444" bestFit="1" customWidth="1"/>
    <col min="8459" max="8460" width="2.28515625" style="444" customWidth="1"/>
    <col min="8461" max="8461" width="2.5703125" style="444" bestFit="1" customWidth="1"/>
    <col min="8462" max="8462" width="2.28515625" style="444" bestFit="1" customWidth="1"/>
    <col min="8463" max="8704" width="9.140625" style="444"/>
    <col min="8705" max="8705" width="9.140625" style="444" customWidth="1"/>
    <col min="8706" max="8706" width="8.140625" style="444" bestFit="1" customWidth="1"/>
    <col min="8707" max="8707" width="12.5703125" style="444" bestFit="1" customWidth="1"/>
    <col min="8708" max="8708" width="21.28515625" style="444" bestFit="1" customWidth="1"/>
    <col min="8709" max="8709" width="6.85546875" style="444" bestFit="1" customWidth="1"/>
    <col min="8710" max="8710" width="29.85546875" style="444" customWidth="1"/>
    <col min="8711" max="8711" width="65.85546875" style="444" customWidth="1"/>
    <col min="8712" max="8712" width="11.7109375" style="444" bestFit="1" customWidth="1"/>
    <col min="8713" max="8713" width="5.140625" style="444" bestFit="1" customWidth="1"/>
    <col min="8714" max="8714" width="2.28515625" style="444" bestFit="1" customWidth="1"/>
    <col min="8715" max="8716" width="2.28515625" style="444" customWidth="1"/>
    <col min="8717" max="8717" width="2.5703125" style="444" bestFit="1" customWidth="1"/>
    <col min="8718" max="8718" width="2.28515625" style="444" bestFit="1" customWidth="1"/>
    <col min="8719" max="8960" width="9.140625" style="444"/>
    <col min="8961" max="8961" width="9.140625" style="444" customWidth="1"/>
    <col min="8962" max="8962" width="8.140625" style="444" bestFit="1" customWidth="1"/>
    <col min="8963" max="8963" width="12.5703125" style="444" bestFit="1" customWidth="1"/>
    <col min="8964" max="8964" width="21.28515625" style="444" bestFit="1" customWidth="1"/>
    <col min="8965" max="8965" width="6.85546875" style="444" bestFit="1" customWidth="1"/>
    <col min="8966" max="8966" width="29.85546875" style="444" customWidth="1"/>
    <col min="8967" max="8967" width="65.85546875" style="444" customWidth="1"/>
    <col min="8968" max="8968" width="11.7109375" style="444" bestFit="1" customWidth="1"/>
    <col min="8969" max="8969" width="5.140625" style="444" bestFit="1" customWidth="1"/>
    <col min="8970" max="8970" width="2.28515625" style="444" bestFit="1" customWidth="1"/>
    <col min="8971" max="8972" width="2.28515625" style="444" customWidth="1"/>
    <col min="8973" max="8973" width="2.5703125" style="444" bestFit="1" customWidth="1"/>
    <col min="8974" max="8974" width="2.28515625" style="444" bestFit="1" customWidth="1"/>
    <col min="8975" max="9216" width="9.140625" style="444"/>
    <col min="9217" max="9217" width="9.140625" style="444" customWidth="1"/>
    <col min="9218" max="9218" width="8.140625" style="444" bestFit="1" customWidth="1"/>
    <col min="9219" max="9219" width="12.5703125" style="444" bestFit="1" customWidth="1"/>
    <col min="9220" max="9220" width="21.28515625" style="444" bestFit="1" customWidth="1"/>
    <col min="9221" max="9221" width="6.85546875" style="444" bestFit="1" customWidth="1"/>
    <col min="9222" max="9222" width="29.85546875" style="444" customWidth="1"/>
    <col min="9223" max="9223" width="65.85546875" style="444" customWidth="1"/>
    <col min="9224" max="9224" width="11.7109375" style="444" bestFit="1" customWidth="1"/>
    <col min="9225" max="9225" width="5.140625" style="444" bestFit="1" customWidth="1"/>
    <col min="9226" max="9226" width="2.28515625" style="444" bestFit="1" customWidth="1"/>
    <col min="9227" max="9228" width="2.28515625" style="444" customWidth="1"/>
    <col min="9229" max="9229" width="2.5703125" style="444" bestFit="1" customWidth="1"/>
    <col min="9230" max="9230" width="2.28515625" style="444" bestFit="1" customWidth="1"/>
    <col min="9231" max="9472" width="9.140625" style="444"/>
    <col min="9473" max="9473" width="9.140625" style="444" customWidth="1"/>
    <col min="9474" max="9474" width="8.140625" style="444" bestFit="1" customWidth="1"/>
    <col min="9475" max="9475" width="12.5703125" style="444" bestFit="1" customWidth="1"/>
    <col min="9476" max="9476" width="21.28515625" style="444" bestFit="1" customWidth="1"/>
    <col min="9477" max="9477" width="6.85546875" style="444" bestFit="1" customWidth="1"/>
    <col min="9478" max="9478" width="29.85546875" style="444" customWidth="1"/>
    <col min="9479" max="9479" width="65.85546875" style="444" customWidth="1"/>
    <col min="9480" max="9480" width="11.7109375" style="444" bestFit="1" customWidth="1"/>
    <col min="9481" max="9481" width="5.140625" style="444" bestFit="1" customWidth="1"/>
    <col min="9482" max="9482" width="2.28515625" style="444" bestFit="1" customWidth="1"/>
    <col min="9483" max="9484" width="2.28515625" style="444" customWidth="1"/>
    <col min="9485" max="9485" width="2.5703125" style="444" bestFit="1" customWidth="1"/>
    <col min="9486" max="9486" width="2.28515625" style="444" bestFit="1" customWidth="1"/>
    <col min="9487" max="9728" width="9.140625" style="444"/>
    <col min="9729" max="9729" width="9.140625" style="444" customWidth="1"/>
    <col min="9730" max="9730" width="8.140625" style="444" bestFit="1" customWidth="1"/>
    <col min="9731" max="9731" width="12.5703125" style="444" bestFit="1" customWidth="1"/>
    <col min="9732" max="9732" width="21.28515625" style="444" bestFit="1" customWidth="1"/>
    <col min="9733" max="9733" width="6.85546875" style="444" bestFit="1" customWidth="1"/>
    <col min="9734" max="9734" width="29.85546875" style="444" customWidth="1"/>
    <col min="9735" max="9735" width="65.85546875" style="444" customWidth="1"/>
    <col min="9736" max="9736" width="11.7109375" style="444" bestFit="1" customWidth="1"/>
    <col min="9737" max="9737" width="5.140625" style="444" bestFit="1" customWidth="1"/>
    <col min="9738" max="9738" width="2.28515625" style="444" bestFit="1" customWidth="1"/>
    <col min="9739" max="9740" width="2.28515625" style="444" customWidth="1"/>
    <col min="9741" max="9741" width="2.5703125" style="444" bestFit="1" customWidth="1"/>
    <col min="9742" max="9742" width="2.28515625" style="444" bestFit="1" customWidth="1"/>
    <col min="9743" max="9984" width="9.140625" style="444"/>
    <col min="9985" max="9985" width="9.140625" style="444" customWidth="1"/>
    <col min="9986" max="9986" width="8.140625" style="444" bestFit="1" customWidth="1"/>
    <col min="9987" max="9987" width="12.5703125" style="444" bestFit="1" customWidth="1"/>
    <col min="9988" max="9988" width="21.28515625" style="444" bestFit="1" customWidth="1"/>
    <col min="9989" max="9989" width="6.85546875" style="444" bestFit="1" customWidth="1"/>
    <col min="9990" max="9990" width="29.85546875" style="444" customWidth="1"/>
    <col min="9991" max="9991" width="65.85546875" style="444" customWidth="1"/>
    <col min="9992" max="9992" width="11.7109375" style="444" bestFit="1" customWidth="1"/>
    <col min="9993" max="9993" width="5.140625" style="444" bestFit="1" customWidth="1"/>
    <col min="9994" max="9994" width="2.28515625" style="444" bestFit="1" customWidth="1"/>
    <col min="9995" max="9996" width="2.28515625" style="444" customWidth="1"/>
    <col min="9997" max="9997" width="2.5703125" style="444" bestFit="1" customWidth="1"/>
    <col min="9998" max="9998" width="2.28515625" style="444" bestFit="1" customWidth="1"/>
    <col min="9999" max="10240" width="9.140625" style="444"/>
    <col min="10241" max="10241" width="9.140625" style="444" customWidth="1"/>
    <col min="10242" max="10242" width="8.140625" style="444" bestFit="1" customWidth="1"/>
    <col min="10243" max="10243" width="12.5703125" style="444" bestFit="1" customWidth="1"/>
    <col min="10244" max="10244" width="21.28515625" style="444" bestFit="1" customWidth="1"/>
    <col min="10245" max="10245" width="6.85546875" style="444" bestFit="1" customWidth="1"/>
    <col min="10246" max="10246" width="29.85546875" style="444" customWidth="1"/>
    <col min="10247" max="10247" width="65.85546875" style="444" customWidth="1"/>
    <col min="10248" max="10248" width="11.7109375" style="444" bestFit="1" customWidth="1"/>
    <col min="10249" max="10249" width="5.140625" style="444" bestFit="1" customWidth="1"/>
    <col min="10250" max="10250" width="2.28515625" style="444" bestFit="1" customWidth="1"/>
    <col min="10251" max="10252" width="2.28515625" style="444" customWidth="1"/>
    <col min="10253" max="10253" width="2.5703125" style="444" bestFit="1" customWidth="1"/>
    <col min="10254" max="10254" width="2.28515625" style="444" bestFit="1" customWidth="1"/>
    <col min="10255" max="10496" width="9.140625" style="444"/>
    <col min="10497" max="10497" width="9.140625" style="444" customWidth="1"/>
    <col min="10498" max="10498" width="8.140625" style="444" bestFit="1" customWidth="1"/>
    <col min="10499" max="10499" width="12.5703125" style="444" bestFit="1" customWidth="1"/>
    <col min="10500" max="10500" width="21.28515625" style="444" bestFit="1" customWidth="1"/>
    <col min="10501" max="10501" width="6.85546875" style="444" bestFit="1" customWidth="1"/>
    <col min="10502" max="10502" width="29.85546875" style="444" customWidth="1"/>
    <col min="10503" max="10503" width="65.85546875" style="444" customWidth="1"/>
    <col min="10504" max="10504" width="11.7109375" style="444" bestFit="1" customWidth="1"/>
    <col min="10505" max="10505" width="5.140625" style="444" bestFit="1" customWidth="1"/>
    <col min="10506" max="10506" width="2.28515625" style="444" bestFit="1" customWidth="1"/>
    <col min="10507" max="10508" width="2.28515625" style="444" customWidth="1"/>
    <col min="10509" max="10509" width="2.5703125" style="444" bestFit="1" customWidth="1"/>
    <col min="10510" max="10510" width="2.28515625" style="444" bestFit="1" customWidth="1"/>
    <col min="10511" max="10752" width="9.140625" style="444"/>
    <col min="10753" max="10753" width="9.140625" style="444" customWidth="1"/>
    <col min="10754" max="10754" width="8.140625" style="444" bestFit="1" customWidth="1"/>
    <col min="10755" max="10755" width="12.5703125" style="444" bestFit="1" customWidth="1"/>
    <col min="10756" max="10756" width="21.28515625" style="444" bestFit="1" customWidth="1"/>
    <col min="10757" max="10757" width="6.85546875" style="444" bestFit="1" customWidth="1"/>
    <col min="10758" max="10758" width="29.85546875" style="444" customWidth="1"/>
    <col min="10759" max="10759" width="65.85546875" style="444" customWidth="1"/>
    <col min="10760" max="10760" width="11.7109375" style="444" bestFit="1" customWidth="1"/>
    <col min="10761" max="10761" width="5.140625" style="444" bestFit="1" customWidth="1"/>
    <col min="10762" max="10762" width="2.28515625" style="444" bestFit="1" customWidth="1"/>
    <col min="10763" max="10764" width="2.28515625" style="444" customWidth="1"/>
    <col min="10765" max="10765" width="2.5703125" style="444" bestFit="1" customWidth="1"/>
    <col min="10766" max="10766" width="2.28515625" style="444" bestFit="1" customWidth="1"/>
    <col min="10767" max="11008" width="9.140625" style="444"/>
    <col min="11009" max="11009" width="9.140625" style="444" customWidth="1"/>
    <col min="11010" max="11010" width="8.140625" style="444" bestFit="1" customWidth="1"/>
    <col min="11011" max="11011" width="12.5703125" style="444" bestFit="1" customWidth="1"/>
    <col min="11012" max="11012" width="21.28515625" style="444" bestFit="1" customWidth="1"/>
    <col min="11013" max="11013" width="6.85546875" style="444" bestFit="1" customWidth="1"/>
    <col min="11014" max="11014" width="29.85546875" style="444" customWidth="1"/>
    <col min="11015" max="11015" width="65.85546875" style="444" customWidth="1"/>
    <col min="11016" max="11016" width="11.7109375" style="444" bestFit="1" customWidth="1"/>
    <col min="11017" max="11017" width="5.140625" style="444" bestFit="1" customWidth="1"/>
    <col min="11018" max="11018" width="2.28515625" style="444" bestFit="1" customWidth="1"/>
    <col min="11019" max="11020" width="2.28515625" style="444" customWidth="1"/>
    <col min="11021" max="11021" width="2.5703125" style="444" bestFit="1" customWidth="1"/>
    <col min="11022" max="11022" width="2.28515625" style="444" bestFit="1" customWidth="1"/>
    <col min="11023" max="11264" width="9.140625" style="444"/>
    <col min="11265" max="11265" width="9.140625" style="444" customWidth="1"/>
    <col min="11266" max="11266" width="8.140625" style="444" bestFit="1" customWidth="1"/>
    <col min="11267" max="11267" width="12.5703125" style="444" bestFit="1" customWidth="1"/>
    <col min="11268" max="11268" width="21.28515625" style="444" bestFit="1" customWidth="1"/>
    <col min="11269" max="11269" width="6.85546875" style="444" bestFit="1" customWidth="1"/>
    <col min="11270" max="11270" width="29.85546875" style="444" customWidth="1"/>
    <col min="11271" max="11271" width="65.85546875" style="444" customWidth="1"/>
    <col min="11272" max="11272" width="11.7109375" style="444" bestFit="1" customWidth="1"/>
    <col min="11273" max="11273" width="5.140625" style="444" bestFit="1" customWidth="1"/>
    <col min="11274" max="11274" width="2.28515625" style="444" bestFit="1" customWidth="1"/>
    <col min="11275" max="11276" width="2.28515625" style="444" customWidth="1"/>
    <col min="11277" max="11277" width="2.5703125" style="444" bestFit="1" customWidth="1"/>
    <col min="11278" max="11278" width="2.28515625" style="444" bestFit="1" customWidth="1"/>
    <col min="11279" max="11520" width="9.140625" style="444"/>
    <col min="11521" max="11521" width="9.140625" style="444" customWidth="1"/>
    <col min="11522" max="11522" width="8.140625" style="444" bestFit="1" customWidth="1"/>
    <col min="11523" max="11523" width="12.5703125" style="444" bestFit="1" customWidth="1"/>
    <col min="11524" max="11524" width="21.28515625" style="444" bestFit="1" customWidth="1"/>
    <col min="11525" max="11525" width="6.85546875" style="444" bestFit="1" customWidth="1"/>
    <col min="11526" max="11526" width="29.85546875" style="444" customWidth="1"/>
    <col min="11527" max="11527" width="65.85546875" style="444" customWidth="1"/>
    <col min="11528" max="11528" width="11.7109375" style="444" bestFit="1" customWidth="1"/>
    <col min="11529" max="11529" width="5.140625" style="444" bestFit="1" customWidth="1"/>
    <col min="11530" max="11530" width="2.28515625" style="444" bestFit="1" customWidth="1"/>
    <col min="11531" max="11532" width="2.28515625" style="444" customWidth="1"/>
    <col min="11533" max="11533" width="2.5703125" style="444" bestFit="1" customWidth="1"/>
    <col min="11534" max="11534" width="2.28515625" style="444" bestFit="1" customWidth="1"/>
    <col min="11535" max="11776" width="9.140625" style="444"/>
    <col min="11777" max="11777" width="9.140625" style="444" customWidth="1"/>
    <col min="11778" max="11778" width="8.140625" style="444" bestFit="1" customWidth="1"/>
    <col min="11779" max="11779" width="12.5703125" style="444" bestFit="1" customWidth="1"/>
    <col min="11780" max="11780" width="21.28515625" style="444" bestFit="1" customWidth="1"/>
    <col min="11781" max="11781" width="6.85546875" style="444" bestFit="1" customWidth="1"/>
    <col min="11782" max="11782" width="29.85546875" style="444" customWidth="1"/>
    <col min="11783" max="11783" width="65.85546875" style="444" customWidth="1"/>
    <col min="11784" max="11784" width="11.7109375" style="444" bestFit="1" customWidth="1"/>
    <col min="11785" max="11785" width="5.140625" style="444" bestFit="1" customWidth="1"/>
    <col min="11786" max="11786" width="2.28515625" style="444" bestFit="1" customWidth="1"/>
    <col min="11787" max="11788" width="2.28515625" style="444" customWidth="1"/>
    <col min="11789" max="11789" width="2.5703125" style="444" bestFit="1" customWidth="1"/>
    <col min="11790" max="11790" width="2.28515625" style="444" bestFit="1" customWidth="1"/>
    <col min="11791" max="12032" width="9.140625" style="444"/>
    <col min="12033" max="12033" width="9.140625" style="444" customWidth="1"/>
    <col min="12034" max="12034" width="8.140625" style="444" bestFit="1" customWidth="1"/>
    <col min="12035" max="12035" width="12.5703125" style="444" bestFit="1" customWidth="1"/>
    <col min="12036" max="12036" width="21.28515625" style="444" bestFit="1" customWidth="1"/>
    <col min="12037" max="12037" width="6.85546875" style="444" bestFit="1" customWidth="1"/>
    <col min="12038" max="12038" width="29.85546875" style="444" customWidth="1"/>
    <col min="12039" max="12039" width="65.85546875" style="444" customWidth="1"/>
    <col min="12040" max="12040" width="11.7109375" style="444" bestFit="1" customWidth="1"/>
    <col min="12041" max="12041" width="5.140625" style="444" bestFit="1" customWidth="1"/>
    <col min="12042" max="12042" width="2.28515625" style="444" bestFit="1" customWidth="1"/>
    <col min="12043" max="12044" width="2.28515625" style="444" customWidth="1"/>
    <col min="12045" max="12045" width="2.5703125" style="444" bestFit="1" customWidth="1"/>
    <col min="12046" max="12046" width="2.28515625" style="444" bestFit="1" customWidth="1"/>
    <col min="12047" max="12288" width="9.140625" style="444"/>
    <col min="12289" max="12289" width="9.140625" style="444" customWidth="1"/>
    <col min="12290" max="12290" width="8.140625" style="444" bestFit="1" customWidth="1"/>
    <col min="12291" max="12291" width="12.5703125" style="444" bestFit="1" customWidth="1"/>
    <col min="12292" max="12292" width="21.28515625" style="444" bestFit="1" customWidth="1"/>
    <col min="12293" max="12293" width="6.85546875" style="444" bestFit="1" customWidth="1"/>
    <col min="12294" max="12294" width="29.85546875" style="444" customWidth="1"/>
    <col min="12295" max="12295" width="65.85546875" style="444" customWidth="1"/>
    <col min="12296" max="12296" width="11.7109375" style="444" bestFit="1" customWidth="1"/>
    <col min="12297" max="12297" width="5.140625" style="444" bestFit="1" customWidth="1"/>
    <col min="12298" max="12298" width="2.28515625" style="444" bestFit="1" customWidth="1"/>
    <col min="12299" max="12300" width="2.28515625" style="444" customWidth="1"/>
    <col min="12301" max="12301" width="2.5703125" style="444" bestFit="1" customWidth="1"/>
    <col min="12302" max="12302" width="2.28515625" style="444" bestFit="1" customWidth="1"/>
    <col min="12303" max="12544" width="9.140625" style="444"/>
    <col min="12545" max="12545" width="9.140625" style="444" customWidth="1"/>
    <col min="12546" max="12546" width="8.140625" style="444" bestFit="1" customWidth="1"/>
    <col min="12547" max="12547" width="12.5703125" style="444" bestFit="1" customWidth="1"/>
    <col min="12548" max="12548" width="21.28515625" style="444" bestFit="1" customWidth="1"/>
    <col min="12549" max="12549" width="6.85546875" style="444" bestFit="1" customWidth="1"/>
    <col min="12550" max="12550" width="29.85546875" style="444" customWidth="1"/>
    <col min="12551" max="12551" width="65.85546875" style="444" customWidth="1"/>
    <col min="12552" max="12552" width="11.7109375" style="444" bestFit="1" customWidth="1"/>
    <col min="12553" max="12553" width="5.140625" style="444" bestFit="1" customWidth="1"/>
    <col min="12554" max="12554" width="2.28515625" style="444" bestFit="1" customWidth="1"/>
    <col min="12555" max="12556" width="2.28515625" style="444" customWidth="1"/>
    <col min="12557" max="12557" width="2.5703125" style="444" bestFit="1" customWidth="1"/>
    <col min="12558" max="12558" width="2.28515625" style="444" bestFit="1" customWidth="1"/>
    <col min="12559" max="12800" width="9.140625" style="444"/>
    <col min="12801" max="12801" width="9.140625" style="444" customWidth="1"/>
    <col min="12802" max="12802" width="8.140625" style="444" bestFit="1" customWidth="1"/>
    <col min="12803" max="12803" width="12.5703125" style="444" bestFit="1" customWidth="1"/>
    <col min="12804" max="12804" width="21.28515625" style="444" bestFit="1" customWidth="1"/>
    <col min="12805" max="12805" width="6.85546875" style="444" bestFit="1" customWidth="1"/>
    <col min="12806" max="12806" width="29.85546875" style="444" customWidth="1"/>
    <col min="12807" max="12807" width="65.85546875" style="444" customWidth="1"/>
    <col min="12808" max="12808" width="11.7109375" style="444" bestFit="1" customWidth="1"/>
    <col min="12809" max="12809" width="5.140625" style="444" bestFit="1" customWidth="1"/>
    <col min="12810" max="12810" width="2.28515625" style="444" bestFit="1" customWidth="1"/>
    <col min="12811" max="12812" width="2.28515625" style="444" customWidth="1"/>
    <col min="12813" max="12813" width="2.5703125" style="444" bestFit="1" customWidth="1"/>
    <col min="12814" max="12814" width="2.28515625" style="444" bestFit="1" customWidth="1"/>
    <col min="12815" max="13056" width="9.140625" style="444"/>
    <col min="13057" max="13057" width="9.140625" style="444" customWidth="1"/>
    <col min="13058" max="13058" width="8.140625" style="444" bestFit="1" customWidth="1"/>
    <col min="13059" max="13059" width="12.5703125" style="444" bestFit="1" customWidth="1"/>
    <col min="13060" max="13060" width="21.28515625" style="444" bestFit="1" customWidth="1"/>
    <col min="13061" max="13061" width="6.85546875" style="444" bestFit="1" customWidth="1"/>
    <col min="13062" max="13062" width="29.85546875" style="444" customWidth="1"/>
    <col min="13063" max="13063" width="65.85546875" style="444" customWidth="1"/>
    <col min="13064" max="13064" width="11.7109375" style="444" bestFit="1" customWidth="1"/>
    <col min="13065" max="13065" width="5.140625" style="444" bestFit="1" customWidth="1"/>
    <col min="13066" max="13066" width="2.28515625" style="444" bestFit="1" customWidth="1"/>
    <col min="13067" max="13068" width="2.28515625" style="444" customWidth="1"/>
    <col min="13069" max="13069" width="2.5703125" style="444" bestFit="1" customWidth="1"/>
    <col min="13070" max="13070" width="2.28515625" style="444" bestFit="1" customWidth="1"/>
    <col min="13071" max="13312" width="9.140625" style="444"/>
    <col min="13313" max="13313" width="9.140625" style="444" customWidth="1"/>
    <col min="13314" max="13314" width="8.140625" style="444" bestFit="1" customWidth="1"/>
    <col min="13315" max="13315" width="12.5703125" style="444" bestFit="1" customWidth="1"/>
    <col min="13316" max="13316" width="21.28515625" style="444" bestFit="1" customWidth="1"/>
    <col min="13317" max="13317" width="6.85546875" style="444" bestFit="1" customWidth="1"/>
    <col min="13318" max="13318" width="29.85546875" style="444" customWidth="1"/>
    <col min="13319" max="13319" width="65.85546875" style="444" customWidth="1"/>
    <col min="13320" max="13320" width="11.7109375" style="444" bestFit="1" customWidth="1"/>
    <col min="13321" max="13321" width="5.140625" style="444" bestFit="1" customWidth="1"/>
    <col min="13322" max="13322" width="2.28515625" style="444" bestFit="1" customWidth="1"/>
    <col min="13323" max="13324" width="2.28515625" style="444" customWidth="1"/>
    <col min="13325" max="13325" width="2.5703125" style="444" bestFit="1" customWidth="1"/>
    <col min="13326" max="13326" width="2.28515625" style="444" bestFit="1" customWidth="1"/>
    <col min="13327" max="13568" width="9.140625" style="444"/>
    <col min="13569" max="13569" width="9.140625" style="444" customWidth="1"/>
    <col min="13570" max="13570" width="8.140625" style="444" bestFit="1" customWidth="1"/>
    <col min="13571" max="13571" width="12.5703125" style="444" bestFit="1" customWidth="1"/>
    <col min="13572" max="13572" width="21.28515625" style="444" bestFit="1" customWidth="1"/>
    <col min="13573" max="13573" width="6.85546875" style="444" bestFit="1" customWidth="1"/>
    <col min="13574" max="13574" width="29.85546875" style="444" customWidth="1"/>
    <col min="13575" max="13575" width="65.85546875" style="444" customWidth="1"/>
    <col min="13576" max="13576" width="11.7109375" style="444" bestFit="1" customWidth="1"/>
    <col min="13577" max="13577" width="5.140625" style="444" bestFit="1" customWidth="1"/>
    <col min="13578" max="13578" width="2.28515625" style="444" bestFit="1" customWidth="1"/>
    <col min="13579" max="13580" width="2.28515625" style="444" customWidth="1"/>
    <col min="13581" max="13581" width="2.5703125" style="444" bestFit="1" customWidth="1"/>
    <col min="13582" max="13582" width="2.28515625" style="444" bestFit="1" customWidth="1"/>
    <col min="13583" max="13824" width="9.140625" style="444"/>
    <col min="13825" max="13825" width="9.140625" style="444" customWidth="1"/>
    <col min="13826" max="13826" width="8.140625" style="444" bestFit="1" customWidth="1"/>
    <col min="13827" max="13827" width="12.5703125" style="444" bestFit="1" customWidth="1"/>
    <col min="13828" max="13828" width="21.28515625" style="444" bestFit="1" customWidth="1"/>
    <col min="13829" max="13829" width="6.85546875" style="444" bestFit="1" customWidth="1"/>
    <col min="13830" max="13830" width="29.85546875" style="444" customWidth="1"/>
    <col min="13831" max="13831" width="65.85546875" style="444" customWidth="1"/>
    <col min="13832" max="13832" width="11.7109375" style="444" bestFit="1" customWidth="1"/>
    <col min="13833" max="13833" width="5.140625" style="444" bestFit="1" customWidth="1"/>
    <col min="13834" max="13834" width="2.28515625" style="444" bestFit="1" customWidth="1"/>
    <col min="13835" max="13836" width="2.28515625" style="444" customWidth="1"/>
    <col min="13837" max="13837" width="2.5703125" style="444" bestFit="1" customWidth="1"/>
    <col min="13838" max="13838" width="2.28515625" style="444" bestFit="1" customWidth="1"/>
    <col min="13839" max="14080" width="9.140625" style="444"/>
    <col min="14081" max="14081" width="9.140625" style="444" customWidth="1"/>
    <col min="14082" max="14082" width="8.140625" style="444" bestFit="1" customWidth="1"/>
    <col min="14083" max="14083" width="12.5703125" style="444" bestFit="1" customWidth="1"/>
    <col min="14084" max="14084" width="21.28515625" style="444" bestFit="1" customWidth="1"/>
    <col min="14085" max="14085" width="6.85546875" style="444" bestFit="1" customWidth="1"/>
    <col min="14086" max="14086" width="29.85546875" style="444" customWidth="1"/>
    <col min="14087" max="14087" width="65.85546875" style="444" customWidth="1"/>
    <col min="14088" max="14088" width="11.7109375" style="444" bestFit="1" customWidth="1"/>
    <col min="14089" max="14089" width="5.140625" style="444" bestFit="1" customWidth="1"/>
    <col min="14090" max="14090" width="2.28515625" style="444" bestFit="1" customWidth="1"/>
    <col min="14091" max="14092" width="2.28515625" style="444" customWidth="1"/>
    <col min="14093" max="14093" width="2.5703125" style="444" bestFit="1" customWidth="1"/>
    <col min="14094" max="14094" width="2.28515625" style="444" bestFit="1" customWidth="1"/>
    <col min="14095" max="14336" width="9.140625" style="444"/>
    <col min="14337" max="14337" width="9.140625" style="444" customWidth="1"/>
    <col min="14338" max="14338" width="8.140625" style="444" bestFit="1" customWidth="1"/>
    <col min="14339" max="14339" width="12.5703125" style="444" bestFit="1" customWidth="1"/>
    <col min="14340" max="14340" width="21.28515625" style="444" bestFit="1" customWidth="1"/>
    <col min="14341" max="14341" width="6.85546875" style="444" bestFit="1" customWidth="1"/>
    <col min="14342" max="14342" width="29.85546875" style="444" customWidth="1"/>
    <col min="14343" max="14343" width="65.85546875" style="444" customWidth="1"/>
    <col min="14344" max="14344" width="11.7109375" style="444" bestFit="1" customWidth="1"/>
    <col min="14345" max="14345" width="5.140625" style="444" bestFit="1" customWidth="1"/>
    <col min="14346" max="14346" width="2.28515625" style="444" bestFit="1" customWidth="1"/>
    <col min="14347" max="14348" width="2.28515625" style="444" customWidth="1"/>
    <col min="14349" max="14349" width="2.5703125" style="444" bestFit="1" customWidth="1"/>
    <col min="14350" max="14350" width="2.28515625" style="444" bestFit="1" customWidth="1"/>
    <col min="14351" max="14592" width="9.140625" style="444"/>
    <col min="14593" max="14593" width="9.140625" style="444" customWidth="1"/>
    <col min="14594" max="14594" width="8.140625" style="444" bestFit="1" customWidth="1"/>
    <col min="14595" max="14595" width="12.5703125" style="444" bestFit="1" customWidth="1"/>
    <col min="14596" max="14596" width="21.28515625" style="444" bestFit="1" customWidth="1"/>
    <col min="14597" max="14597" width="6.85546875" style="444" bestFit="1" customWidth="1"/>
    <col min="14598" max="14598" width="29.85546875" style="444" customWidth="1"/>
    <col min="14599" max="14599" width="65.85546875" style="444" customWidth="1"/>
    <col min="14600" max="14600" width="11.7109375" style="444" bestFit="1" customWidth="1"/>
    <col min="14601" max="14601" width="5.140625" style="444" bestFit="1" customWidth="1"/>
    <col min="14602" max="14602" width="2.28515625" style="444" bestFit="1" customWidth="1"/>
    <col min="14603" max="14604" width="2.28515625" style="444" customWidth="1"/>
    <col min="14605" max="14605" width="2.5703125" style="444" bestFit="1" customWidth="1"/>
    <col min="14606" max="14606" width="2.28515625" style="444" bestFit="1" customWidth="1"/>
    <col min="14607" max="14848" width="9.140625" style="444"/>
    <col min="14849" max="14849" width="9.140625" style="444" customWidth="1"/>
    <col min="14850" max="14850" width="8.140625" style="444" bestFit="1" customWidth="1"/>
    <col min="14851" max="14851" width="12.5703125" style="444" bestFit="1" customWidth="1"/>
    <col min="14852" max="14852" width="21.28515625" style="444" bestFit="1" customWidth="1"/>
    <col min="14853" max="14853" width="6.85546875" style="444" bestFit="1" customWidth="1"/>
    <col min="14854" max="14854" width="29.85546875" style="444" customWidth="1"/>
    <col min="14855" max="14855" width="65.85546875" style="444" customWidth="1"/>
    <col min="14856" max="14856" width="11.7109375" style="444" bestFit="1" customWidth="1"/>
    <col min="14857" max="14857" width="5.140625" style="444" bestFit="1" customWidth="1"/>
    <col min="14858" max="14858" width="2.28515625" style="444" bestFit="1" customWidth="1"/>
    <col min="14859" max="14860" width="2.28515625" style="444" customWidth="1"/>
    <col min="14861" max="14861" width="2.5703125" style="444" bestFit="1" customWidth="1"/>
    <col min="14862" max="14862" width="2.28515625" style="444" bestFit="1" customWidth="1"/>
    <col min="14863" max="15104" width="9.140625" style="444"/>
    <col min="15105" max="15105" width="9.140625" style="444" customWidth="1"/>
    <col min="15106" max="15106" width="8.140625" style="444" bestFit="1" customWidth="1"/>
    <col min="15107" max="15107" width="12.5703125" style="444" bestFit="1" customWidth="1"/>
    <col min="15108" max="15108" width="21.28515625" style="444" bestFit="1" customWidth="1"/>
    <col min="15109" max="15109" width="6.85546875" style="444" bestFit="1" customWidth="1"/>
    <col min="15110" max="15110" width="29.85546875" style="444" customWidth="1"/>
    <col min="15111" max="15111" width="65.85546875" style="444" customWidth="1"/>
    <col min="15112" max="15112" width="11.7109375" style="444" bestFit="1" customWidth="1"/>
    <col min="15113" max="15113" width="5.140625" style="444" bestFit="1" customWidth="1"/>
    <col min="15114" max="15114" width="2.28515625" style="444" bestFit="1" customWidth="1"/>
    <col min="15115" max="15116" width="2.28515625" style="444" customWidth="1"/>
    <col min="15117" max="15117" width="2.5703125" style="444" bestFit="1" customWidth="1"/>
    <col min="15118" max="15118" width="2.28515625" style="444" bestFit="1" customWidth="1"/>
    <col min="15119" max="15360" width="9.140625" style="444"/>
    <col min="15361" max="15361" width="9.140625" style="444" customWidth="1"/>
    <col min="15362" max="15362" width="8.140625" style="444" bestFit="1" customWidth="1"/>
    <col min="15363" max="15363" width="12.5703125" style="444" bestFit="1" customWidth="1"/>
    <col min="15364" max="15364" width="21.28515625" style="444" bestFit="1" customWidth="1"/>
    <col min="15365" max="15365" width="6.85546875" style="444" bestFit="1" customWidth="1"/>
    <col min="15366" max="15366" width="29.85546875" style="444" customWidth="1"/>
    <col min="15367" max="15367" width="65.85546875" style="444" customWidth="1"/>
    <col min="15368" max="15368" width="11.7109375" style="444" bestFit="1" customWidth="1"/>
    <col min="15369" max="15369" width="5.140625" style="444" bestFit="1" customWidth="1"/>
    <col min="15370" max="15370" width="2.28515625" style="444" bestFit="1" customWidth="1"/>
    <col min="15371" max="15372" width="2.28515625" style="444" customWidth="1"/>
    <col min="15373" max="15373" width="2.5703125" style="444" bestFit="1" customWidth="1"/>
    <col min="15374" max="15374" width="2.28515625" style="444" bestFit="1" customWidth="1"/>
    <col min="15375" max="15616" width="9.140625" style="444"/>
    <col min="15617" max="15617" width="9.140625" style="444" customWidth="1"/>
    <col min="15618" max="15618" width="8.140625" style="444" bestFit="1" customWidth="1"/>
    <col min="15619" max="15619" width="12.5703125" style="444" bestFit="1" customWidth="1"/>
    <col min="15620" max="15620" width="21.28515625" style="444" bestFit="1" customWidth="1"/>
    <col min="15621" max="15621" width="6.85546875" style="444" bestFit="1" customWidth="1"/>
    <col min="15622" max="15622" width="29.85546875" style="444" customWidth="1"/>
    <col min="15623" max="15623" width="65.85546875" style="444" customWidth="1"/>
    <col min="15624" max="15624" width="11.7109375" style="444" bestFit="1" customWidth="1"/>
    <col min="15625" max="15625" width="5.140625" style="444" bestFit="1" customWidth="1"/>
    <col min="15626" max="15626" width="2.28515625" style="444" bestFit="1" customWidth="1"/>
    <col min="15627" max="15628" width="2.28515625" style="444" customWidth="1"/>
    <col min="15629" max="15629" width="2.5703125" style="444" bestFit="1" customWidth="1"/>
    <col min="15630" max="15630" width="2.28515625" style="444" bestFit="1" customWidth="1"/>
    <col min="15631" max="15872" width="9.140625" style="444"/>
    <col min="15873" max="15873" width="9.140625" style="444" customWidth="1"/>
    <col min="15874" max="15874" width="8.140625" style="444" bestFit="1" customWidth="1"/>
    <col min="15875" max="15875" width="12.5703125" style="444" bestFit="1" customWidth="1"/>
    <col min="15876" max="15876" width="21.28515625" style="444" bestFit="1" customWidth="1"/>
    <col min="15877" max="15877" width="6.85546875" style="444" bestFit="1" customWidth="1"/>
    <col min="15878" max="15878" width="29.85546875" style="444" customWidth="1"/>
    <col min="15879" max="15879" width="65.85546875" style="444" customWidth="1"/>
    <col min="15880" max="15880" width="11.7109375" style="444" bestFit="1" customWidth="1"/>
    <col min="15881" max="15881" width="5.140625" style="444" bestFit="1" customWidth="1"/>
    <col min="15882" max="15882" width="2.28515625" style="444" bestFit="1" customWidth="1"/>
    <col min="15883" max="15884" width="2.28515625" style="444" customWidth="1"/>
    <col min="15885" max="15885" width="2.5703125" style="444" bestFit="1" customWidth="1"/>
    <col min="15886" max="15886" width="2.28515625" style="444" bestFit="1" customWidth="1"/>
    <col min="15887" max="16128" width="9.140625" style="444"/>
    <col min="16129" max="16129" width="9.140625" style="444" customWidth="1"/>
    <col min="16130" max="16130" width="8.140625" style="444" bestFit="1" customWidth="1"/>
    <col min="16131" max="16131" width="12.5703125" style="444" bestFit="1" customWidth="1"/>
    <col min="16132" max="16132" width="21.28515625" style="444" bestFit="1" customWidth="1"/>
    <col min="16133" max="16133" width="6.85546875" style="444" bestFit="1" customWidth="1"/>
    <col min="16134" max="16134" width="29.85546875" style="444" customWidth="1"/>
    <col min="16135" max="16135" width="65.85546875" style="444" customWidth="1"/>
    <col min="16136" max="16136" width="11.7109375" style="444" bestFit="1" customWidth="1"/>
    <col min="16137" max="16137" width="5.140625" style="444" bestFit="1" customWidth="1"/>
    <col min="16138" max="16138" width="2.28515625" style="444" bestFit="1" customWidth="1"/>
    <col min="16139" max="16140" width="2.28515625" style="444" customWidth="1"/>
    <col min="16141" max="16141" width="2.5703125" style="444" bestFit="1" customWidth="1"/>
    <col min="16142" max="16142" width="2.28515625" style="444" bestFit="1" customWidth="1"/>
    <col min="16143" max="16384" width="9.140625" style="444"/>
  </cols>
  <sheetData>
    <row r="1" spans="2:14" ht="12.75" customHeight="1">
      <c r="B1" s="439"/>
      <c r="C1" s="440"/>
      <c r="D1" s="440"/>
      <c r="E1" s="440"/>
      <c r="F1" s="440"/>
      <c r="G1" s="440"/>
      <c r="H1" s="441"/>
      <c r="I1" s="442"/>
      <c r="J1" s="443" t="s">
        <v>501</v>
      </c>
      <c r="K1" s="443" t="s">
        <v>502</v>
      </c>
      <c r="L1" s="443" t="s">
        <v>503</v>
      </c>
      <c r="M1" s="443" t="s">
        <v>502</v>
      </c>
      <c r="N1" s="443"/>
    </row>
    <row r="2" spans="2:14" ht="12.75" customHeight="1">
      <c r="B2" s="588" t="s">
        <v>504</v>
      </c>
      <c r="C2" s="589"/>
      <c r="D2" s="589"/>
      <c r="E2" s="589"/>
      <c r="F2" s="589"/>
      <c r="G2" s="589"/>
      <c r="H2" s="445"/>
      <c r="I2" s="446"/>
      <c r="J2" s="447" t="s">
        <v>505</v>
      </c>
      <c r="K2" s="447" t="s">
        <v>506</v>
      </c>
      <c r="L2" s="447" t="s">
        <v>507</v>
      </c>
      <c r="M2" s="447" t="s">
        <v>508</v>
      </c>
      <c r="N2" s="447" t="s">
        <v>43</v>
      </c>
    </row>
    <row r="3" spans="2:14" ht="12.75" customHeight="1">
      <c r="B3" s="588"/>
      <c r="C3" s="589"/>
      <c r="D3" s="589"/>
      <c r="E3" s="589"/>
      <c r="F3" s="589"/>
      <c r="G3" s="589"/>
      <c r="H3" s="445"/>
      <c r="I3" s="446"/>
      <c r="J3" s="447" t="s">
        <v>509</v>
      </c>
      <c r="K3" s="447"/>
      <c r="L3" s="447" t="s">
        <v>510</v>
      </c>
      <c r="M3" s="447" t="s">
        <v>501</v>
      </c>
      <c r="N3" s="447"/>
    </row>
    <row r="4" spans="2:14" ht="12.75" customHeight="1">
      <c r="B4" s="588"/>
      <c r="C4" s="589"/>
      <c r="D4" s="589"/>
      <c r="E4" s="589"/>
      <c r="F4" s="589"/>
      <c r="G4" s="589"/>
      <c r="H4" s="445"/>
      <c r="I4" s="446"/>
      <c r="J4" s="447" t="s">
        <v>37</v>
      </c>
      <c r="K4" s="447"/>
      <c r="L4" s="447" t="s">
        <v>507</v>
      </c>
      <c r="M4" s="447" t="s">
        <v>505</v>
      </c>
      <c r="N4" s="447"/>
    </row>
    <row r="5" spans="2:14" ht="12.75" customHeight="1">
      <c r="B5" s="448"/>
      <c r="C5" s="449"/>
      <c r="D5" s="449"/>
      <c r="E5" s="449"/>
      <c r="F5" s="449"/>
      <c r="G5" s="449"/>
      <c r="H5" s="445"/>
      <c r="I5" s="446"/>
      <c r="J5" s="447"/>
      <c r="K5" s="447" t="s">
        <v>511</v>
      </c>
      <c r="L5" s="447" t="s">
        <v>502</v>
      </c>
      <c r="M5" s="447"/>
      <c r="N5" s="447" t="s">
        <v>507</v>
      </c>
    </row>
    <row r="6" spans="2:14" ht="12" customHeight="1">
      <c r="B6" s="450"/>
      <c r="C6" s="451"/>
      <c r="D6" s="451"/>
      <c r="F6" s="451"/>
      <c r="H6" s="452"/>
      <c r="I6" s="446"/>
      <c r="J6" s="447" t="s">
        <v>506</v>
      </c>
      <c r="K6" s="447" t="s">
        <v>512</v>
      </c>
      <c r="L6" s="447"/>
      <c r="M6" s="447" t="s">
        <v>502</v>
      </c>
      <c r="N6" s="447" t="s">
        <v>513</v>
      </c>
    </row>
    <row r="7" spans="2:14" ht="12.75" customHeight="1">
      <c r="B7" s="450"/>
      <c r="D7" s="453"/>
      <c r="H7" s="452"/>
      <c r="I7" s="446"/>
      <c r="J7" s="447" t="s">
        <v>76</v>
      </c>
      <c r="K7" s="447" t="s">
        <v>509</v>
      </c>
      <c r="L7" s="447" t="s">
        <v>509</v>
      </c>
      <c r="M7" s="447" t="s">
        <v>505</v>
      </c>
      <c r="N7" s="447" t="s">
        <v>514</v>
      </c>
    </row>
    <row r="8" spans="2:14" ht="12.75" customHeight="1">
      <c r="B8" s="450"/>
      <c r="G8" s="453"/>
      <c r="H8" s="454"/>
      <c r="I8" s="447" t="s">
        <v>514</v>
      </c>
      <c r="J8" s="447" t="s">
        <v>502</v>
      </c>
      <c r="K8" s="447" t="s">
        <v>515</v>
      </c>
      <c r="L8" s="447" t="s">
        <v>505</v>
      </c>
      <c r="M8" s="447" t="s">
        <v>514</v>
      </c>
      <c r="N8" s="447" t="s">
        <v>512</v>
      </c>
    </row>
    <row r="9" spans="2:14">
      <c r="B9" s="447" t="s">
        <v>516</v>
      </c>
      <c r="C9" s="454" t="s">
        <v>146</v>
      </c>
      <c r="D9" s="454" t="s">
        <v>517</v>
      </c>
      <c r="E9" s="454" t="s">
        <v>518</v>
      </c>
      <c r="F9" s="447" t="s">
        <v>519</v>
      </c>
      <c r="G9" s="447" t="s">
        <v>520</v>
      </c>
      <c r="H9" s="447" t="s">
        <v>521</v>
      </c>
      <c r="I9" s="447" t="s">
        <v>37</v>
      </c>
      <c r="J9" s="447" t="s">
        <v>76</v>
      </c>
      <c r="K9" s="447" t="s">
        <v>505</v>
      </c>
      <c r="L9" s="447" t="s">
        <v>515</v>
      </c>
      <c r="M9" s="447" t="s">
        <v>502</v>
      </c>
      <c r="N9" s="447" t="s">
        <v>503</v>
      </c>
    </row>
    <row r="10" spans="2:14" ht="15" customHeight="1">
      <c r="B10" s="455"/>
      <c r="C10" s="456"/>
      <c r="D10" s="456"/>
      <c r="E10" s="456"/>
      <c r="F10" s="457"/>
      <c r="G10" s="458"/>
      <c r="H10" s="458"/>
      <c r="I10" s="459"/>
      <c r="J10" s="460"/>
      <c r="K10" s="460"/>
      <c r="L10" s="460"/>
      <c r="M10" s="460"/>
      <c r="N10" s="461"/>
    </row>
    <row r="11" spans="2:14" ht="15" customHeight="1">
      <c r="B11" s="455"/>
      <c r="C11" s="457"/>
      <c r="D11" s="457"/>
      <c r="E11" s="457"/>
      <c r="F11" s="457"/>
      <c r="G11" s="457"/>
      <c r="H11" s="457"/>
      <c r="I11" s="462"/>
      <c r="J11" s="460"/>
      <c r="K11" s="460"/>
      <c r="L11" s="460"/>
      <c r="M11" s="460"/>
      <c r="N11" s="461"/>
    </row>
    <row r="12" spans="2:14" ht="15" customHeight="1">
      <c r="B12" s="455"/>
      <c r="C12" s="457"/>
      <c r="D12" s="457"/>
      <c r="E12" s="457"/>
      <c r="F12" s="457"/>
      <c r="G12" s="457"/>
      <c r="H12" s="457"/>
      <c r="I12" s="462"/>
      <c r="J12" s="463"/>
      <c r="K12" s="460"/>
      <c r="L12" s="460"/>
      <c r="M12" s="460"/>
      <c r="N12" s="461"/>
    </row>
    <row r="13" spans="2:14" ht="15" customHeight="1">
      <c r="B13" s="455"/>
      <c r="C13" s="457"/>
      <c r="D13" s="457"/>
      <c r="E13" s="457"/>
      <c r="F13" s="457"/>
      <c r="G13" s="457"/>
      <c r="H13" s="457"/>
      <c r="I13" s="462"/>
      <c r="J13" s="460"/>
      <c r="K13" s="460"/>
      <c r="L13" s="460"/>
      <c r="M13" s="460"/>
      <c r="N13" s="461"/>
    </row>
    <row r="14" spans="2:14" ht="15" customHeight="1">
      <c r="B14" s="455"/>
      <c r="C14" s="457"/>
      <c r="D14" s="457"/>
      <c r="E14" s="457"/>
      <c r="F14" s="457"/>
      <c r="G14" s="457"/>
      <c r="H14" s="457"/>
      <c r="I14" s="462"/>
      <c r="J14" s="460"/>
      <c r="K14" s="460"/>
      <c r="L14" s="460"/>
      <c r="M14" s="460"/>
      <c r="N14" s="461"/>
    </row>
    <row r="15" spans="2:14" ht="15" customHeight="1">
      <c r="B15" s="455"/>
      <c r="C15" s="457"/>
      <c r="D15" s="457"/>
      <c r="E15" s="457"/>
      <c r="F15" s="457"/>
      <c r="G15" s="457"/>
      <c r="H15" s="457"/>
      <c r="I15" s="462"/>
      <c r="J15" s="460"/>
      <c r="K15" s="460"/>
      <c r="L15" s="460"/>
      <c r="M15" s="460"/>
      <c r="N15" s="461"/>
    </row>
    <row r="16" spans="2:14" ht="15" customHeight="1">
      <c r="B16" s="455"/>
      <c r="C16" s="457"/>
      <c r="D16" s="457"/>
      <c r="E16" s="457"/>
      <c r="F16" s="457"/>
      <c r="G16" s="457"/>
      <c r="H16" s="457"/>
      <c r="I16" s="462"/>
      <c r="J16" s="460"/>
      <c r="K16" s="460"/>
      <c r="L16" s="460"/>
      <c r="M16" s="460"/>
      <c r="N16" s="461"/>
    </row>
    <row r="17" spans="2:14" ht="15" customHeight="1">
      <c r="B17" s="455"/>
      <c r="C17" s="457"/>
      <c r="D17" s="457"/>
      <c r="E17" s="457"/>
      <c r="F17" s="457"/>
      <c r="G17" s="457"/>
      <c r="H17" s="457"/>
      <c r="I17" s="462"/>
      <c r="J17" s="460"/>
      <c r="K17" s="460"/>
      <c r="L17" s="460"/>
      <c r="M17" s="460"/>
      <c r="N17" s="461"/>
    </row>
    <row r="18" spans="2:14" ht="15" customHeight="1">
      <c r="B18" s="455"/>
      <c r="C18" s="457"/>
      <c r="D18" s="457"/>
      <c r="E18" s="457"/>
      <c r="F18" s="457"/>
      <c r="G18" s="457"/>
      <c r="H18" s="457"/>
      <c r="I18" s="462"/>
      <c r="J18" s="460"/>
      <c r="K18" s="460"/>
      <c r="L18" s="460"/>
      <c r="M18" s="460"/>
      <c r="N18" s="461"/>
    </row>
    <row r="19" spans="2:14" ht="15" customHeight="1">
      <c r="B19" s="455"/>
      <c r="C19" s="457"/>
      <c r="D19" s="457"/>
      <c r="E19" s="457"/>
      <c r="F19" s="457"/>
      <c r="G19" s="457"/>
      <c r="H19" s="457"/>
      <c r="I19" s="462"/>
      <c r="J19" s="460"/>
      <c r="K19" s="460"/>
      <c r="L19" s="460"/>
      <c r="M19" s="460"/>
      <c r="N19" s="461"/>
    </row>
    <row r="20" spans="2:14" ht="15" customHeight="1">
      <c r="B20" s="455"/>
      <c r="C20" s="457"/>
      <c r="D20" s="457"/>
      <c r="E20" s="457"/>
      <c r="F20" s="457"/>
      <c r="G20" s="457"/>
      <c r="H20" s="457"/>
      <c r="I20" s="462"/>
      <c r="J20" s="460"/>
      <c r="K20" s="460"/>
      <c r="L20" s="460"/>
      <c r="M20" s="460"/>
      <c r="N20" s="461"/>
    </row>
    <row r="21" spans="2:14" ht="15" customHeight="1">
      <c r="B21" s="455"/>
      <c r="C21" s="457"/>
      <c r="D21" s="457"/>
      <c r="E21" s="457"/>
      <c r="F21" s="457"/>
      <c r="G21" s="457"/>
      <c r="H21" s="457"/>
      <c r="I21" s="462"/>
      <c r="J21" s="460"/>
      <c r="K21" s="460"/>
      <c r="L21" s="460"/>
      <c r="M21" s="460"/>
      <c r="N21" s="461"/>
    </row>
    <row r="22" spans="2:14" ht="15" customHeight="1">
      <c r="B22" s="455"/>
      <c r="C22" s="457"/>
      <c r="D22" s="457"/>
      <c r="E22" s="457"/>
      <c r="F22" s="457"/>
      <c r="G22" s="457"/>
      <c r="H22" s="457"/>
      <c r="I22" s="462"/>
      <c r="J22" s="460"/>
      <c r="K22" s="460"/>
      <c r="L22" s="460"/>
      <c r="M22" s="460"/>
      <c r="N22" s="461"/>
    </row>
    <row r="23" spans="2:14" ht="15" customHeight="1">
      <c r="B23" s="455"/>
      <c r="C23" s="457"/>
      <c r="D23" s="457"/>
      <c r="E23" s="457"/>
      <c r="F23" s="457"/>
      <c r="G23" s="457"/>
      <c r="H23" s="457"/>
      <c r="I23" s="462"/>
      <c r="J23" s="460"/>
      <c r="K23" s="460"/>
      <c r="L23" s="460"/>
      <c r="M23" s="460"/>
      <c r="N23" s="461"/>
    </row>
    <row r="24" spans="2:14" ht="15" customHeight="1">
      <c r="B24" s="455"/>
      <c r="C24" s="457"/>
      <c r="D24" s="457"/>
      <c r="E24" s="457"/>
      <c r="F24" s="457"/>
      <c r="G24" s="457"/>
      <c r="H24" s="457"/>
      <c r="I24" s="462"/>
      <c r="J24" s="460"/>
      <c r="K24" s="460"/>
      <c r="L24" s="460"/>
      <c r="M24" s="460"/>
      <c r="N24" s="461"/>
    </row>
    <row r="25" spans="2:14" ht="15" customHeight="1">
      <c r="B25" s="455"/>
      <c r="C25" s="457"/>
      <c r="D25" s="457"/>
      <c r="E25" s="457"/>
      <c r="F25" s="457"/>
      <c r="G25" s="457"/>
      <c r="H25" s="457"/>
      <c r="I25" s="462"/>
      <c r="J25" s="460"/>
      <c r="K25" s="460"/>
      <c r="L25" s="460"/>
      <c r="M25" s="460"/>
      <c r="N25" s="461"/>
    </row>
    <row r="26" spans="2:14" ht="15" customHeight="1">
      <c r="B26" s="455"/>
      <c r="C26" s="457"/>
      <c r="D26" s="457"/>
      <c r="E26" s="457"/>
      <c r="F26" s="457"/>
      <c r="G26" s="457"/>
      <c r="H26" s="457"/>
      <c r="I26" s="462"/>
      <c r="J26" s="460"/>
      <c r="K26" s="460"/>
      <c r="L26" s="460"/>
      <c r="M26" s="460"/>
      <c r="N26" s="461"/>
    </row>
    <row r="27" spans="2:14" ht="15" customHeight="1">
      <c r="B27" s="455"/>
      <c r="C27" s="457"/>
      <c r="D27" s="457"/>
      <c r="E27" s="457"/>
      <c r="F27" s="457"/>
      <c r="G27" s="457"/>
      <c r="H27" s="457"/>
      <c r="I27" s="462"/>
      <c r="J27" s="460"/>
      <c r="K27" s="460"/>
      <c r="L27" s="460"/>
      <c r="M27" s="460"/>
      <c r="N27" s="461"/>
    </row>
    <row r="28" spans="2:14" ht="15" customHeight="1">
      <c r="B28" s="455"/>
      <c r="C28" s="457"/>
      <c r="D28" s="457"/>
      <c r="E28" s="457"/>
      <c r="F28" s="457"/>
      <c r="G28" s="457"/>
      <c r="H28" s="457"/>
      <c r="I28" s="462"/>
      <c r="J28" s="460"/>
      <c r="K28" s="460"/>
      <c r="L28" s="460"/>
      <c r="M28" s="460"/>
      <c r="N28" s="461"/>
    </row>
    <row r="29" spans="2:14" ht="15" customHeight="1">
      <c r="B29" s="455"/>
      <c r="C29" s="457"/>
      <c r="D29" s="457"/>
      <c r="E29" s="457"/>
      <c r="F29" s="457"/>
      <c r="G29" s="457"/>
      <c r="H29" s="457"/>
      <c r="I29" s="462"/>
      <c r="J29" s="460"/>
      <c r="K29" s="460"/>
      <c r="L29" s="460"/>
      <c r="M29" s="460"/>
      <c r="N29" s="461"/>
    </row>
    <row r="30" spans="2:14" ht="15" customHeight="1">
      <c r="B30" s="455"/>
      <c r="C30" s="457"/>
      <c r="D30" s="457"/>
      <c r="E30" s="457"/>
      <c r="F30" s="457"/>
      <c r="G30" s="457"/>
      <c r="H30" s="457"/>
      <c r="I30" s="462"/>
      <c r="J30" s="460"/>
      <c r="K30" s="460"/>
      <c r="L30" s="460"/>
      <c r="M30" s="460"/>
      <c r="N30" s="461"/>
    </row>
    <row r="31" spans="2:14" ht="15" customHeight="1">
      <c r="B31" s="455"/>
      <c r="C31" s="457"/>
      <c r="D31" s="457"/>
      <c r="E31" s="457"/>
      <c r="F31" s="457"/>
      <c r="G31" s="457"/>
      <c r="H31" s="457"/>
      <c r="I31" s="462"/>
      <c r="J31" s="460"/>
      <c r="K31" s="460"/>
      <c r="L31" s="460"/>
      <c r="M31" s="460"/>
      <c r="N31" s="461"/>
    </row>
    <row r="32" spans="2:14" ht="15" customHeight="1">
      <c r="B32" s="455"/>
      <c r="C32" s="457"/>
      <c r="D32" s="457"/>
      <c r="E32" s="457"/>
      <c r="F32" s="457"/>
      <c r="G32" s="457"/>
      <c r="H32" s="457"/>
      <c r="I32" s="462"/>
      <c r="J32" s="460"/>
      <c r="K32" s="460"/>
      <c r="L32" s="460"/>
      <c r="M32" s="460"/>
      <c r="N32" s="461"/>
    </row>
    <row r="33" spans="2:14" ht="15" customHeight="1">
      <c r="B33" s="455"/>
      <c r="C33" s="457"/>
      <c r="D33" s="457"/>
      <c r="E33" s="457"/>
      <c r="F33" s="457"/>
      <c r="G33" s="457"/>
      <c r="H33" s="457"/>
      <c r="I33" s="462"/>
      <c r="J33" s="460"/>
      <c r="K33" s="460"/>
      <c r="L33" s="460"/>
      <c r="M33" s="460"/>
      <c r="N33" s="461"/>
    </row>
    <row r="34" spans="2:14" ht="15" customHeight="1">
      <c r="B34" s="455"/>
      <c r="C34" s="457"/>
      <c r="D34" s="457"/>
      <c r="E34" s="457"/>
      <c r="F34" s="457"/>
      <c r="G34" s="457"/>
      <c r="H34" s="457"/>
      <c r="I34" s="462"/>
      <c r="J34" s="460"/>
      <c r="K34" s="460"/>
      <c r="L34" s="460"/>
      <c r="M34" s="460"/>
      <c r="N34" s="461"/>
    </row>
    <row r="35" spans="2:14" ht="15" customHeight="1">
      <c r="B35" s="455"/>
      <c r="C35" s="457"/>
      <c r="D35" s="457"/>
      <c r="E35" s="457"/>
      <c r="F35" s="457"/>
      <c r="G35" s="457"/>
      <c r="H35" s="457"/>
      <c r="I35" s="462"/>
      <c r="J35" s="460"/>
      <c r="K35" s="460"/>
      <c r="L35" s="460"/>
      <c r="M35" s="460"/>
      <c r="N35" s="461"/>
    </row>
    <row r="36" spans="2:14" ht="15" customHeight="1">
      <c r="B36" s="455"/>
      <c r="C36" s="457"/>
      <c r="D36" s="457"/>
      <c r="E36" s="457"/>
      <c r="F36" s="457"/>
      <c r="G36" s="457"/>
      <c r="H36" s="457"/>
      <c r="I36" s="462"/>
      <c r="J36" s="460"/>
      <c r="K36" s="460"/>
      <c r="L36" s="460"/>
      <c r="M36" s="460"/>
      <c r="N36" s="461"/>
    </row>
    <row r="37" spans="2:14" ht="15" customHeight="1">
      <c r="B37" s="455"/>
      <c r="C37" s="457"/>
      <c r="D37" s="457"/>
      <c r="E37" s="457"/>
      <c r="F37" s="457"/>
      <c r="G37" s="457"/>
      <c r="H37" s="457"/>
      <c r="I37" s="462"/>
      <c r="J37" s="460"/>
      <c r="K37" s="460"/>
      <c r="L37" s="460"/>
      <c r="M37" s="460"/>
      <c r="N37" s="461"/>
    </row>
    <row r="38" spans="2:14" ht="15" customHeight="1">
      <c r="B38" s="455"/>
      <c r="C38" s="457"/>
      <c r="D38" s="457"/>
      <c r="E38" s="457"/>
      <c r="F38" s="457"/>
      <c r="G38" s="457"/>
      <c r="H38" s="457"/>
      <c r="I38" s="462"/>
      <c r="J38" s="460"/>
      <c r="K38" s="460"/>
      <c r="L38" s="460"/>
      <c r="M38" s="460"/>
      <c r="N38" s="461"/>
    </row>
    <row r="39" spans="2:14" ht="15" customHeight="1">
      <c r="B39" s="455"/>
      <c r="C39" s="457"/>
      <c r="D39" s="457"/>
      <c r="E39" s="457"/>
      <c r="F39" s="457"/>
      <c r="G39" s="457"/>
      <c r="H39" s="457"/>
      <c r="I39" s="462"/>
      <c r="J39" s="460"/>
      <c r="K39" s="460"/>
      <c r="L39" s="460"/>
      <c r="M39" s="460"/>
      <c r="N39" s="461"/>
    </row>
    <row r="40" spans="2:14" ht="15" customHeight="1">
      <c r="B40" s="455"/>
      <c r="C40" s="457"/>
      <c r="D40" s="457"/>
      <c r="E40" s="457"/>
      <c r="F40" s="457"/>
      <c r="G40" s="457"/>
      <c r="H40" s="457"/>
      <c r="I40" s="462"/>
      <c r="J40" s="460"/>
      <c r="K40" s="460"/>
      <c r="L40" s="460"/>
      <c r="M40" s="460"/>
      <c r="N40" s="461"/>
    </row>
    <row r="41" spans="2:14" ht="15" customHeight="1">
      <c r="B41" s="455"/>
      <c r="C41" s="457"/>
      <c r="D41" s="457"/>
      <c r="E41" s="457"/>
      <c r="F41" s="457"/>
      <c r="G41" s="457"/>
      <c r="H41" s="457"/>
      <c r="I41" s="462"/>
      <c r="J41" s="460"/>
      <c r="K41" s="460"/>
      <c r="L41" s="460"/>
      <c r="M41" s="460"/>
      <c r="N41" s="461"/>
    </row>
    <row r="42" spans="2:14" ht="15" customHeight="1">
      <c r="B42" s="455"/>
      <c r="C42" s="457"/>
      <c r="D42" s="457"/>
      <c r="E42" s="457"/>
      <c r="F42" s="457"/>
      <c r="G42" s="457"/>
      <c r="H42" s="457"/>
      <c r="I42" s="462"/>
      <c r="J42" s="460"/>
      <c r="K42" s="460"/>
      <c r="L42" s="460"/>
      <c r="M42" s="460"/>
      <c r="N42" s="461"/>
    </row>
    <row r="43" spans="2:14" ht="15" customHeight="1">
      <c r="B43" s="455"/>
      <c r="C43" s="457"/>
      <c r="D43" s="457"/>
      <c r="E43" s="457"/>
      <c r="F43" s="457"/>
      <c r="G43" s="457"/>
      <c r="H43" s="457"/>
      <c r="I43" s="462"/>
      <c r="J43" s="460"/>
      <c r="K43" s="460"/>
      <c r="L43" s="460"/>
      <c r="M43" s="460"/>
      <c r="N43" s="461"/>
    </row>
    <row r="44" spans="2:14" ht="15" customHeight="1">
      <c r="B44" s="455"/>
      <c r="C44" s="457"/>
      <c r="D44" s="457"/>
      <c r="E44" s="457"/>
      <c r="F44" s="457"/>
      <c r="G44" s="457"/>
      <c r="H44" s="457"/>
      <c r="I44" s="462"/>
      <c r="J44" s="460"/>
      <c r="K44" s="460"/>
      <c r="L44" s="460"/>
      <c r="M44" s="460"/>
      <c r="N44" s="461"/>
    </row>
    <row r="45" spans="2:14" ht="15" customHeight="1">
      <c r="B45" s="455"/>
      <c r="C45" s="457"/>
      <c r="D45" s="457"/>
      <c r="E45" s="457"/>
      <c r="F45" s="457"/>
      <c r="G45" s="457"/>
      <c r="H45" s="457"/>
      <c r="I45" s="462"/>
      <c r="J45" s="460"/>
      <c r="K45" s="460"/>
      <c r="L45" s="460"/>
      <c r="M45" s="460"/>
      <c r="N45" s="461"/>
    </row>
    <row r="46" spans="2:14" ht="15" customHeight="1">
      <c r="B46" s="455"/>
      <c r="C46" s="457"/>
      <c r="D46" s="457"/>
      <c r="E46" s="457"/>
      <c r="F46" s="457"/>
      <c r="G46" s="457"/>
      <c r="H46" s="457"/>
      <c r="I46" s="462"/>
      <c r="J46" s="460"/>
      <c r="K46" s="460"/>
      <c r="L46" s="460"/>
      <c r="M46" s="460"/>
      <c r="N46" s="461"/>
    </row>
    <row r="47" spans="2:14" ht="15" customHeight="1">
      <c r="B47" s="455"/>
      <c r="C47" s="457"/>
      <c r="D47" s="457"/>
      <c r="E47" s="457"/>
      <c r="F47" s="457"/>
      <c r="G47" s="457"/>
      <c r="H47" s="457"/>
      <c r="I47" s="462"/>
      <c r="J47" s="460"/>
      <c r="K47" s="460"/>
      <c r="L47" s="460"/>
      <c r="M47" s="460"/>
      <c r="N47" s="461"/>
    </row>
    <row r="48" spans="2:14" ht="15" customHeight="1">
      <c r="B48" s="455"/>
      <c r="C48" s="457"/>
      <c r="D48" s="457"/>
      <c r="E48" s="457"/>
      <c r="F48" s="457"/>
      <c r="G48" s="457"/>
      <c r="H48" s="457"/>
      <c r="I48" s="462"/>
      <c r="J48" s="460"/>
      <c r="K48" s="460"/>
      <c r="L48" s="460"/>
      <c r="M48" s="460"/>
      <c r="N48" s="461"/>
    </row>
    <row r="49" spans="2:14" ht="15" customHeight="1">
      <c r="B49" s="455"/>
      <c r="C49" s="457"/>
      <c r="D49" s="457"/>
      <c r="E49" s="457"/>
      <c r="F49" s="457"/>
      <c r="G49" s="457"/>
      <c r="H49" s="457"/>
      <c r="I49" s="462"/>
      <c r="J49" s="460"/>
      <c r="K49" s="460"/>
      <c r="L49" s="460"/>
      <c r="M49" s="460"/>
      <c r="N49" s="461"/>
    </row>
    <row r="50" spans="2:14" ht="15" customHeight="1">
      <c r="B50" s="455"/>
      <c r="C50" s="457"/>
      <c r="D50" s="457"/>
      <c r="E50" s="457"/>
      <c r="F50" s="457"/>
      <c r="G50" s="457"/>
      <c r="H50" s="457"/>
      <c r="I50" s="462"/>
      <c r="J50" s="460"/>
      <c r="K50" s="460"/>
      <c r="L50" s="460"/>
      <c r="M50" s="460"/>
      <c r="N50" s="461"/>
    </row>
    <row r="51" spans="2:14" ht="15" customHeight="1">
      <c r="B51" s="455"/>
      <c r="C51" s="457"/>
      <c r="D51" s="457"/>
      <c r="E51" s="457"/>
      <c r="F51" s="457"/>
      <c r="G51" s="457"/>
      <c r="H51" s="457"/>
      <c r="I51" s="462"/>
      <c r="J51" s="460"/>
      <c r="K51" s="460"/>
      <c r="L51" s="460"/>
      <c r="M51" s="460"/>
      <c r="N51" s="461"/>
    </row>
    <row r="52" spans="2:14" ht="15" customHeight="1" thickBot="1">
      <c r="B52" s="464"/>
      <c r="C52" s="465"/>
      <c r="D52" s="465"/>
      <c r="E52" s="465"/>
      <c r="F52" s="465"/>
      <c r="G52" s="465"/>
      <c r="H52" s="465"/>
      <c r="I52" s="466"/>
      <c r="J52" s="467"/>
      <c r="K52" s="467"/>
      <c r="L52" s="467"/>
      <c r="M52" s="467"/>
      <c r="N52" s="468"/>
    </row>
    <row r="53" spans="2:14" ht="20.25" customHeight="1" thickBot="1">
      <c r="B53" s="590" t="s">
        <v>522</v>
      </c>
      <c r="C53" s="590"/>
      <c r="D53" s="590"/>
      <c r="E53" s="590"/>
      <c r="F53" s="590"/>
      <c r="G53" s="590"/>
      <c r="H53" s="590"/>
      <c r="I53" s="590"/>
      <c r="J53" s="590"/>
      <c r="K53" s="590"/>
      <c r="L53" s="590"/>
      <c r="M53" s="590"/>
      <c r="N53" s="590"/>
    </row>
    <row r="54" spans="2:14" ht="15" customHeight="1" thickBot="1">
      <c r="B54" s="469" t="s">
        <v>523</v>
      </c>
      <c r="C54" s="591" t="s">
        <v>520</v>
      </c>
      <c r="D54" s="592"/>
      <c r="E54" s="592"/>
      <c r="F54" s="592"/>
      <c r="G54" s="592"/>
      <c r="H54" s="470"/>
      <c r="I54" s="591" t="s">
        <v>516</v>
      </c>
      <c r="J54" s="592"/>
      <c r="K54" s="593"/>
      <c r="L54" s="591" t="s">
        <v>524</v>
      </c>
      <c r="M54" s="592"/>
      <c r="N54" s="594"/>
    </row>
    <row r="55" spans="2:14" ht="15" customHeight="1">
      <c r="B55" s="471"/>
      <c r="C55" s="580"/>
      <c r="D55" s="581"/>
      <c r="E55" s="581"/>
      <c r="F55" s="581"/>
      <c r="G55" s="581"/>
      <c r="H55" s="472"/>
      <c r="I55" s="582"/>
      <c r="J55" s="583"/>
      <c r="K55" s="584"/>
      <c r="L55" s="585"/>
      <c r="M55" s="586"/>
      <c r="N55" s="587"/>
    </row>
    <row r="56" spans="2:14" ht="15" customHeight="1">
      <c r="B56" s="473"/>
      <c r="C56" s="595"/>
      <c r="D56" s="596"/>
      <c r="E56" s="596"/>
      <c r="F56" s="596"/>
      <c r="G56" s="596"/>
      <c r="H56" s="474"/>
      <c r="I56" s="597"/>
      <c r="J56" s="598"/>
      <c r="K56" s="599"/>
      <c r="L56" s="600"/>
      <c r="M56" s="601"/>
      <c r="N56" s="602"/>
    </row>
    <row r="57" spans="2:14" ht="15" customHeight="1">
      <c r="B57" s="473"/>
      <c r="C57" s="595"/>
      <c r="D57" s="596"/>
      <c r="E57" s="596"/>
      <c r="F57" s="596"/>
      <c r="G57" s="596"/>
      <c r="H57" s="474"/>
      <c r="I57" s="597"/>
      <c r="J57" s="598"/>
      <c r="K57" s="599"/>
      <c r="L57" s="600"/>
      <c r="M57" s="601"/>
      <c r="N57" s="602"/>
    </row>
    <row r="58" spans="2:14" ht="15" customHeight="1">
      <c r="B58" s="473"/>
      <c r="C58" s="595"/>
      <c r="D58" s="596"/>
      <c r="E58" s="596"/>
      <c r="F58" s="596"/>
      <c r="G58" s="596"/>
      <c r="H58" s="474"/>
      <c r="I58" s="597"/>
      <c r="J58" s="598"/>
      <c r="K58" s="599"/>
      <c r="L58" s="600"/>
      <c r="M58" s="601"/>
      <c r="N58" s="602"/>
    </row>
    <row r="59" spans="2:14" ht="15" customHeight="1">
      <c r="B59" s="473"/>
      <c r="C59" s="595"/>
      <c r="D59" s="596"/>
      <c r="E59" s="596"/>
      <c r="F59" s="596"/>
      <c r="G59" s="596"/>
      <c r="H59" s="474"/>
      <c r="I59" s="597"/>
      <c r="J59" s="598"/>
      <c r="K59" s="599"/>
      <c r="L59" s="600"/>
      <c r="M59" s="601"/>
      <c r="N59" s="602"/>
    </row>
    <row r="60" spans="2:14" ht="15" customHeight="1">
      <c r="B60" s="473"/>
      <c r="C60" s="595"/>
      <c r="D60" s="596"/>
      <c r="E60" s="596"/>
      <c r="F60" s="596"/>
      <c r="G60" s="596"/>
      <c r="H60" s="474"/>
      <c r="I60" s="597"/>
      <c r="J60" s="598"/>
      <c r="K60" s="599"/>
      <c r="L60" s="600"/>
      <c r="M60" s="601"/>
      <c r="N60" s="602"/>
    </row>
    <row r="61" spans="2:14" ht="15" customHeight="1">
      <c r="B61" s="473"/>
      <c r="C61" s="595"/>
      <c r="D61" s="596"/>
      <c r="E61" s="596"/>
      <c r="F61" s="596"/>
      <c r="G61" s="596"/>
      <c r="H61" s="474"/>
      <c r="I61" s="597"/>
      <c r="J61" s="598"/>
      <c r="K61" s="599"/>
      <c r="L61" s="600"/>
      <c r="M61" s="601"/>
      <c r="N61" s="602"/>
    </row>
    <row r="62" spans="2:14" ht="15" customHeight="1">
      <c r="B62" s="473"/>
      <c r="C62" s="595"/>
      <c r="D62" s="596"/>
      <c r="E62" s="596"/>
      <c r="F62" s="596"/>
      <c r="G62" s="596"/>
      <c r="H62" s="474"/>
      <c r="I62" s="597"/>
      <c r="J62" s="598"/>
      <c r="K62" s="599"/>
      <c r="L62" s="600"/>
      <c r="M62" s="601"/>
      <c r="N62" s="602"/>
    </row>
    <row r="63" spans="2:14" ht="15" customHeight="1">
      <c r="B63" s="473"/>
      <c r="C63" s="595"/>
      <c r="D63" s="596"/>
      <c r="E63" s="596"/>
      <c r="F63" s="596"/>
      <c r="G63" s="596"/>
      <c r="H63" s="474"/>
      <c r="I63" s="597"/>
      <c r="J63" s="598"/>
      <c r="K63" s="599"/>
      <c r="L63" s="600"/>
      <c r="M63" s="601"/>
      <c r="N63" s="602"/>
    </row>
    <row r="64" spans="2:14" ht="15" customHeight="1">
      <c r="B64" s="473"/>
      <c r="C64" s="595"/>
      <c r="D64" s="596"/>
      <c r="E64" s="596"/>
      <c r="F64" s="596"/>
      <c r="G64" s="596"/>
      <c r="H64" s="474"/>
      <c r="I64" s="597"/>
      <c r="J64" s="598"/>
      <c r="K64" s="599"/>
      <c r="L64" s="600"/>
      <c r="M64" s="601"/>
      <c r="N64" s="602"/>
    </row>
    <row r="65" spans="2:14" ht="15" customHeight="1">
      <c r="B65" s="473"/>
      <c r="C65" s="595"/>
      <c r="D65" s="596"/>
      <c r="E65" s="596"/>
      <c r="F65" s="596"/>
      <c r="G65" s="596"/>
      <c r="H65" s="474"/>
      <c r="I65" s="597"/>
      <c r="J65" s="598"/>
      <c r="K65" s="599"/>
      <c r="L65" s="600"/>
      <c r="M65" s="601"/>
      <c r="N65" s="602"/>
    </row>
    <row r="66" spans="2:14" ht="15" customHeight="1">
      <c r="B66" s="473"/>
      <c r="C66" s="595"/>
      <c r="D66" s="596"/>
      <c r="E66" s="596"/>
      <c r="F66" s="596"/>
      <c r="G66" s="596"/>
      <c r="H66" s="474"/>
      <c r="I66" s="597"/>
      <c r="J66" s="598"/>
      <c r="K66" s="599"/>
      <c r="L66" s="600"/>
      <c r="M66" s="601"/>
      <c r="N66" s="602"/>
    </row>
    <row r="67" spans="2:14" ht="15" customHeight="1">
      <c r="B67" s="473"/>
      <c r="C67" s="595"/>
      <c r="D67" s="596"/>
      <c r="E67" s="596"/>
      <c r="F67" s="596"/>
      <c r="G67" s="596"/>
      <c r="H67" s="474"/>
      <c r="I67" s="597"/>
      <c r="J67" s="598"/>
      <c r="K67" s="599"/>
      <c r="L67" s="600"/>
      <c r="M67" s="601"/>
      <c r="N67" s="602"/>
    </row>
    <row r="68" spans="2:14" ht="15" customHeight="1">
      <c r="B68" s="473"/>
      <c r="C68" s="595"/>
      <c r="D68" s="596"/>
      <c r="E68" s="596"/>
      <c r="F68" s="596"/>
      <c r="G68" s="596"/>
      <c r="H68" s="474"/>
      <c r="I68" s="597"/>
      <c r="J68" s="598"/>
      <c r="K68" s="599"/>
      <c r="L68" s="600"/>
      <c r="M68" s="601"/>
      <c r="N68" s="602"/>
    </row>
    <row r="69" spans="2:14" ht="15" customHeight="1">
      <c r="B69" s="473"/>
      <c r="C69" s="595"/>
      <c r="D69" s="596"/>
      <c r="E69" s="596"/>
      <c r="F69" s="596"/>
      <c r="G69" s="596"/>
      <c r="H69" s="474"/>
      <c r="I69" s="597"/>
      <c r="J69" s="598"/>
      <c r="K69" s="599"/>
      <c r="L69" s="600"/>
      <c r="M69" s="601"/>
      <c r="N69" s="602"/>
    </row>
    <row r="70" spans="2:14" ht="15" customHeight="1">
      <c r="B70" s="473"/>
      <c r="C70" s="595"/>
      <c r="D70" s="596"/>
      <c r="E70" s="596"/>
      <c r="F70" s="596"/>
      <c r="G70" s="596"/>
      <c r="H70" s="474"/>
      <c r="I70" s="597"/>
      <c r="J70" s="598"/>
      <c r="K70" s="599"/>
      <c r="L70" s="600"/>
      <c r="M70" s="601"/>
      <c r="N70" s="602"/>
    </row>
    <row r="71" spans="2:14" ht="15" customHeight="1">
      <c r="B71" s="473"/>
      <c r="C71" s="595"/>
      <c r="D71" s="596"/>
      <c r="E71" s="596"/>
      <c r="F71" s="596"/>
      <c r="G71" s="596"/>
      <c r="H71" s="474"/>
      <c r="I71" s="597"/>
      <c r="J71" s="598"/>
      <c r="K71" s="599"/>
      <c r="L71" s="600"/>
      <c r="M71" s="601"/>
      <c r="N71" s="602"/>
    </row>
    <row r="72" spans="2:14">
      <c r="B72" s="473"/>
      <c r="C72" s="595"/>
      <c r="D72" s="596"/>
      <c r="E72" s="596"/>
      <c r="F72" s="596"/>
      <c r="G72" s="596"/>
      <c r="H72" s="474"/>
      <c r="I72" s="597"/>
      <c r="J72" s="598"/>
      <c r="K72" s="599"/>
      <c r="L72" s="600"/>
      <c r="M72" s="601"/>
      <c r="N72" s="602"/>
    </row>
    <row r="73" spans="2:14">
      <c r="B73" s="473"/>
      <c r="C73" s="595"/>
      <c r="D73" s="596"/>
      <c r="E73" s="596"/>
      <c r="F73" s="596"/>
      <c r="G73" s="596"/>
      <c r="H73" s="474"/>
      <c r="I73" s="597"/>
      <c r="J73" s="598"/>
      <c r="K73" s="599"/>
      <c r="L73" s="600"/>
      <c r="M73" s="601"/>
      <c r="N73" s="602"/>
    </row>
    <row r="74" spans="2:14">
      <c r="B74" s="473"/>
      <c r="C74" s="595"/>
      <c r="D74" s="596"/>
      <c r="E74" s="596"/>
      <c r="F74" s="596"/>
      <c r="G74" s="596"/>
      <c r="H74" s="474"/>
      <c r="I74" s="597"/>
      <c r="J74" s="598"/>
      <c r="K74" s="599"/>
      <c r="L74" s="600"/>
      <c r="M74" s="601"/>
      <c r="N74" s="602"/>
    </row>
    <row r="75" spans="2:14">
      <c r="B75" s="473"/>
      <c r="C75" s="595"/>
      <c r="D75" s="596"/>
      <c r="E75" s="596"/>
      <c r="F75" s="596"/>
      <c r="G75" s="596"/>
      <c r="H75" s="474"/>
      <c r="I75" s="597"/>
      <c r="J75" s="598"/>
      <c r="K75" s="599"/>
      <c r="L75" s="600"/>
      <c r="M75" s="601"/>
      <c r="N75" s="602"/>
    </row>
    <row r="76" spans="2:14">
      <c r="B76" s="473"/>
      <c r="C76" s="595"/>
      <c r="D76" s="596"/>
      <c r="E76" s="596"/>
      <c r="F76" s="596"/>
      <c r="G76" s="596"/>
      <c r="H76" s="474"/>
      <c r="I76" s="597"/>
      <c r="J76" s="598"/>
      <c r="K76" s="599"/>
      <c r="L76" s="600"/>
      <c r="M76" s="601"/>
      <c r="N76" s="602"/>
    </row>
    <row r="77" spans="2:14">
      <c r="B77" s="473"/>
      <c r="C77" s="595"/>
      <c r="D77" s="596"/>
      <c r="E77" s="596"/>
      <c r="F77" s="596"/>
      <c r="G77" s="596"/>
      <c r="H77" s="474"/>
      <c r="I77" s="597"/>
      <c r="J77" s="598"/>
      <c r="K77" s="599"/>
      <c r="L77" s="600"/>
      <c r="M77" s="601"/>
      <c r="N77" s="602"/>
    </row>
    <row r="78" spans="2:14">
      <c r="B78" s="473"/>
      <c r="C78" s="595"/>
      <c r="D78" s="596"/>
      <c r="E78" s="596"/>
      <c r="F78" s="596"/>
      <c r="G78" s="596"/>
      <c r="H78" s="474"/>
      <c r="I78" s="597"/>
      <c r="J78" s="598"/>
      <c r="K78" s="599"/>
      <c r="L78" s="600"/>
      <c r="M78" s="601"/>
      <c r="N78" s="602"/>
    </row>
    <row r="79" spans="2:14" ht="13.5" thickBot="1">
      <c r="B79" s="475"/>
      <c r="C79" s="603"/>
      <c r="D79" s="604"/>
      <c r="E79" s="604"/>
      <c r="F79" s="604"/>
      <c r="G79" s="604"/>
      <c r="H79" s="476"/>
      <c r="I79" s="605"/>
      <c r="J79" s="606"/>
      <c r="K79" s="607"/>
      <c r="L79" s="608"/>
      <c r="M79" s="609"/>
      <c r="N79" s="610"/>
    </row>
  </sheetData>
  <mergeCells count="80">
    <mergeCell ref="C78:G78"/>
    <mergeCell ref="I78:K78"/>
    <mergeCell ref="L78:N78"/>
    <mergeCell ref="C79:G79"/>
    <mergeCell ref="I79:K79"/>
    <mergeCell ref="L79:N79"/>
    <mergeCell ref="C76:G76"/>
    <mergeCell ref="I76:K76"/>
    <mergeCell ref="L76:N76"/>
    <mergeCell ref="C77:G77"/>
    <mergeCell ref="I77:K77"/>
    <mergeCell ref="L77:N77"/>
    <mergeCell ref="C74:G74"/>
    <mergeCell ref="I74:K74"/>
    <mergeCell ref="L74:N74"/>
    <mergeCell ref="C75:G75"/>
    <mergeCell ref="I75:K75"/>
    <mergeCell ref="L75:N75"/>
    <mergeCell ref="C72:G72"/>
    <mergeCell ref="I72:K72"/>
    <mergeCell ref="L72:N72"/>
    <mergeCell ref="C73:G73"/>
    <mergeCell ref="I73:K73"/>
    <mergeCell ref="L73:N73"/>
    <mergeCell ref="C70:G70"/>
    <mergeCell ref="I70:K70"/>
    <mergeCell ref="L70:N70"/>
    <mergeCell ref="C71:G71"/>
    <mergeCell ref="I71:K71"/>
    <mergeCell ref="L71:N71"/>
    <mergeCell ref="C68:G68"/>
    <mergeCell ref="I68:K68"/>
    <mergeCell ref="L68:N68"/>
    <mergeCell ref="C69:G69"/>
    <mergeCell ref="I69:K69"/>
    <mergeCell ref="L69:N69"/>
    <mergeCell ref="C66:G66"/>
    <mergeCell ref="I66:K66"/>
    <mergeCell ref="L66:N66"/>
    <mergeCell ref="C67:G67"/>
    <mergeCell ref="I67:K67"/>
    <mergeCell ref="L67:N67"/>
    <mergeCell ref="C64:G64"/>
    <mergeCell ref="I64:K64"/>
    <mergeCell ref="L64:N64"/>
    <mergeCell ref="C65:G65"/>
    <mergeCell ref="I65:K65"/>
    <mergeCell ref="L65:N65"/>
    <mergeCell ref="C62:G62"/>
    <mergeCell ref="I62:K62"/>
    <mergeCell ref="L62:N62"/>
    <mergeCell ref="C63:G63"/>
    <mergeCell ref="I63:K63"/>
    <mergeCell ref="L63:N63"/>
    <mergeCell ref="C60:G60"/>
    <mergeCell ref="I60:K60"/>
    <mergeCell ref="L60:N60"/>
    <mergeCell ref="C61:G61"/>
    <mergeCell ref="I61:K61"/>
    <mergeCell ref="L61:N61"/>
    <mergeCell ref="C58:G58"/>
    <mergeCell ref="I58:K58"/>
    <mergeCell ref="L58:N58"/>
    <mergeCell ref="C59:G59"/>
    <mergeCell ref="I59:K59"/>
    <mergeCell ref="L59:N59"/>
    <mergeCell ref="C56:G56"/>
    <mergeCell ref="I56:K56"/>
    <mergeCell ref="L56:N56"/>
    <mergeCell ref="C57:G57"/>
    <mergeCell ref="I57:K57"/>
    <mergeCell ref="L57:N57"/>
    <mergeCell ref="C55:G55"/>
    <mergeCell ref="I55:K55"/>
    <mergeCell ref="L55:N55"/>
    <mergeCell ref="B2:G4"/>
    <mergeCell ref="B53:N53"/>
    <mergeCell ref="C54:G54"/>
    <mergeCell ref="I54:K54"/>
    <mergeCell ref="L54:N54"/>
  </mergeCells>
  <printOptions horizontalCentered="1"/>
  <pageMargins left="0" right="0" top="0.5" bottom="0.5" header="0.5" footer="0.5"/>
  <pageSetup scale="53" orientation="portrait" horizontalDpi="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31"/>
  <sheetViews>
    <sheetView workbookViewId="0"/>
  </sheetViews>
  <sheetFormatPr defaultRowHeight="12.75"/>
  <cols>
    <col min="1" max="6" width="14.7109375" customWidth="1"/>
    <col min="257" max="262" width="14.7109375" customWidth="1"/>
    <col min="513" max="518" width="14.7109375" customWidth="1"/>
    <col min="769" max="774" width="14.7109375" customWidth="1"/>
    <col min="1025" max="1030" width="14.7109375" customWidth="1"/>
    <col min="1281" max="1286" width="14.7109375" customWidth="1"/>
    <col min="1537" max="1542" width="14.7109375" customWidth="1"/>
    <col min="1793" max="1798" width="14.7109375" customWidth="1"/>
    <col min="2049" max="2054" width="14.7109375" customWidth="1"/>
    <col min="2305" max="2310" width="14.7109375" customWidth="1"/>
    <col min="2561" max="2566" width="14.7109375" customWidth="1"/>
    <col min="2817" max="2822" width="14.7109375" customWidth="1"/>
    <col min="3073" max="3078" width="14.7109375" customWidth="1"/>
    <col min="3329" max="3334" width="14.7109375" customWidth="1"/>
    <col min="3585" max="3590" width="14.7109375" customWidth="1"/>
    <col min="3841" max="3846" width="14.7109375" customWidth="1"/>
    <col min="4097" max="4102" width="14.7109375" customWidth="1"/>
    <col min="4353" max="4358" width="14.7109375" customWidth="1"/>
    <col min="4609" max="4614" width="14.7109375" customWidth="1"/>
    <col min="4865" max="4870" width="14.7109375" customWidth="1"/>
    <col min="5121" max="5126" width="14.7109375" customWidth="1"/>
    <col min="5377" max="5382" width="14.7109375" customWidth="1"/>
    <col min="5633" max="5638" width="14.7109375" customWidth="1"/>
    <col min="5889" max="5894" width="14.7109375" customWidth="1"/>
    <col min="6145" max="6150" width="14.7109375" customWidth="1"/>
    <col min="6401" max="6406" width="14.7109375" customWidth="1"/>
    <col min="6657" max="6662" width="14.7109375" customWidth="1"/>
    <col min="6913" max="6918" width="14.7109375" customWidth="1"/>
    <col min="7169" max="7174" width="14.7109375" customWidth="1"/>
    <col min="7425" max="7430" width="14.7109375" customWidth="1"/>
    <col min="7681" max="7686" width="14.7109375" customWidth="1"/>
    <col min="7937" max="7942" width="14.7109375" customWidth="1"/>
    <col min="8193" max="8198" width="14.7109375" customWidth="1"/>
    <col min="8449" max="8454" width="14.7109375" customWidth="1"/>
    <col min="8705" max="8710" width="14.7109375" customWidth="1"/>
    <col min="8961" max="8966" width="14.7109375" customWidth="1"/>
    <col min="9217" max="9222" width="14.7109375" customWidth="1"/>
    <col min="9473" max="9478" width="14.7109375" customWidth="1"/>
    <col min="9729" max="9734" width="14.7109375" customWidth="1"/>
    <col min="9985" max="9990" width="14.7109375" customWidth="1"/>
    <col min="10241" max="10246" width="14.7109375" customWidth="1"/>
    <col min="10497" max="10502" width="14.7109375" customWidth="1"/>
    <col min="10753" max="10758" width="14.7109375" customWidth="1"/>
    <col min="11009" max="11014" width="14.7109375" customWidth="1"/>
    <col min="11265" max="11270" width="14.7109375" customWidth="1"/>
    <col min="11521" max="11526" width="14.7109375" customWidth="1"/>
    <col min="11777" max="11782" width="14.7109375" customWidth="1"/>
    <col min="12033" max="12038" width="14.7109375" customWidth="1"/>
    <col min="12289" max="12294" width="14.7109375" customWidth="1"/>
    <col min="12545" max="12550" width="14.7109375" customWidth="1"/>
    <col min="12801" max="12806" width="14.7109375" customWidth="1"/>
    <col min="13057" max="13062" width="14.7109375" customWidth="1"/>
    <col min="13313" max="13318" width="14.7109375" customWidth="1"/>
    <col min="13569" max="13574" width="14.7109375" customWidth="1"/>
    <col min="13825" max="13830" width="14.7109375" customWidth="1"/>
    <col min="14081" max="14086" width="14.7109375" customWidth="1"/>
    <col min="14337" max="14342" width="14.7109375" customWidth="1"/>
    <col min="14593" max="14598" width="14.7109375" customWidth="1"/>
    <col min="14849" max="14854" width="14.7109375" customWidth="1"/>
    <col min="15105" max="15110" width="14.7109375" customWidth="1"/>
    <col min="15361" max="15366" width="14.7109375" customWidth="1"/>
    <col min="15617" max="15622" width="14.7109375" customWidth="1"/>
    <col min="15873" max="15878" width="14.7109375" customWidth="1"/>
    <col min="16129" max="16134" width="14.7109375" customWidth="1"/>
  </cols>
  <sheetData>
    <row r="1" spans="1:7" ht="20.25">
      <c r="A1" s="611" t="s">
        <v>525</v>
      </c>
      <c r="B1" s="611"/>
      <c r="C1" s="611"/>
      <c r="D1" s="611"/>
      <c r="E1" s="611"/>
      <c r="F1" s="611"/>
    </row>
    <row r="2" spans="1:7" ht="19.5" thickBot="1">
      <c r="A2" s="477"/>
      <c r="B2" s="477"/>
      <c r="C2" s="612" t="s">
        <v>526</v>
      </c>
      <c r="D2" s="612"/>
      <c r="E2" s="477"/>
      <c r="F2" s="477"/>
      <c r="G2" s="477"/>
    </row>
    <row r="3" spans="1:7" ht="19.5">
      <c r="A3" s="613" t="s">
        <v>527</v>
      </c>
      <c r="B3" s="614"/>
      <c r="C3" s="615"/>
      <c r="D3" s="613" t="s">
        <v>528</v>
      </c>
      <c r="E3" s="614"/>
      <c r="F3" s="615"/>
      <c r="G3" s="477"/>
    </row>
    <row r="4" spans="1:7" ht="15.75">
      <c r="A4" s="478" t="s">
        <v>529</v>
      </c>
      <c r="B4" s="616" t="s">
        <v>530</v>
      </c>
      <c r="C4" s="617"/>
      <c r="D4" s="618" t="s">
        <v>531</v>
      </c>
      <c r="E4" s="619"/>
      <c r="F4" s="620"/>
      <c r="G4" s="477"/>
    </row>
    <row r="5" spans="1:7" ht="16.5" thickBot="1">
      <c r="A5" s="479" t="s">
        <v>532</v>
      </c>
      <c r="B5" s="624" t="s">
        <v>532</v>
      </c>
      <c r="C5" s="625"/>
      <c r="D5" s="626" t="s">
        <v>533</v>
      </c>
      <c r="E5" s="627"/>
      <c r="F5" s="628"/>
      <c r="G5" s="477"/>
    </row>
    <row r="6" spans="1:7" ht="19.5">
      <c r="A6" s="613" t="s">
        <v>534</v>
      </c>
      <c r="B6" s="614"/>
      <c r="C6" s="614"/>
      <c r="D6" s="614"/>
      <c r="E6" s="614"/>
      <c r="F6" s="615"/>
      <c r="G6" s="477"/>
    </row>
    <row r="7" spans="1:7" ht="15.75">
      <c r="A7" s="480" t="s">
        <v>535</v>
      </c>
      <c r="B7" s="481" t="s">
        <v>536</v>
      </c>
      <c r="C7" s="482" t="s">
        <v>537</v>
      </c>
      <c r="D7" s="483" t="s">
        <v>538</v>
      </c>
      <c r="E7" s="629" t="s">
        <v>539</v>
      </c>
      <c r="F7" s="630"/>
      <c r="G7" s="477"/>
    </row>
    <row r="8" spans="1:7" ht="16.5" thickBot="1">
      <c r="A8" s="484"/>
      <c r="B8" s="485" t="s">
        <v>532</v>
      </c>
      <c r="C8" s="486"/>
      <c r="D8" s="487" t="s">
        <v>532</v>
      </c>
      <c r="E8" s="631" t="s">
        <v>540</v>
      </c>
      <c r="F8" s="628"/>
      <c r="G8" s="477"/>
    </row>
    <row r="9" spans="1:7" ht="19.5">
      <c r="A9" s="613" t="s">
        <v>541</v>
      </c>
      <c r="B9" s="614"/>
      <c r="C9" s="615"/>
      <c r="D9" s="613" t="s">
        <v>542</v>
      </c>
      <c r="E9" s="614"/>
      <c r="F9" s="615"/>
      <c r="G9" s="477"/>
    </row>
    <row r="10" spans="1:7" ht="15.75">
      <c r="A10" s="488" t="s">
        <v>543</v>
      </c>
      <c r="B10" s="632" t="s">
        <v>544</v>
      </c>
      <c r="C10" s="617"/>
      <c r="D10" s="633" t="s">
        <v>545</v>
      </c>
      <c r="E10" s="634"/>
      <c r="F10" s="489" t="s">
        <v>546</v>
      </c>
      <c r="G10" s="477"/>
    </row>
    <row r="11" spans="1:7" ht="16.5" thickBot="1">
      <c r="A11" s="490" t="s">
        <v>547</v>
      </c>
      <c r="B11" s="627" t="s">
        <v>548</v>
      </c>
      <c r="C11" s="628"/>
      <c r="D11" s="635"/>
      <c r="E11" s="636"/>
      <c r="F11" s="491" t="s">
        <v>532</v>
      </c>
      <c r="G11" s="477"/>
    </row>
    <row r="12" spans="1:7" ht="19.5">
      <c r="A12" s="613" t="s">
        <v>549</v>
      </c>
      <c r="B12" s="614"/>
      <c r="C12" s="614"/>
      <c r="D12" s="614"/>
      <c r="E12" s="614"/>
      <c r="F12" s="615"/>
      <c r="G12" s="477"/>
    </row>
    <row r="13" spans="1:7" ht="16.5" thickBot="1">
      <c r="A13" s="621" t="s">
        <v>550</v>
      </c>
      <c r="B13" s="622"/>
      <c r="C13" s="623" t="s">
        <v>551</v>
      </c>
      <c r="D13" s="623"/>
      <c r="E13" s="623"/>
      <c r="F13" s="492"/>
      <c r="G13" s="477"/>
    </row>
    <row r="14" spans="1:7" ht="18.95" customHeight="1">
      <c r="A14" s="493"/>
      <c r="B14" s="493"/>
      <c r="C14" s="493"/>
      <c r="D14" s="493"/>
      <c r="E14" s="493"/>
      <c r="F14" s="493"/>
      <c r="G14" s="477"/>
    </row>
    <row r="15" spans="1:7" ht="15.75">
      <c r="G15" s="477"/>
    </row>
    <row r="16" spans="1:7" ht="15.75">
      <c r="G16" s="477"/>
    </row>
    <row r="17" spans="7:7" ht="15.75">
      <c r="G17" s="477"/>
    </row>
    <row r="18" spans="7:7" ht="15.75">
      <c r="G18" s="477"/>
    </row>
    <row r="19" spans="7:7" ht="15.75">
      <c r="G19" s="477"/>
    </row>
    <row r="20" spans="7:7" ht="15.75">
      <c r="G20" s="477"/>
    </row>
    <row r="21" spans="7:7" ht="15.75">
      <c r="G21" s="477"/>
    </row>
    <row r="22" spans="7:7" ht="15.75">
      <c r="G22" s="477"/>
    </row>
    <row r="23" spans="7:7" ht="15.75">
      <c r="G23" s="477"/>
    </row>
    <row r="24" spans="7:7" ht="15.75">
      <c r="G24" s="477"/>
    </row>
    <row r="25" spans="7:7" ht="15.75">
      <c r="G25" s="477"/>
    </row>
    <row r="26" spans="7:7" ht="15.75">
      <c r="G26" s="477"/>
    </row>
    <row r="27" spans="7:7" ht="18.95" customHeight="1">
      <c r="G27" s="477"/>
    </row>
    <row r="28" spans="7:7" ht="15.75">
      <c r="G28" s="477"/>
    </row>
    <row r="29" spans="7:7" ht="15.75">
      <c r="G29" s="477"/>
    </row>
    <row r="30" spans="7:7" ht="15.75">
      <c r="G30" s="477"/>
    </row>
    <row r="31" spans="7:7" ht="15.75">
      <c r="G31" s="477"/>
    </row>
  </sheetData>
  <mergeCells count="20">
    <mergeCell ref="A13:B13"/>
    <mergeCell ref="C13:E13"/>
    <mergeCell ref="B5:C5"/>
    <mergeCell ref="D5:F5"/>
    <mergeCell ref="A6:F6"/>
    <mergeCell ref="E7:F7"/>
    <mergeCell ref="E8:F8"/>
    <mergeCell ref="A9:C9"/>
    <mergeCell ref="D9:F9"/>
    <mergeCell ref="B10:C10"/>
    <mergeCell ref="D10:E10"/>
    <mergeCell ref="B11:C11"/>
    <mergeCell ref="D11:E11"/>
    <mergeCell ref="A12:F12"/>
    <mergeCell ref="A1:F1"/>
    <mergeCell ref="C2:D2"/>
    <mergeCell ref="A3:C3"/>
    <mergeCell ref="D3:F3"/>
    <mergeCell ref="B4:C4"/>
    <mergeCell ref="D4:F4"/>
  </mergeCells>
  <printOptions horizontalCentered="1"/>
  <pageMargins left="0.75" right="0.75" top="1" bottom="1" header="0.5" footer="0.5"/>
  <pageSetup orientation="portrait" horizontalDpi="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61"/>
  <sheetViews>
    <sheetView workbookViewId="0"/>
  </sheetViews>
  <sheetFormatPr defaultRowHeight="12.75"/>
  <cols>
    <col min="1" max="1" width="19.7109375" customWidth="1"/>
    <col min="2" max="7" width="10.7109375" customWidth="1"/>
    <col min="257" max="257" width="19.7109375" customWidth="1"/>
    <col min="258" max="263" width="10.7109375" customWidth="1"/>
    <col min="513" max="513" width="19.7109375" customWidth="1"/>
    <col min="514" max="519" width="10.7109375" customWidth="1"/>
    <col min="769" max="769" width="19.7109375" customWidth="1"/>
    <col min="770" max="775" width="10.7109375" customWidth="1"/>
    <col min="1025" max="1025" width="19.7109375" customWidth="1"/>
    <col min="1026" max="1031" width="10.7109375" customWidth="1"/>
    <col min="1281" max="1281" width="19.7109375" customWidth="1"/>
    <col min="1282" max="1287" width="10.7109375" customWidth="1"/>
    <col min="1537" max="1537" width="19.7109375" customWidth="1"/>
    <col min="1538" max="1543" width="10.7109375" customWidth="1"/>
    <col min="1793" max="1793" width="19.7109375" customWidth="1"/>
    <col min="1794" max="1799" width="10.7109375" customWidth="1"/>
    <col min="2049" max="2049" width="19.7109375" customWidth="1"/>
    <col min="2050" max="2055" width="10.7109375" customWidth="1"/>
    <col min="2305" max="2305" width="19.7109375" customWidth="1"/>
    <col min="2306" max="2311" width="10.7109375" customWidth="1"/>
    <col min="2561" max="2561" width="19.7109375" customWidth="1"/>
    <col min="2562" max="2567" width="10.7109375" customWidth="1"/>
    <col min="2817" max="2817" width="19.7109375" customWidth="1"/>
    <col min="2818" max="2823" width="10.7109375" customWidth="1"/>
    <col min="3073" max="3073" width="19.7109375" customWidth="1"/>
    <col min="3074" max="3079" width="10.7109375" customWidth="1"/>
    <col min="3329" max="3329" width="19.7109375" customWidth="1"/>
    <col min="3330" max="3335" width="10.7109375" customWidth="1"/>
    <col min="3585" max="3585" width="19.7109375" customWidth="1"/>
    <col min="3586" max="3591" width="10.7109375" customWidth="1"/>
    <col min="3841" max="3841" width="19.7109375" customWidth="1"/>
    <col min="3842" max="3847" width="10.7109375" customWidth="1"/>
    <col min="4097" max="4097" width="19.7109375" customWidth="1"/>
    <col min="4098" max="4103" width="10.7109375" customWidth="1"/>
    <col min="4353" max="4353" width="19.7109375" customWidth="1"/>
    <col min="4354" max="4359" width="10.7109375" customWidth="1"/>
    <col min="4609" max="4609" width="19.7109375" customWidth="1"/>
    <col min="4610" max="4615" width="10.7109375" customWidth="1"/>
    <col min="4865" max="4865" width="19.7109375" customWidth="1"/>
    <col min="4866" max="4871" width="10.7109375" customWidth="1"/>
    <col min="5121" max="5121" width="19.7109375" customWidth="1"/>
    <col min="5122" max="5127" width="10.7109375" customWidth="1"/>
    <col min="5377" max="5377" width="19.7109375" customWidth="1"/>
    <col min="5378" max="5383" width="10.7109375" customWidth="1"/>
    <col min="5633" max="5633" width="19.7109375" customWidth="1"/>
    <col min="5634" max="5639" width="10.7109375" customWidth="1"/>
    <col min="5889" max="5889" width="19.7109375" customWidth="1"/>
    <col min="5890" max="5895" width="10.7109375" customWidth="1"/>
    <col min="6145" max="6145" width="19.7109375" customWidth="1"/>
    <col min="6146" max="6151" width="10.7109375" customWidth="1"/>
    <col min="6401" max="6401" width="19.7109375" customWidth="1"/>
    <col min="6402" max="6407" width="10.7109375" customWidth="1"/>
    <col min="6657" max="6657" width="19.7109375" customWidth="1"/>
    <col min="6658" max="6663" width="10.7109375" customWidth="1"/>
    <col min="6913" max="6913" width="19.7109375" customWidth="1"/>
    <col min="6914" max="6919" width="10.7109375" customWidth="1"/>
    <col min="7169" max="7169" width="19.7109375" customWidth="1"/>
    <col min="7170" max="7175" width="10.7109375" customWidth="1"/>
    <col min="7425" max="7425" width="19.7109375" customWidth="1"/>
    <col min="7426" max="7431" width="10.7109375" customWidth="1"/>
    <col min="7681" max="7681" width="19.7109375" customWidth="1"/>
    <col min="7682" max="7687" width="10.7109375" customWidth="1"/>
    <col min="7937" max="7937" width="19.7109375" customWidth="1"/>
    <col min="7938" max="7943" width="10.7109375" customWidth="1"/>
    <col min="8193" max="8193" width="19.7109375" customWidth="1"/>
    <col min="8194" max="8199" width="10.7109375" customWidth="1"/>
    <col min="8449" max="8449" width="19.7109375" customWidth="1"/>
    <col min="8450" max="8455" width="10.7109375" customWidth="1"/>
    <col min="8705" max="8705" width="19.7109375" customWidth="1"/>
    <col min="8706" max="8711" width="10.7109375" customWidth="1"/>
    <col min="8961" max="8961" width="19.7109375" customWidth="1"/>
    <col min="8962" max="8967" width="10.7109375" customWidth="1"/>
    <col min="9217" max="9217" width="19.7109375" customWidth="1"/>
    <col min="9218" max="9223" width="10.7109375" customWidth="1"/>
    <col min="9473" max="9473" width="19.7109375" customWidth="1"/>
    <col min="9474" max="9479" width="10.7109375" customWidth="1"/>
    <col min="9729" max="9729" width="19.7109375" customWidth="1"/>
    <col min="9730" max="9735" width="10.7109375" customWidth="1"/>
    <col min="9985" max="9985" width="19.7109375" customWidth="1"/>
    <col min="9986" max="9991" width="10.7109375" customWidth="1"/>
    <col min="10241" max="10241" width="19.7109375" customWidth="1"/>
    <col min="10242" max="10247" width="10.7109375" customWidth="1"/>
    <col min="10497" max="10497" width="19.7109375" customWidth="1"/>
    <col min="10498" max="10503" width="10.7109375" customWidth="1"/>
    <col min="10753" max="10753" width="19.7109375" customWidth="1"/>
    <col min="10754" max="10759" width="10.7109375" customWidth="1"/>
    <col min="11009" max="11009" width="19.7109375" customWidth="1"/>
    <col min="11010" max="11015" width="10.7109375" customWidth="1"/>
    <col min="11265" max="11265" width="19.7109375" customWidth="1"/>
    <col min="11266" max="11271" width="10.7109375" customWidth="1"/>
    <col min="11521" max="11521" width="19.7109375" customWidth="1"/>
    <col min="11522" max="11527" width="10.7109375" customWidth="1"/>
    <col min="11777" max="11777" width="19.7109375" customWidth="1"/>
    <col min="11778" max="11783" width="10.7109375" customWidth="1"/>
    <col min="12033" max="12033" width="19.7109375" customWidth="1"/>
    <col min="12034" max="12039" width="10.7109375" customWidth="1"/>
    <col min="12289" max="12289" width="19.7109375" customWidth="1"/>
    <col min="12290" max="12295" width="10.7109375" customWidth="1"/>
    <col min="12545" max="12545" width="19.7109375" customWidth="1"/>
    <col min="12546" max="12551" width="10.7109375" customWidth="1"/>
    <col min="12801" max="12801" width="19.7109375" customWidth="1"/>
    <col min="12802" max="12807" width="10.7109375" customWidth="1"/>
    <col min="13057" max="13057" width="19.7109375" customWidth="1"/>
    <col min="13058" max="13063" width="10.7109375" customWidth="1"/>
    <col min="13313" max="13313" width="19.7109375" customWidth="1"/>
    <col min="13314" max="13319" width="10.7109375" customWidth="1"/>
    <col min="13569" max="13569" width="19.7109375" customWidth="1"/>
    <col min="13570" max="13575" width="10.7109375" customWidth="1"/>
    <col min="13825" max="13825" width="19.7109375" customWidth="1"/>
    <col min="13826" max="13831" width="10.7109375" customWidth="1"/>
    <col min="14081" max="14081" width="19.7109375" customWidth="1"/>
    <col min="14082" max="14087" width="10.7109375" customWidth="1"/>
    <col min="14337" max="14337" width="19.7109375" customWidth="1"/>
    <col min="14338" max="14343" width="10.7109375" customWidth="1"/>
    <col min="14593" max="14593" width="19.7109375" customWidth="1"/>
    <col min="14594" max="14599" width="10.7109375" customWidth="1"/>
    <col min="14849" max="14849" width="19.7109375" customWidth="1"/>
    <col min="14850" max="14855" width="10.7109375" customWidth="1"/>
    <col min="15105" max="15105" width="19.7109375" customWidth="1"/>
    <col min="15106" max="15111" width="10.7109375" customWidth="1"/>
    <col min="15361" max="15361" width="19.7109375" customWidth="1"/>
    <col min="15362" max="15367" width="10.7109375" customWidth="1"/>
    <col min="15617" max="15617" width="19.7109375" customWidth="1"/>
    <col min="15618" max="15623" width="10.7109375" customWidth="1"/>
    <col min="15873" max="15873" width="19.7109375" customWidth="1"/>
    <col min="15874" max="15879" width="10.7109375" customWidth="1"/>
    <col min="16129" max="16129" width="19.7109375" customWidth="1"/>
    <col min="16130" max="16135" width="10.7109375" customWidth="1"/>
  </cols>
  <sheetData>
    <row r="1" spans="1:12" ht="21" customHeight="1">
      <c r="A1" s="494" t="s">
        <v>552</v>
      </c>
      <c r="B1" s="612" t="s">
        <v>553</v>
      </c>
      <c r="C1" s="612"/>
      <c r="D1" s="612"/>
      <c r="E1" s="612"/>
      <c r="F1" s="612"/>
      <c r="G1" s="612"/>
    </row>
    <row r="2" spans="1:12" ht="15" customHeight="1"/>
    <row r="3" spans="1:12" ht="20.25">
      <c r="A3" s="495" t="s">
        <v>554</v>
      </c>
    </row>
    <row r="4" spans="1:12" ht="12" customHeight="1">
      <c r="A4" s="477"/>
      <c r="B4" s="477"/>
      <c r="C4" s="477"/>
      <c r="D4" s="477" t="s">
        <v>555</v>
      </c>
      <c r="E4" s="477"/>
      <c r="F4" s="477"/>
      <c r="G4" s="477"/>
      <c r="H4" s="477"/>
      <c r="I4" s="477"/>
      <c r="J4" s="477"/>
      <c r="K4" s="477"/>
      <c r="L4" s="477"/>
    </row>
    <row r="5" spans="1:12" ht="15.6" customHeight="1">
      <c r="A5" s="496" t="s">
        <v>163</v>
      </c>
      <c r="B5" s="496" t="s">
        <v>556</v>
      </c>
      <c r="C5" s="496" t="s">
        <v>557</v>
      </c>
      <c r="D5" s="496" t="s">
        <v>558</v>
      </c>
      <c r="E5" s="496" t="s">
        <v>559</v>
      </c>
      <c r="F5" s="496" t="s">
        <v>560</v>
      </c>
      <c r="G5" s="496" t="s">
        <v>561</v>
      </c>
      <c r="H5" s="477"/>
      <c r="I5" s="477"/>
      <c r="J5" s="477"/>
      <c r="K5" s="477"/>
      <c r="L5" s="477"/>
    </row>
    <row r="6" spans="1:12" ht="15.6" customHeight="1">
      <c r="A6" s="497" t="s">
        <v>562</v>
      </c>
      <c r="B6" s="497" t="s">
        <v>405</v>
      </c>
      <c r="C6" s="497" t="s">
        <v>405</v>
      </c>
      <c r="D6" s="497" t="s">
        <v>563</v>
      </c>
      <c r="E6" s="497" t="s">
        <v>162</v>
      </c>
      <c r="F6" s="497" t="s">
        <v>564</v>
      </c>
      <c r="G6" s="497" t="s">
        <v>564</v>
      </c>
      <c r="H6" s="477"/>
      <c r="I6" s="477"/>
      <c r="J6" s="477"/>
      <c r="K6" s="477"/>
      <c r="L6" s="477"/>
    </row>
    <row r="7" spans="1:12" ht="15.95" customHeight="1">
      <c r="A7" s="498" t="s">
        <v>565</v>
      </c>
      <c r="B7" s="498" t="s">
        <v>566</v>
      </c>
      <c r="C7" s="498" t="s">
        <v>567</v>
      </c>
      <c r="D7" s="498" t="s">
        <v>568</v>
      </c>
      <c r="E7" s="498" t="s">
        <v>569</v>
      </c>
      <c r="F7" s="498" t="s">
        <v>570</v>
      </c>
      <c r="G7" s="498" t="s">
        <v>571</v>
      </c>
      <c r="H7" s="477"/>
      <c r="I7" s="477"/>
      <c r="J7" s="477"/>
      <c r="K7" s="477"/>
      <c r="L7" s="477"/>
    </row>
    <row r="8" spans="1:12" ht="15.95" customHeight="1">
      <c r="A8" s="498" t="s">
        <v>572</v>
      </c>
      <c r="B8" s="498" t="s">
        <v>573</v>
      </c>
      <c r="C8" s="498" t="s">
        <v>574</v>
      </c>
      <c r="D8" s="498" t="s">
        <v>575</v>
      </c>
      <c r="E8" s="498" t="s">
        <v>576</v>
      </c>
      <c r="F8" s="498" t="s">
        <v>577</v>
      </c>
      <c r="G8" s="498" t="s">
        <v>578</v>
      </c>
      <c r="H8" s="477"/>
      <c r="I8" s="477"/>
      <c r="J8" s="477"/>
      <c r="K8" s="477"/>
      <c r="L8" s="477"/>
    </row>
    <row r="9" spans="1:12" ht="15.95" customHeight="1">
      <c r="A9" s="498" t="s">
        <v>579</v>
      </c>
      <c r="B9" s="498" t="s">
        <v>580</v>
      </c>
      <c r="C9" s="498" t="s">
        <v>581</v>
      </c>
      <c r="D9" s="498" t="s">
        <v>582</v>
      </c>
      <c r="E9" s="498" t="s">
        <v>583</v>
      </c>
      <c r="F9" s="498" t="s">
        <v>584</v>
      </c>
      <c r="G9" s="498" t="s">
        <v>585</v>
      </c>
      <c r="H9" s="477"/>
      <c r="I9" s="477"/>
      <c r="J9" s="477"/>
      <c r="K9" s="477"/>
      <c r="L9" s="477"/>
    </row>
    <row r="10" spans="1:12" ht="15.95" customHeight="1">
      <c r="A10" s="498" t="s">
        <v>586</v>
      </c>
      <c r="B10" s="498" t="s">
        <v>587</v>
      </c>
      <c r="C10" s="498" t="s">
        <v>581</v>
      </c>
      <c r="D10" s="498" t="s">
        <v>588</v>
      </c>
      <c r="E10" s="498" t="s">
        <v>589</v>
      </c>
      <c r="F10" s="498" t="s">
        <v>590</v>
      </c>
      <c r="G10" s="498" t="s">
        <v>591</v>
      </c>
      <c r="H10" s="477"/>
      <c r="I10" s="477"/>
      <c r="J10" s="477"/>
      <c r="K10" s="477"/>
      <c r="L10" s="477"/>
    </row>
    <row r="11" spans="1:12" ht="15.95" customHeight="1">
      <c r="A11" s="498" t="s">
        <v>592</v>
      </c>
      <c r="B11" s="498" t="s">
        <v>593</v>
      </c>
      <c r="C11" s="498" t="s">
        <v>594</v>
      </c>
      <c r="D11" s="498" t="s">
        <v>595</v>
      </c>
      <c r="E11" s="498" t="s">
        <v>596</v>
      </c>
      <c r="F11" s="498" t="s">
        <v>597</v>
      </c>
      <c r="G11" s="498" t="s">
        <v>598</v>
      </c>
      <c r="H11" s="477"/>
      <c r="I11" s="477"/>
      <c r="J11" s="477"/>
      <c r="K11" s="477"/>
      <c r="L11" s="477"/>
    </row>
    <row r="12" spans="1:12" ht="15.95" customHeight="1">
      <c r="A12" s="498" t="s">
        <v>599</v>
      </c>
      <c r="B12" s="498" t="s">
        <v>600</v>
      </c>
      <c r="C12" s="498" t="s">
        <v>601</v>
      </c>
      <c r="D12" s="498" t="s">
        <v>602</v>
      </c>
      <c r="E12" s="498" t="s">
        <v>603</v>
      </c>
      <c r="F12" s="498" t="s">
        <v>604</v>
      </c>
      <c r="G12" s="498" t="s">
        <v>605</v>
      </c>
      <c r="H12" s="477"/>
      <c r="I12" s="477"/>
      <c r="J12" s="477"/>
      <c r="K12" s="477"/>
      <c r="L12" s="477"/>
    </row>
    <row r="13" spans="1:12" ht="15.95" customHeight="1">
      <c r="A13" s="498" t="s">
        <v>606</v>
      </c>
      <c r="B13" s="498" t="s">
        <v>607</v>
      </c>
      <c r="C13" s="498" t="s">
        <v>608</v>
      </c>
      <c r="D13" s="498" t="s">
        <v>609</v>
      </c>
      <c r="E13" s="498" t="s">
        <v>610</v>
      </c>
      <c r="F13" s="498" t="s">
        <v>611</v>
      </c>
      <c r="G13" s="498" t="s">
        <v>612</v>
      </c>
      <c r="H13" s="477"/>
      <c r="I13" s="477"/>
      <c r="J13" s="477"/>
      <c r="K13" s="477"/>
      <c r="L13" s="477"/>
    </row>
    <row r="14" spans="1:12" ht="15.95" customHeight="1">
      <c r="A14" s="498" t="s">
        <v>613</v>
      </c>
      <c r="B14" s="498" t="s">
        <v>614</v>
      </c>
      <c r="C14" s="498" t="s">
        <v>615</v>
      </c>
      <c r="D14" s="498" t="s">
        <v>616</v>
      </c>
      <c r="E14" s="498" t="s">
        <v>617</v>
      </c>
      <c r="F14" s="498" t="s">
        <v>618</v>
      </c>
      <c r="G14" s="498" t="s">
        <v>619</v>
      </c>
      <c r="H14" s="477"/>
      <c r="I14" s="477"/>
      <c r="J14" s="477"/>
      <c r="K14" s="477"/>
      <c r="L14" s="477"/>
    </row>
    <row r="15" spans="1:12" ht="15.95" customHeight="1">
      <c r="A15" s="498" t="s">
        <v>620</v>
      </c>
      <c r="B15" s="498" t="s">
        <v>621</v>
      </c>
      <c r="C15" s="498" t="s">
        <v>622</v>
      </c>
      <c r="D15" s="498" t="s">
        <v>623</v>
      </c>
      <c r="E15" s="498" t="s">
        <v>624</v>
      </c>
      <c r="F15" s="498" t="s">
        <v>625</v>
      </c>
      <c r="G15" s="498" t="s">
        <v>626</v>
      </c>
      <c r="H15" s="477"/>
      <c r="I15" s="477"/>
      <c r="J15" s="477"/>
      <c r="K15" s="477"/>
      <c r="L15" s="477"/>
    </row>
    <row r="16" spans="1:12" ht="15.95" customHeight="1">
      <c r="A16" s="498" t="s">
        <v>627</v>
      </c>
      <c r="B16" s="498" t="s">
        <v>628</v>
      </c>
      <c r="C16" s="498" t="s">
        <v>629</v>
      </c>
      <c r="D16" s="498" t="s">
        <v>630</v>
      </c>
      <c r="E16" s="498" t="s">
        <v>631</v>
      </c>
      <c r="F16" s="498" t="s">
        <v>632</v>
      </c>
      <c r="G16" s="498" t="s">
        <v>633</v>
      </c>
      <c r="H16" s="477"/>
      <c r="I16" s="477"/>
      <c r="J16" s="477"/>
      <c r="K16" s="477"/>
      <c r="L16" s="477"/>
    </row>
    <row r="17" spans="1:12" ht="15.95" customHeight="1">
      <c r="A17" s="498" t="s">
        <v>634</v>
      </c>
      <c r="B17" s="498" t="s">
        <v>635</v>
      </c>
      <c r="C17" s="498" t="s">
        <v>636</v>
      </c>
      <c r="D17" s="498" t="s">
        <v>637</v>
      </c>
      <c r="E17" s="498" t="s">
        <v>638</v>
      </c>
      <c r="F17" s="498" t="s">
        <v>639</v>
      </c>
      <c r="G17" s="498" t="s">
        <v>640</v>
      </c>
      <c r="H17" s="477"/>
      <c r="I17" s="477"/>
      <c r="J17" s="477"/>
      <c r="K17" s="477"/>
      <c r="L17" s="477"/>
    </row>
    <row r="18" spans="1:12" ht="15.95" customHeight="1">
      <c r="A18" s="498" t="s">
        <v>641</v>
      </c>
      <c r="B18" s="498" t="s">
        <v>642</v>
      </c>
      <c r="C18" s="498" t="s">
        <v>643</v>
      </c>
      <c r="D18" s="498" t="s">
        <v>644</v>
      </c>
      <c r="E18" s="498" t="s">
        <v>645</v>
      </c>
      <c r="F18" s="498" t="s">
        <v>646</v>
      </c>
      <c r="G18" s="498" t="s">
        <v>647</v>
      </c>
      <c r="H18" s="477"/>
      <c r="I18" s="477"/>
      <c r="J18" s="477"/>
      <c r="K18" s="477"/>
      <c r="L18" s="477"/>
    </row>
    <row r="19" spans="1:12" ht="15.95" customHeight="1">
      <c r="A19" s="498" t="s">
        <v>648</v>
      </c>
      <c r="B19" s="498" t="s">
        <v>649</v>
      </c>
      <c r="C19" s="498" t="s">
        <v>650</v>
      </c>
      <c r="D19" s="498" t="s">
        <v>651</v>
      </c>
      <c r="E19" s="498" t="s">
        <v>652</v>
      </c>
      <c r="F19" s="498" t="s">
        <v>653</v>
      </c>
      <c r="G19" s="498" t="s">
        <v>654</v>
      </c>
      <c r="H19" s="477"/>
      <c r="I19" s="477"/>
      <c r="J19" s="477"/>
      <c r="K19" s="477"/>
      <c r="L19" s="477"/>
    </row>
    <row r="20" spans="1:12" ht="15.75">
      <c r="A20" s="477"/>
      <c r="B20" s="477"/>
      <c r="C20" s="477"/>
      <c r="D20" s="477"/>
      <c r="E20" s="477"/>
      <c r="F20" s="477"/>
      <c r="G20" s="477"/>
      <c r="H20" s="477"/>
      <c r="I20" s="477"/>
      <c r="J20" s="477"/>
      <c r="K20" s="477"/>
      <c r="L20" s="477"/>
    </row>
    <row r="21" spans="1:12" ht="15.75">
      <c r="A21" s="477"/>
      <c r="B21" s="477"/>
      <c r="C21" s="477"/>
      <c r="D21" s="638" t="s">
        <v>655</v>
      </c>
      <c r="E21" s="639"/>
      <c r="F21" s="639"/>
      <c r="G21" s="640"/>
      <c r="H21" s="477"/>
      <c r="I21" s="477"/>
      <c r="J21" s="477"/>
      <c r="K21" s="477"/>
      <c r="L21" s="477"/>
    </row>
    <row r="22" spans="1:12" ht="17.25" customHeight="1">
      <c r="A22" s="477"/>
      <c r="B22" s="641" t="s">
        <v>656</v>
      </c>
      <c r="C22" s="641"/>
      <c r="D22" s="641" t="s">
        <v>657</v>
      </c>
      <c r="E22" s="641"/>
      <c r="F22" s="641" t="s">
        <v>658</v>
      </c>
      <c r="G22" s="641"/>
      <c r="H22" s="477"/>
      <c r="I22" s="477"/>
      <c r="J22" s="477"/>
      <c r="K22" s="477"/>
      <c r="L22" s="477"/>
    </row>
    <row r="23" spans="1:12" ht="15.75">
      <c r="A23" s="499" t="s">
        <v>659</v>
      </c>
      <c r="B23" s="637" t="s">
        <v>660</v>
      </c>
      <c r="C23" s="637"/>
      <c r="D23" s="637" t="s">
        <v>661</v>
      </c>
      <c r="E23" s="637"/>
      <c r="F23" s="637" t="s">
        <v>662</v>
      </c>
      <c r="G23" s="637"/>
      <c r="H23" s="477"/>
      <c r="I23" s="477"/>
      <c r="J23" s="477"/>
      <c r="K23" s="477"/>
      <c r="L23" s="477"/>
    </row>
    <row r="24" spans="1:12" ht="18" customHeight="1">
      <c r="A24" s="499" t="s">
        <v>663</v>
      </c>
      <c r="B24" s="637" t="s">
        <v>664</v>
      </c>
      <c r="C24" s="637"/>
      <c r="D24" s="637" t="s">
        <v>665</v>
      </c>
      <c r="E24" s="637"/>
      <c r="F24" s="637" t="s">
        <v>666</v>
      </c>
      <c r="G24" s="637"/>
      <c r="H24" s="477"/>
      <c r="I24" s="477"/>
      <c r="J24" s="477"/>
      <c r="K24" s="477"/>
      <c r="L24" s="477"/>
    </row>
    <row r="25" spans="1:12" ht="15.75">
      <c r="A25" s="499" t="s">
        <v>667</v>
      </c>
      <c r="B25" s="637" t="s">
        <v>668</v>
      </c>
      <c r="C25" s="637"/>
      <c r="D25" s="637" t="s">
        <v>669</v>
      </c>
      <c r="E25" s="637"/>
      <c r="F25" s="637" t="s">
        <v>670</v>
      </c>
      <c r="G25" s="637"/>
      <c r="H25" s="477"/>
      <c r="I25" s="477"/>
      <c r="J25" s="477"/>
      <c r="K25" s="477"/>
      <c r="L25" s="477"/>
    </row>
    <row r="26" spans="1:12" ht="15.75">
      <c r="A26" s="477"/>
      <c r="B26" s="477"/>
      <c r="C26" s="477"/>
      <c r="D26" s="477"/>
      <c r="E26" s="477"/>
      <c r="F26" s="477"/>
      <c r="G26" s="477"/>
      <c r="H26" s="477"/>
      <c r="I26" s="477"/>
      <c r="J26" s="477"/>
      <c r="K26" s="477"/>
      <c r="L26" s="477"/>
    </row>
    <row r="27" spans="1:12" ht="20.25">
      <c r="A27" s="495" t="s">
        <v>671</v>
      </c>
      <c r="B27" s="477"/>
      <c r="C27" s="477"/>
      <c r="D27" s="477"/>
      <c r="E27" s="477"/>
      <c r="F27" s="477"/>
      <c r="G27" s="477"/>
      <c r="H27" s="477"/>
      <c r="I27" s="477"/>
      <c r="J27" s="477"/>
      <c r="K27" s="477"/>
      <c r="L27" s="477"/>
    </row>
    <row r="28" spans="1:12" ht="15.75">
      <c r="A28" s="477"/>
      <c r="B28" s="477"/>
      <c r="C28" s="477"/>
      <c r="D28" s="477"/>
      <c r="E28" s="642" t="s">
        <v>672</v>
      </c>
      <c r="F28" s="639"/>
      <c r="G28" s="640"/>
      <c r="H28" s="477"/>
      <c r="I28" s="477"/>
      <c r="J28" s="477"/>
      <c r="K28" s="477"/>
      <c r="L28" s="477"/>
    </row>
    <row r="29" spans="1:12" ht="15.75">
      <c r="A29" s="477"/>
      <c r="B29" s="641" t="s">
        <v>673</v>
      </c>
      <c r="C29" s="641"/>
      <c r="D29" s="500" t="s">
        <v>674</v>
      </c>
      <c r="E29" s="500" t="s">
        <v>675</v>
      </c>
      <c r="F29" s="641" t="s">
        <v>676</v>
      </c>
      <c r="G29" s="641"/>
      <c r="H29" s="477"/>
      <c r="I29" s="477"/>
      <c r="J29" s="477"/>
      <c r="K29" s="477"/>
      <c r="L29" s="477"/>
    </row>
    <row r="30" spans="1:12" ht="15.75">
      <c r="A30" s="499" t="s">
        <v>677</v>
      </c>
      <c r="B30" s="637" t="s">
        <v>678</v>
      </c>
      <c r="C30" s="637"/>
      <c r="D30" s="498" t="s">
        <v>679</v>
      </c>
      <c r="E30" s="498" t="s">
        <v>680</v>
      </c>
      <c r="F30" s="637" t="s">
        <v>681</v>
      </c>
      <c r="G30" s="637"/>
      <c r="H30" s="477"/>
      <c r="I30" s="477"/>
      <c r="J30" s="477"/>
      <c r="K30" s="477"/>
      <c r="L30" s="477"/>
    </row>
    <row r="31" spans="1:12" ht="15.75">
      <c r="A31" s="499" t="s">
        <v>682</v>
      </c>
      <c r="B31" s="637" t="s">
        <v>683</v>
      </c>
      <c r="C31" s="637"/>
      <c r="D31" s="498" t="s">
        <v>684</v>
      </c>
      <c r="E31" s="498" t="s">
        <v>685</v>
      </c>
      <c r="F31" s="637" t="s">
        <v>686</v>
      </c>
      <c r="G31" s="637"/>
      <c r="H31" s="477"/>
      <c r="I31" s="477"/>
      <c r="J31" s="477"/>
      <c r="K31" s="477"/>
      <c r="L31" s="477"/>
    </row>
    <row r="32" spans="1:12" ht="15.75">
      <c r="A32" s="499" t="s">
        <v>687</v>
      </c>
      <c r="B32" s="637" t="s">
        <v>688</v>
      </c>
      <c r="C32" s="637"/>
      <c r="D32" s="498" t="s">
        <v>689</v>
      </c>
      <c r="E32" s="498" t="s">
        <v>690</v>
      </c>
      <c r="F32" s="637" t="s">
        <v>691</v>
      </c>
      <c r="G32" s="637"/>
      <c r="H32" s="477"/>
      <c r="I32" s="477"/>
      <c r="J32" s="477"/>
      <c r="K32" s="477"/>
      <c r="L32" s="477"/>
    </row>
    <row r="33" spans="1:12" ht="15.75">
      <c r="A33" s="477"/>
      <c r="B33" s="477"/>
      <c r="C33" s="477"/>
      <c r="D33" s="477"/>
      <c r="E33" s="477"/>
      <c r="F33" s="477"/>
      <c r="G33" s="477"/>
      <c r="H33" s="477"/>
      <c r="I33" s="477"/>
      <c r="J33" s="477"/>
      <c r="K33" s="477"/>
      <c r="L33" s="477"/>
    </row>
    <row r="34" spans="1:12" ht="15.75">
      <c r="A34" s="477"/>
      <c r="B34" s="477"/>
      <c r="C34" s="477"/>
      <c r="D34" s="477"/>
      <c r="E34" s="642" t="s">
        <v>692</v>
      </c>
      <c r="F34" s="639"/>
      <c r="G34" s="640"/>
      <c r="H34" s="477"/>
      <c r="I34" s="477"/>
      <c r="J34" s="477"/>
      <c r="K34" s="477"/>
      <c r="L34" s="477"/>
    </row>
    <row r="35" spans="1:12" ht="15.75">
      <c r="A35" s="477"/>
      <c r="B35" s="641" t="s">
        <v>693</v>
      </c>
      <c r="C35" s="641"/>
      <c r="D35" s="500" t="s">
        <v>675</v>
      </c>
      <c r="E35" s="500" t="s">
        <v>694</v>
      </c>
      <c r="F35" s="500" t="s">
        <v>291</v>
      </c>
      <c r="G35" s="500" t="s">
        <v>695</v>
      </c>
      <c r="H35" s="477"/>
      <c r="I35" s="477"/>
      <c r="J35" s="477"/>
      <c r="K35" s="477"/>
      <c r="L35" s="477"/>
    </row>
    <row r="36" spans="1:12" ht="15.75">
      <c r="A36" s="499" t="s">
        <v>677</v>
      </c>
      <c r="B36" s="643" t="s">
        <v>696</v>
      </c>
      <c r="C36" s="644"/>
      <c r="D36" s="501" t="s">
        <v>697</v>
      </c>
      <c r="E36" s="501" t="s">
        <v>41</v>
      </c>
      <c r="F36" s="502" t="s">
        <v>698</v>
      </c>
      <c r="G36" s="498" t="s">
        <v>699</v>
      </c>
      <c r="H36" s="477"/>
      <c r="I36" s="477"/>
      <c r="J36" s="477"/>
      <c r="K36" s="477"/>
      <c r="L36" s="477"/>
    </row>
    <row r="37" spans="1:12" ht="15.75">
      <c r="A37" s="499" t="s">
        <v>682</v>
      </c>
      <c r="B37" s="643" t="s">
        <v>700</v>
      </c>
      <c r="C37" s="644"/>
      <c r="D37" s="501" t="s">
        <v>701</v>
      </c>
      <c r="E37" s="501" t="s">
        <v>41</v>
      </c>
      <c r="F37" s="502" t="s">
        <v>702</v>
      </c>
      <c r="G37" s="503" t="s">
        <v>703</v>
      </c>
      <c r="H37" s="477"/>
      <c r="I37" s="477"/>
      <c r="J37" s="477"/>
      <c r="K37" s="477"/>
      <c r="L37" s="477"/>
    </row>
    <row r="38" spans="1:12" ht="15.75">
      <c r="A38" s="499" t="s">
        <v>687</v>
      </c>
      <c r="B38" s="643" t="s">
        <v>700</v>
      </c>
      <c r="C38" s="644"/>
      <c r="D38" s="501" t="s">
        <v>704</v>
      </c>
      <c r="E38" s="501" t="s">
        <v>41</v>
      </c>
      <c r="F38" s="502" t="s">
        <v>705</v>
      </c>
      <c r="G38" s="498" t="s">
        <v>706</v>
      </c>
      <c r="H38" s="477"/>
      <c r="I38" s="477"/>
      <c r="J38" s="477"/>
      <c r="K38" s="477"/>
      <c r="L38" s="477"/>
    </row>
    <row r="39" spans="1:12" ht="15.75">
      <c r="A39" s="477"/>
      <c r="B39" s="477"/>
      <c r="C39" s="477"/>
      <c r="D39" s="477"/>
      <c r="E39" s="477"/>
      <c r="F39" s="477"/>
      <c r="G39" s="477"/>
      <c r="H39" s="477"/>
      <c r="I39" s="477"/>
      <c r="J39" s="477"/>
      <c r="K39" s="477"/>
      <c r="L39" s="477"/>
    </row>
    <row r="40" spans="1:12" ht="15.75">
      <c r="A40" s="504" t="s">
        <v>707</v>
      </c>
      <c r="B40" s="645" t="s">
        <v>708</v>
      </c>
      <c r="C40" s="645"/>
      <c r="D40" s="646" t="s">
        <v>709</v>
      </c>
      <c r="E40" s="646"/>
      <c r="F40" s="645" t="s">
        <v>710</v>
      </c>
      <c r="G40" s="645"/>
      <c r="H40" s="477"/>
      <c r="I40" s="477"/>
      <c r="J40" s="477"/>
      <c r="K40" s="477"/>
      <c r="L40" s="477"/>
    </row>
    <row r="41" spans="1:12" ht="15.75">
      <c r="A41" s="477"/>
      <c r="B41" s="477"/>
      <c r="C41" s="477"/>
      <c r="D41" s="477"/>
      <c r="E41" s="477"/>
      <c r="F41" s="477"/>
      <c r="G41" s="477"/>
      <c r="H41" s="477"/>
      <c r="I41" s="477"/>
      <c r="J41" s="477"/>
      <c r="K41" s="477"/>
      <c r="L41" s="477"/>
    </row>
    <row r="42" spans="1:12" ht="15.75">
      <c r="A42" s="477"/>
      <c r="B42" s="477"/>
      <c r="C42" s="477"/>
      <c r="D42" s="477"/>
      <c r="E42" s="477"/>
      <c r="F42" s="477"/>
      <c r="G42" s="477"/>
      <c r="H42" s="477"/>
      <c r="I42" s="477"/>
      <c r="J42" s="477"/>
      <c r="K42" s="477"/>
      <c r="L42" s="477"/>
    </row>
    <row r="43" spans="1:12" ht="15.75">
      <c r="A43" s="477"/>
      <c r="B43" s="477"/>
      <c r="C43" s="477"/>
      <c r="D43" s="477"/>
      <c r="E43" s="477"/>
      <c r="F43" s="477"/>
      <c r="G43" s="477"/>
      <c r="H43" s="477"/>
      <c r="I43" s="477"/>
      <c r="J43" s="477"/>
      <c r="K43" s="477"/>
      <c r="L43" s="477"/>
    </row>
    <row r="44" spans="1:12" ht="15.75">
      <c r="A44" s="477"/>
      <c r="B44" s="477"/>
      <c r="C44" s="477"/>
      <c r="D44" s="477"/>
      <c r="E44" s="477"/>
      <c r="F44" s="477"/>
      <c r="G44" s="477"/>
      <c r="H44" s="477"/>
      <c r="I44" s="477"/>
      <c r="J44" s="477"/>
      <c r="K44" s="477"/>
      <c r="L44" s="477"/>
    </row>
    <row r="45" spans="1:12" ht="15.75">
      <c r="A45" s="477"/>
      <c r="B45" s="477"/>
      <c r="C45" s="477"/>
      <c r="D45" s="477"/>
      <c r="E45" s="477"/>
      <c r="F45" s="477"/>
      <c r="G45" s="477"/>
      <c r="H45" s="477"/>
      <c r="I45" s="477"/>
      <c r="J45" s="477"/>
      <c r="K45" s="477"/>
      <c r="L45" s="477"/>
    </row>
    <row r="46" spans="1:12" ht="15.75">
      <c r="A46" s="477"/>
      <c r="B46" s="477"/>
      <c r="C46" s="477"/>
      <c r="D46" s="477"/>
      <c r="E46" s="477"/>
      <c r="F46" s="477"/>
      <c r="G46" s="477"/>
      <c r="H46" s="477"/>
      <c r="I46" s="477"/>
      <c r="J46" s="477"/>
      <c r="K46" s="477"/>
      <c r="L46" s="477"/>
    </row>
    <row r="47" spans="1:12" ht="15.75">
      <c r="A47" s="477"/>
      <c r="B47" s="477"/>
      <c r="C47" s="477"/>
      <c r="D47" s="477"/>
      <c r="E47" s="477"/>
      <c r="F47" s="477"/>
      <c r="G47" s="477"/>
      <c r="H47" s="477"/>
      <c r="I47" s="477"/>
      <c r="J47" s="477"/>
      <c r="K47" s="477"/>
      <c r="L47" s="477"/>
    </row>
    <row r="48" spans="1:12" ht="15.75">
      <c r="A48" s="477"/>
      <c r="B48" s="477"/>
      <c r="C48" s="477"/>
      <c r="D48" s="477"/>
      <c r="E48" s="477"/>
      <c r="F48" s="477"/>
      <c r="G48" s="477"/>
      <c r="H48" s="477"/>
      <c r="I48" s="477"/>
      <c r="J48" s="477"/>
      <c r="K48" s="477"/>
      <c r="L48" s="477"/>
    </row>
    <row r="49" spans="1:12" ht="15.75">
      <c r="A49" s="477"/>
      <c r="B49" s="477"/>
      <c r="C49" s="477"/>
      <c r="D49" s="477"/>
      <c r="E49" s="477"/>
      <c r="F49" s="477"/>
      <c r="G49" s="477"/>
      <c r="H49" s="477"/>
      <c r="I49" s="477"/>
      <c r="J49" s="477"/>
      <c r="K49" s="477"/>
      <c r="L49" s="477"/>
    </row>
    <row r="50" spans="1:12" ht="15.75">
      <c r="A50" s="477"/>
      <c r="B50" s="477"/>
      <c r="C50" s="477"/>
      <c r="D50" s="477"/>
      <c r="E50" s="477"/>
      <c r="F50" s="477"/>
      <c r="G50" s="477"/>
      <c r="H50" s="477"/>
      <c r="I50" s="477"/>
      <c r="J50" s="477"/>
      <c r="K50" s="477"/>
      <c r="L50" s="477"/>
    </row>
    <row r="51" spans="1:12" ht="15.75">
      <c r="A51" s="477"/>
      <c r="B51" s="477"/>
      <c r="C51" s="477"/>
      <c r="D51" s="477"/>
      <c r="E51" s="477"/>
      <c r="F51" s="477"/>
      <c r="G51" s="477"/>
      <c r="H51" s="477"/>
      <c r="I51" s="477"/>
      <c r="J51" s="477"/>
      <c r="K51" s="477"/>
      <c r="L51" s="477"/>
    </row>
    <row r="52" spans="1:12" ht="15.75">
      <c r="A52" s="477"/>
      <c r="B52" s="477"/>
      <c r="C52" s="477"/>
      <c r="D52" s="477"/>
      <c r="E52" s="477"/>
      <c r="F52" s="477"/>
      <c r="G52" s="477"/>
      <c r="H52" s="477"/>
      <c r="I52" s="477"/>
      <c r="J52" s="477"/>
      <c r="K52" s="477"/>
      <c r="L52" s="477"/>
    </row>
    <row r="53" spans="1:12" ht="15.75">
      <c r="A53" s="477"/>
      <c r="B53" s="477"/>
      <c r="C53" s="477"/>
      <c r="D53" s="477"/>
      <c r="E53" s="477"/>
      <c r="F53" s="477"/>
      <c r="G53" s="477"/>
      <c r="H53" s="477"/>
      <c r="I53" s="477"/>
      <c r="J53" s="477"/>
      <c r="K53" s="477"/>
      <c r="L53" s="477"/>
    </row>
    <row r="54" spans="1:12" ht="15.75">
      <c r="A54" s="477"/>
      <c r="B54" s="477"/>
      <c r="C54" s="477"/>
      <c r="D54" s="477"/>
      <c r="E54" s="477"/>
      <c r="F54" s="477"/>
      <c r="G54" s="477"/>
      <c r="H54" s="477"/>
      <c r="I54" s="477"/>
      <c r="J54" s="477"/>
      <c r="K54" s="477"/>
      <c r="L54" s="477"/>
    </row>
    <row r="55" spans="1:12" ht="15.75">
      <c r="A55" s="477"/>
      <c r="B55" s="477"/>
      <c r="C55" s="477"/>
      <c r="D55" s="477"/>
      <c r="E55" s="477"/>
      <c r="F55" s="477"/>
      <c r="G55" s="477"/>
      <c r="H55" s="477"/>
      <c r="I55" s="477"/>
      <c r="J55" s="477"/>
      <c r="K55" s="477"/>
      <c r="L55" s="477"/>
    </row>
    <row r="56" spans="1:12" ht="15.75">
      <c r="A56" s="477"/>
      <c r="B56" s="477"/>
      <c r="C56" s="477"/>
      <c r="D56" s="477"/>
      <c r="E56" s="477"/>
      <c r="F56" s="477"/>
      <c r="G56" s="477"/>
      <c r="H56" s="477"/>
      <c r="I56" s="477"/>
      <c r="J56" s="477"/>
      <c r="K56" s="477"/>
      <c r="L56" s="477"/>
    </row>
    <row r="57" spans="1:12" ht="15.75">
      <c r="A57" s="477"/>
      <c r="B57" s="477"/>
      <c r="C57" s="477"/>
      <c r="D57" s="477"/>
      <c r="E57" s="477"/>
      <c r="F57" s="477"/>
      <c r="G57" s="477"/>
      <c r="H57" s="477"/>
      <c r="I57" s="477"/>
      <c r="J57" s="477"/>
      <c r="K57" s="477"/>
      <c r="L57" s="477"/>
    </row>
    <row r="58" spans="1:12" ht="15.75">
      <c r="A58" s="477"/>
      <c r="B58" s="477"/>
      <c r="C58" s="477"/>
      <c r="D58" s="477"/>
      <c r="E58" s="477"/>
      <c r="F58" s="477"/>
      <c r="G58" s="477"/>
      <c r="H58" s="477"/>
      <c r="I58" s="477"/>
      <c r="J58" s="477"/>
      <c r="K58" s="477"/>
      <c r="L58" s="477"/>
    </row>
    <row r="59" spans="1:12" ht="15.75">
      <c r="A59" s="477"/>
      <c r="B59" s="477"/>
      <c r="C59" s="477"/>
      <c r="D59" s="477"/>
      <c r="E59" s="477"/>
      <c r="F59" s="477"/>
      <c r="G59" s="477"/>
      <c r="H59" s="477"/>
      <c r="I59" s="477"/>
      <c r="J59" s="477"/>
      <c r="K59" s="477"/>
      <c r="L59" s="477"/>
    </row>
    <row r="60" spans="1:12" ht="15.75">
      <c r="A60" s="477"/>
      <c r="B60" s="477"/>
      <c r="C60" s="477"/>
      <c r="D60" s="477"/>
      <c r="E60" s="477"/>
      <c r="F60" s="477"/>
      <c r="G60" s="477"/>
      <c r="H60" s="477"/>
      <c r="I60" s="477"/>
      <c r="J60" s="477"/>
      <c r="K60" s="477"/>
      <c r="L60" s="477"/>
    </row>
    <row r="61" spans="1:12" ht="15.75">
      <c r="A61" s="477"/>
      <c r="B61" s="477"/>
      <c r="C61" s="477"/>
      <c r="D61" s="477"/>
      <c r="E61" s="477"/>
      <c r="F61" s="477"/>
      <c r="G61" s="477"/>
      <c r="H61" s="477"/>
      <c r="I61" s="477"/>
      <c r="J61" s="477"/>
      <c r="K61" s="477"/>
      <c r="L61" s="477"/>
    </row>
  </sheetData>
  <mergeCells count="31">
    <mergeCell ref="B38:C38"/>
    <mergeCell ref="B40:C40"/>
    <mergeCell ref="D40:E40"/>
    <mergeCell ref="F40:G40"/>
    <mergeCell ref="B32:C32"/>
    <mergeCell ref="F32:G32"/>
    <mergeCell ref="E34:G34"/>
    <mergeCell ref="B35:C35"/>
    <mergeCell ref="B36:C36"/>
    <mergeCell ref="B37:C37"/>
    <mergeCell ref="B31:C31"/>
    <mergeCell ref="F31:G31"/>
    <mergeCell ref="B24:C24"/>
    <mergeCell ref="D24:E24"/>
    <mergeCell ref="F24:G24"/>
    <mergeCell ref="B25:C25"/>
    <mergeCell ref="D25:E25"/>
    <mergeCell ref="F25:G25"/>
    <mergeCell ref="E28:G28"/>
    <mergeCell ref="B29:C29"/>
    <mergeCell ref="F29:G29"/>
    <mergeCell ref="B30:C30"/>
    <mergeCell ref="F30:G30"/>
    <mergeCell ref="B23:C23"/>
    <mergeCell ref="D23:E23"/>
    <mergeCell ref="F23:G23"/>
    <mergeCell ref="B1:G1"/>
    <mergeCell ref="D21:G21"/>
    <mergeCell ref="B22:C22"/>
    <mergeCell ref="D22:E22"/>
    <mergeCell ref="F22:G22"/>
  </mergeCells>
  <printOptions horizontalCentered="1"/>
  <pageMargins left="0.75" right="0.75" top="1" bottom="1" header="0.5" footer="0.5"/>
  <pageSetup scale="98" orientation="portrait" horizontalDpi="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syncVertical="1" syncRef="A1" transitionEvaluation="1"/>
  <dimension ref="A1:N120"/>
  <sheetViews>
    <sheetView showGridLines="0" zoomScaleNormal="100" workbookViewId="0">
      <selection activeCell="F14" sqref="F14"/>
    </sheetView>
  </sheetViews>
  <sheetFormatPr defaultColWidth="12.5703125" defaultRowHeight="15.75"/>
  <cols>
    <col min="1" max="13" width="7" style="8" customWidth="1"/>
    <col min="14" max="14" width="7.140625" style="8" customWidth="1"/>
    <col min="15" max="16384" width="12.5703125" style="8"/>
  </cols>
  <sheetData>
    <row r="1" spans="1:14" ht="17.100000000000001" customHeight="1">
      <c r="A1" s="1" t="s">
        <v>0</v>
      </c>
      <c r="B1" s="2"/>
      <c r="C1" s="2"/>
      <c r="D1" s="2"/>
      <c r="E1" s="2"/>
      <c r="F1" s="2"/>
      <c r="G1" s="2"/>
      <c r="H1" s="2"/>
      <c r="I1" s="2"/>
      <c r="J1" s="3" t="s">
        <v>1</v>
      </c>
      <c r="K1" s="4"/>
      <c r="L1" s="5" t="s">
        <v>2</v>
      </c>
      <c r="M1" s="6"/>
      <c r="N1" s="7"/>
    </row>
    <row r="2" spans="1:14" ht="17.100000000000001" customHeight="1">
      <c r="A2" s="9" t="s">
        <v>3</v>
      </c>
      <c r="B2" s="10"/>
      <c r="C2" s="10"/>
      <c r="D2" s="10"/>
      <c r="E2" s="10"/>
      <c r="F2" s="10"/>
      <c r="G2" s="10"/>
      <c r="H2" s="10"/>
      <c r="I2" s="10"/>
      <c r="J2" s="11" t="s">
        <v>4</v>
      </c>
      <c r="K2" s="12"/>
      <c r="L2" s="13" t="s">
        <v>5</v>
      </c>
      <c r="M2" s="14"/>
      <c r="N2" s="7"/>
    </row>
    <row r="3" spans="1:14" ht="15.95" customHeight="1">
      <c r="A3" s="15"/>
      <c r="B3" s="16"/>
      <c r="C3" s="16"/>
      <c r="D3" s="16"/>
      <c r="E3" s="16"/>
      <c r="F3" s="16"/>
      <c r="G3" s="16"/>
      <c r="H3" s="16"/>
      <c r="I3" s="16"/>
      <c r="J3" s="11" t="s">
        <v>6</v>
      </c>
      <c r="K3" s="12"/>
      <c r="L3" s="17" t="s">
        <v>7</v>
      </c>
      <c r="M3" s="14"/>
      <c r="N3" s="7"/>
    </row>
    <row r="4" spans="1:14" ht="15.95" customHeight="1">
      <c r="A4" s="18"/>
      <c r="B4" s="16"/>
      <c r="C4" s="16"/>
      <c r="D4" s="16"/>
      <c r="E4" s="16"/>
      <c r="F4" s="16"/>
      <c r="G4" s="16"/>
      <c r="H4" s="16"/>
      <c r="I4" s="16"/>
      <c r="J4" s="11" t="s">
        <v>8</v>
      </c>
      <c r="K4" s="12"/>
      <c r="L4" s="17" t="s">
        <v>9</v>
      </c>
      <c r="M4" s="14"/>
      <c r="N4" s="7"/>
    </row>
    <row r="5" spans="1:14" ht="15.95" customHeight="1">
      <c r="A5" s="15"/>
      <c r="B5" s="16"/>
      <c r="C5" s="16"/>
      <c r="D5" s="16"/>
      <c r="E5" s="16"/>
      <c r="F5" s="16"/>
      <c r="G5" s="16"/>
      <c r="H5" s="16"/>
      <c r="I5" s="16"/>
      <c r="J5" s="11" t="s">
        <v>10</v>
      </c>
      <c r="K5" s="12"/>
      <c r="L5" s="13">
        <v>2</v>
      </c>
      <c r="M5" s="14"/>
      <c r="N5" s="7"/>
    </row>
    <row r="6" spans="1:14" ht="15.95" customHeight="1">
      <c r="A6" s="19" t="s">
        <v>11</v>
      </c>
      <c r="B6" s="16"/>
      <c r="C6" s="16"/>
      <c r="D6" s="16"/>
      <c r="E6" s="16"/>
      <c r="F6" s="16"/>
      <c r="G6" s="16"/>
      <c r="H6" s="16"/>
      <c r="I6" s="16"/>
      <c r="J6" s="11" t="s">
        <v>12</v>
      </c>
      <c r="K6" s="12"/>
      <c r="L6" s="13" t="s">
        <v>13</v>
      </c>
      <c r="M6" s="14"/>
      <c r="N6" s="7"/>
    </row>
    <row r="7" spans="1:14" ht="15.95" customHeight="1" thickBot="1">
      <c r="A7" s="20" t="s">
        <v>14</v>
      </c>
      <c r="B7" s="21"/>
      <c r="C7" s="21"/>
      <c r="D7" s="21"/>
      <c r="E7" s="21"/>
      <c r="F7" s="21"/>
      <c r="G7" s="21"/>
      <c r="H7" s="21"/>
      <c r="I7" s="21"/>
      <c r="J7" s="22" t="s">
        <v>15</v>
      </c>
      <c r="K7" s="23"/>
      <c r="L7" s="24" t="s">
        <v>16</v>
      </c>
      <c r="M7" s="25"/>
      <c r="N7" s="7"/>
    </row>
    <row r="8" spans="1:14" ht="15.95" customHeight="1">
      <c r="A8" s="26"/>
      <c r="B8" s="16"/>
      <c r="C8" s="16"/>
      <c r="D8" s="16"/>
      <c r="E8" s="16"/>
      <c r="F8" s="16"/>
      <c r="G8" s="16"/>
      <c r="H8" s="16"/>
      <c r="I8" s="16"/>
      <c r="J8" s="16"/>
      <c r="K8" s="27"/>
      <c r="L8" s="28"/>
      <c r="M8" s="29"/>
      <c r="N8" s="16"/>
    </row>
    <row r="9" spans="1:14" ht="12" customHeight="1">
      <c r="A9" s="30"/>
      <c r="B9" s="31" t="s">
        <v>17</v>
      </c>
      <c r="C9" s="32" t="s">
        <v>18</v>
      </c>
      <c r="D9" s="33"/>
      <c r="E9" s="33"/>
      <c r="F9" s="33"/>
      <c r="G9" s="33"/>
      <c r="H9" s="33"/>
      <c r="I9" s="33"/>
      <c r="J9" s="33"/>
      <c r="K9" s="34"/>
      <c r="L9" s="30"/>
      <c r="M9" s="33"/>
      <c r="N9" s="16"/>
    </row>
    <row r="10" spans="1:14" ht="12" customHeight="1">
      <c r="A10" s="30"/>
      <c r="B10" s="31" t="s">
        <v>19</v>
      </c>
      <c r="C10" s="35" t="s">
        <v>18</v>
      </c>
      <c r="D10" s="30"/>
      <c r="E10" s="30"/>
      <c r="F10" s="30"/>
      <c r="G10" s="30"/>
      <c r="H10" s="30"/>
      <c r="I10" s="30"/>
      <c r="J10" s="30"/>
      <c r="K10" s="30"/>
      <c r="L10" s="30"/>
      <c r="M10" s="30"/>
      <c r="N10" s="28"/>
    </row>
    <row r="11" spans="1:14" ht="16.5" thickBot="1">
      <c r="A11" s="28"/>
      <c r="B11" s="28"/>
      <c r="C11" s="28"/>
      <c r="D11" s="28"/>
      <c r="E11" s="28"/>
      <c r="F11" s="28"/>
      <c r="G11" s="28"/>
      <c r="H11" s="28"/>
      <c r="I11" s="28"/>
      <c r="J11" s="28"/>
      <c r="K11" s="28"/>
      <c r="L11" s="28"/>
      <c r="M11" s="28"/>
      <c r="N11" s="28"/>
    </row>
    <row r="12" spans="1:14" ht="20.100000000000001" customHeight="1" thickBot="1">
      <c r="A12" s="36" t="s">
        <v>20</v>
      </c>
      <c r="B12" s="37"/>
      <c r="C12" s="37"/>
      <c r="D12" s="37"/>
      <c r="E12" s="37"/>
      <c r="F12" s="37"/>
      <c r="G12" s="37"/>
      <c r="H12" s="37"/>
      <c r="I12" s="37"/>
      <c r="J12" s="37"/>
      <c r="K12" s="37"/>
      <c r="L12" s="37"/>
      <c r="M12" s="38"/>
      <c r="N12" s="7"/>
    </row>
    <row r="13" spans="1:14" ht="12.95" customHeight="1" thickTop="1">
      <c r="A13" s="39"/>
      <c r="B13" s="31" t="s">
        <v>21</v>
      </c>
      <c r="C13" s="40">
        <v>450</v>
      </c>
      <c r="D13" s="30"/>
      <c r="E13" s="31" t="s">
        <v>22</v>
      </c>
      <c r="F13" s="40">
        <v>2300</v>
      </c>
      <c r="G13" s="30"/>
      <c r="H13" s="31" t="s">
        <v>23</v>
      </c>
      <c r="I13" s="40" t="s">
        <v>24</v>
      </c>
      <c r="J13" s="30"/>
      <c r="K13" s="30"/>
      <c r="L13" s="31" t="s">
        <v>25</v>
      </c>
      <c r="M13" s="41">
        <v>3600</v>
      </c>
      <c r="N13" s="7"/>
    </row>
    <row r="14" spans="1:14" ht="12.95" customHeight="1">
      <c r="A14" s="39"/>
      <c r="B14" s="31" t="s">
        <v>26</v>
      </c>
      <c r="C14" s="32" t="s">
        <v>27</v>
      </c>
      <c r="D14" s="30"/>
      <c r="E14" s="31" t="s">
        <v>28</v>
      </c>
      <c r="F14" s="42" t="s">
        <v>29</v>
      </c>
      <c r="G14" s="30"/>
      <c r="H14" s="31" t="s">
        <v>30</v>
      </c>
      <c r="I14" s="40">
        <v>103</v>
      </c>
      <c r="J14" s="30"/>
      <c r="K14" s="30"/>
      <c r="L14" s="31" t="s">
        <v>31</v>
      </c>
      <c r="M14" s="41">
        <v>3575</v>
      </c>
      <c r="N14" s="7"/>
    </row>
    <row r="15" spans="1:14" ht="12.95" customHeight="1">
      <c r="A15" s="39"/>
      <c r="B15" s="31" t="s">
        <v>32</v>
      </c>
      <c r="C15" s="40" t="s">
        <v>33</v>
      </c>
      <c r="D15" s="30"/>
      <c r="E15" s="31" t="s">
        <v>34</v>
      </c>
      <c r="F15" s="42">
        <v>1.1499999999999999</v>
      </c>
      <c r="G15" s="30"/>
      <c r="H15" s="31" t="s">
        <v>35</v>
      </c>
      <c r="I15" s="42" t="s">
        <v>18</v>
      </c>
      <c r="J15" s="30"/>
      <c r="K15" s="30"/>
      <c r="L15" s="31" t="s">
        <v>36</v>
      </c>
      <c r="M15" s="41" t="s">
        <v>37</v>
      </c>
      <c r="N15" s="7"/>
    </row>
    <row r="16" spans="1:14" ht="12.95" customHeight="1">
      <c r="A16" s="39"/>
      <c r="B16" s="31" t="s">
        <v>38</v>
      </c>
      <c r="C16" s="40" t="s">
        <v>39</v>
      </c>
      <c r="D16" s="30"/>
      <c r="E16" s="31" t="s">
        <v>40</v>
      </c>
      <c r="F16" s="40" t="s">
        <v>41</v>
      </c>
      <c r="G16" s="30"/>
      <c r="H16" s="43" t="s">
        <v>42</v>
      </c>
      <c r="I16" s="44" t="s">
        <v>43</v>
      </c>
      <c r="J16" s="30"/>
      <c r="K16" s="30"/>
      <c r="L16" s="31" t="s">
        <v>44</v>
      </c>
      <c r="M16" s="41" t="s">
        <v>45</v>
      </c>
      <c r="N16" s="7"/>
    </row>
    <row r="17" spans="1:14" ht="12.95" customHeight="1">
      <c r="A17" s="39"/>
      <c r="B17" s="31" t="s">
        <v>46</v>
      </c>
      <c r="C17" s="32" t="s">
        <v>409</v>
      </c>
      <c r="D17" s="30"/>
      <c r="E17" s="31"/>
      <c r="F17" s="42"/>
      <c r="G17" s="30"/>
      <c r="H17" s="31" t="s">
        <v>47</v>
      </c>
      <c r="I17" s="44" t="s">
        <v>18</v>
      </c>
      <c r="J17" s="30"/>
      <c r="K17" s="30"/>
      <c r="L17" s="31"/>
      <c r="M17" s="45"/>
      <c r="N17" s="7"/>
    </row>
    <row r="18" spans="1:14" ht="12.95" customHeight="1" thickBot="1">
      <c r="A18" s="46"/>
      <c r="B18" s="47" t="s">
        <v>48</v>
      </c>
      <c r="C18" s="48" t="s">
        <v>18</v>
      </c>
      <c r="D18" s="49"/>
      <c r="E18" s="47" t="s">
        <v>49</v>
      </c>
      <c r="F18" s="48" t="s">
        <v>18</v>
      </c>
      <c r="G18" s="50"/>
      <c r="H18" s="47" t="s">
        <v>50</v>
      </c>
      <c r="I18" s="48" t="s">
        <v>18</v>
      </c>
      <c r="J18" s="49"/>
      <c r="K18" s="49"/>
      <c r="L18" s="49"/>
      <c r="M18" s="51"/>
      <c r="N18" s="7"/>
    </row>
    <row r="19" spans="1:14" ht="16.5" thickBot="1">
      <c r="A19" s="7"/>
      <c r="B19" s="7"/>
      <c r="C19" s="7"/>
      <c r="D19" s="7"/>
      <c r="E19" s="7"/>
      <c r="F19" s="7"/>
      <c r="G19" s="7"/>
      <c r="H19" s="7"/>
      <c r="I19" s="7"/>
      <c r="J19" s="7"/>
      <c r="K19" s="7"/>
      <c r="L19" s="7"/>
      <c r="M19" s="7"/>
      <c r="N19" s="7"/>
    </row>
    <row r="20" spans="1:14" ht="20.100000000000001" customHeight="1" thickBot="1">
      <c r="A20" s="36"/>
      <c r="B20" s="37"/>
      <c r="C20" s="37"/>
      <c r="D20" s="37"/>
      <c r="E20" s="37"/>
      <c r="F20" s="37"/>
      <c r="G20" s="37"/>
      <c r="H20" s="37"/>
      <c r="I20" s="37"/>
      <c r="J20" s="37"/>
      <c r="K20" s="37"/>
      <c r="L20" s="37"/>
      <c r="M20" s="38"/>
    </row>
    <row r="21" spans="1:14" ht="15.95" customHeight="1" thickTop="1">
      <c r="A21" s="52" t="s">
        <v>51</v>
      </c>
      <c r="B21" s="53"/>
      <c r="C21" s="28"/>
      <c r="D21" s="54"/>
      <c r="E21" s="55" t="s">
        <v>52</v>
      </c>
      <c r="F21" s="56"/>
      <c r="G21" s="56"/>
      <c r="H21" s="57"/>
      <c r="I21" s="58" t="s">
        <v>53</v>
      </c>
      <c r="J21" s="56"/>
      <c r="K21" s="56"/>
      <c r="L21" s="28"/>
      <c r="M21" s="59"/>
    </row>
    <row r="22" spans="1:14" ht="15.95" customHeight="1">
      <c r="A22" s="60"/>
      <c r="B22" s="30"/>
      <c r="C22" s="31" t="s">
        <v>54</v>
      </c>
      <c r="D22" s="61">
        <v>714</v>
      </c>
      <c r="E22" s="31"/>
      <c r="G22" s="43" t="s">
        <v>55</v>
      </c>
      <c r="H22" s="62">
        <v>661</v>
      </c>
      <c r="I22" s="31"/>
      <c r="J22" s="30"/>
      <c r="K22" s="31" t="s">
        <v>56</v>
      </c>
      <c r="L22" s="30" t="s">
        <v>711</v>
      </c>
      <c r="M22" s="45"/>
    </row>
    <row r="23" spans="1:14" ht="15.95" customHeight="1">
      <c r="A23" s="60"/>
      <c r="B23" s="31"/>
      <c r="C23" s="34"/>
      <c r="D23" s="63"/>
      <c r="E23" s="31"/>
      <c r="G23" s="31" t="s">
        <v>57</v>
      </c>
      <c r="H23" s="61">
        <v>200</v>
      </c>
      <c r="I23" s="30"/>
      <c r="J23" s="30"/>
      <c r="K23" s="31" t="s">
        <v>58</v>
      </c>
      <c r="L23" s="30" t="s">
        <v>711</v>
      </c>
      <c r="M23" s="45"/>
    </row>
    <row r="24" spans="1:14" ht="15.95" customHeight="1">
      <c r="A24" s="39"/>
      <c r="B24" s="31"/>
      <c r="C24" s="30"/>
      <c r="D24" s="63"/>
      <c r="E24" s="31"/>
      <c r="G24" s="43" t="s">
        <v>59</v>
      </c>
      <c r="H24" s="61">
        <v>250</v>
      </c>
      <c r="I24" s="30"/>
      <c r="J24" s="31"/>
      <c r="K24" s="30"/>
      <c r="L24" s="30"/>
      <c r="M24" s="45"/>
    </row>
    <row r="25" spans="1:14" ht="15.95" customHeight="1" thickBot="1">
      <c r="A25" s="46"/>
      <c r="B25" s="47"/>
      <c r="C25" s="49"/>
      <c r="D25" s="64"/>
      <c r="E25" s="47"/>
      <c r="F25" s="47"/>
      <c r="G25" s="47"/>
      <c r="H25" s="65"/>
      <c r="I25" s="49"/>
      <c r="J25" s="47"/>
      <c r="K25" s="49"/>
      <c r="L25" s="49"/>
      <c r="M25" s="51"/>
    </row>
    <row r="26" spans="1:14" ht="18.95" customHeight="1" thickBot="1">
      <c r="A26" s="26"/>
      <c r="B26" s="26"/>
      <c r="C26" s="26"/>
      <c r="D26" s="7"/>
      <c r="E26" s="7"/>
      <c r="F26" s="7"/>
      <c r="G26" s="7"/>
      <c r="H26" s="7"/>
      <c r="I26" s="7"/>
      <c r="J26" s="7"/>
      <c r="K26" s="7"/>
      <c r="L26" s="7"/>
      <c r="M26" s="7"/>
      <c r="N26" s="7"/>
    </row>
    <row r="27" spans="1:14" ht="20.100000000000001" customHeight="1" thickBot="1">
      <c r="A27" s="66"/>
      <c r="B27" s="67"/>
      <c r="C27" s="67"/>
      <c r="D27" s="67"/>
      <c r="E27" s="67"/>
      <c r="F27" s="67"/>
      <c r="G27" s="68"/>
      <c r="H27" s="67"/>
      <c r="I27" s="67"/>
      <c r="J27" s="67"/>
      <c r="K27" s="67"/>
      <c r="L27" s="67"/>
      <c r="M27" s="69"/>
    </row>
    <row r="28" spans="1:14" ht="15.95" customHeight="1" thickTop="1">
      <c r="A28" s="70" t="s">
        <v>60</v>
      </c>
      <c r="B28" s="53"/>
      <c r="C28" s="28"/>
      <c r="D28" s="28"/>
      <c r="E28" s="56"/>
      <c r="F28" s="56"/>
      <c r="G28" s="71"/>
      <c r="H28" s="55" t="s">
        <v>61</v>
      </c>
      <c r="I28" s="56"/>
      <c r="J28" s="56"/>
      <c r="K28" s="55"/>
      <c r="L28" s="56"/>
      <c r="M28" s="59"/>
    </row>
    <row r="29" spans="1:14" ht="15.95" customHeight="1">
      <c r="A29" s="39"/>
      <c r="B29" s="31"/>
      <c r="C29" s="31" t="s">
        <v>62</v>
      </c>
      <c r="D29" s="72">
        <v>94.7</v>
      </c>
      <c r="E29" s="31"/>
      <c r="F29" s="31"/>
      <c r="G29" s="71"/>
      <c r="H29" s="43"/>
      <c r="I29" s="31"/>
      <c r="J29" s="31" t="s">
        <v>62</v>
      </c>
      <c r="K29" s="72">
        <v>86.4</v>
      </c>
      <c r="L29" s="30"/>
      <c r="M29" s="45"/>
    </row>
    <row r="30" spans="1:14" ht="15.95" customHeight="1">
      <c r="A30" s="73"/>
      <c r="B30" s="30"/>
      <c r="C30" s="31" t="s">
        <v>63</v>
      </c>
      <c r="D30" s="72">
        <v>93.8</v>
      </c>
      <c r="E30" s="31"/>
      <c r="F30" s="31"/>
      <c r="G30" s="71"/>
      <c r="H30" s="31"/>
      <c r="I30" s="30"/>
      <c r="J30" s="31" t="s">
        <v>63</v>
      </c>
      <c r="K30" s="72">
        <v>83.5</v>
      </c>
      <c r="L30" s="30"/>
      <c r="M30" s="45"/>
    </row>
    <row r="31" spans="1:14" ht="15.95" customHeight="1">
      <c r="A31" s="39"/>
      <c r="B31" s="31"/>
      <c r="C31" s="31" t="s">
        <v>64</v>
      </c>
      <c r="D31" s="72">
        <v>91.6</v>
      </c>
      <c r="E31" s="31"/>
      <c r="F31" s="31"/>
      <c r="G31" s="71"/>
      <c r="H31" s="31"/>
      <c r="I31" s="30"/>
      <c r="J31" s="31" t="s">
        <v>64</v>
      </c>
      <c r="K31" s="72">
        <v>76.3</v>
      </c>
      <c r="L31" s="31"/>
      <c r="M31" s="45"/>
    </row>
    <row r="32" spans="1:14" ht="15.95" customHeight="1" thickBot="1">
      <c r="A32" s="46"/>
      <c r="B32" s="47"/>
      <c r="C32" s="49"/>
      <c r="D32" s="49"/>
      <c r="E32" s="47"/>
      <c r="F32" s="47"/>
      <c r="G32" s="74"/>
      <c r="H32" s="47"/>
      <c r="I32" s="49"/>
      <c r="J32" s="47"/>
      <c r="K32" s="49"/>
      <c r="L32" s="47"/>
      <c r="M32" s="51"/>
    </row>
    <row r="33" spans="1:14" ht="20.100000000000001" customHeight="1" thickBot="1">
      <c r="A33" s="75"/>
      <c r="B33" s="75"/>
      <c r="C33" s="75"/>
      <c r="D33" s="75"/>
      <c r="E33" s="75"/>
      <c r="F33" s="75"/>
      <c r="G33" s="75"/>
      <c r="H33" s="75"/>
      <c r="I33" s="75"/>
      <c r="J33" s="75"/>
      <c r="K33" s="75"/>
      <c r="L33" s="75"/>
      <c r="M33" s="75"/>
      <c r="N33" s="75"/>
    </row>
    <row r="34" spans="1:14" ht="20.100000000000001" customHeight="1" thickBot="1">
      <c r="A34" s="76"/>
      <c r="B34" s="77"/>
      <c r="C34" s="77"/>
      <c r="D34" s="77"/>
      <c r="E34" s="77"/>
      <c r="F34" s="77"/>
      <c r="G34" s="77"/>
      <c r="H34" s="77"/>
      <c r="I34" s="77"/>
      <c r="J34" s="77"/>
      <c r="K34" s="77"/>
      <c r="L34" s="77"/>
      <c r="M34" s="78"/>
    </row>
    <row r="35" spans="1:14" ht="15.95" customHeight="1" thickTop="1">
      <c r="A35" s="79" t="s">
        <v>65</v>
      </c>
      <c r="B35" s="34"/>
      <c r="C35" s="34"/>
      <c r="D35" s="34"/>
      <c r="E35" s="34"/>
      <c r="F35" s="34"/>
      <c r="G35" s="34"/>
      <c r="H35" s="34"/>
      <c r="I35" s="34"/>
      <c r="J35" s="34"/>
      <c r="K35" s="34"/>
      <c r="L35" s="34"/>
      <c r="M35" s="80"/>
    </row>
    <row r="36" spans="1:14" ht="15.95" customHeight="1">
      <c r="A36" s="81" t="s">
        <v>66</v>
      </c>
      <c r="B36" s="34"/>
      <c r="C36" s="34"/>
      <c r="D36" s="34"/>
      <c r="E36" s="34"/>
      <c r="F36" s="34"/>
      <c r="G36" s="34"/>
      <c r="H36" s="34"/>
      <c r="I36" s="34"/>
      <c r="J36" s="34"/>
      <c r="K36" s="34"/>
      <c r="L36" s="34"/>
      <c r="M36" s="80"/>
    </row>
    <row r="37" spans="1:14" ht="15.95" customHeight="1">
      <c r="A37" s="82" t="s">
        <v>67</v>
      </c>
      <c r="B37" s="34"/>
      <c r="C37" s="34"/>
      <c r="D37" s="34"/>
      <c r="E37" s="83"/>
      <c r="F37" s="34"/>
      <c r="G37" s="34"/>
      <c r="H37" s="34"/>
      <c r="I37" s="34"/>
      <c r="J37" s="34"/>
      <c r="K37" s="34"/>
      <c r="L37" s="34"/>
      <c r="M37" s="80"/>
    </row>
    <row r="38" spans="1:14" ht="15.95" customHeight="1">
      <c r="A38" s="84" t="s">
        <v>68</v>
      </c>
      <c r="B38" s="34"/>
      <c r="C38" s="34"/>
      <c r="D38" s="34"/>
      <c r="E38" s="34"/>
      <c r="F38" s="34"/>
      <c r="G38" s="34"/>
      <c r="H38" s="34"/>
      <c r="I38" s="34"/>
      <c r="J38" s="34"/>
      <c r="K38" s="34"/>
      <c r="L38" s="34"/>
      <c r="M38" s="80"/>
    </row>
    <row r="39" spans="1:14" ht="15.95" customHeight="1">
      <c r="A39" s="85" t="s">
        <v>69</v>
      </c>
      <c r="B39" s="34"/>
      <c r="C39" s="34"/>
      <c r="D39" s="34"/>
      <c r="E39" s="34"/>
      <c r="F39" s="34"/>
      <c r="G39" s="34"/>
      <c r="H39" s="34"/>
      <c r="I39" s="34"/>
      <c r="J39" s="34"/>
      <c r="K39" s="34"/>
      <c r="L39" s="34"/>
      <c r="M39" s="80"/>
    </row>
    <row r="40" spans="1:14" ht="15.95" customHeight="1" thickBot="1">
      <c r="A40" s="86" t="s">
        <v>70</v>
      </c>
      <c r="B40" s="87"/>
      <c r="C40" s="87"/>
      <c r="D40" s="87"/>
      <c r="E40" s="87"/>
      <c r="F40" s="87"/>
      <c r="G40" s="87"/>
      <c r="H40" s="87"/>
      <c r="I40" s="87"/>
      <c r="J40" s="87"/>
      <c r="K40" s="87"/>
      <c r="L40" s="87"/>
      <c r="M40" s="88"/>
    </row>
    <row r="41" spans="1:14" ht="15.95" customHeight="1"/>
    <row r="42" spans="1:14" ht="18">
      <c r="A42" s="89"/>
      <c r="B42" s="89"/>
      <c r="C42" s="89"/>
      <c r="D42" s="89"/>
      <c r="E42" s="89"/>
      <c r="F42" s="89"/>
      <c r="G42" s="89"/>
      <c r="H42" s="7"/>
      <c r="I42" s="7"/>
      <c r="J42" s="90" t="s">
        <v>71</v>
      </c>
      <c r="K42" s="647" t="s">
        <v>72</v>
      </c>
      <c r="L42" s="647"/>
      <c r="M42" s="647"/>
      <c r="N42" s="89"/>
    </row>
    <row r="43" spans="1:14" ht="7.5" customHeight="1">
      <c r="H43" s="7"/>
      <c r="I43" s="7"/>
      <c r="J43" s="7"/>
      <c r="K43" s="7"/>
      <c r="L43" s="7"/>
      <c r="M43" s="7"/>
    </row>
    <row r="44" spans="1:14" ht="16.5">
      <c r="H44" s="7"/>
      <c r="I44" s="7"/>
      <c r="J44" s="90" t="s">
        <v>73</v>
      </c>
      <c r="K44" s="648">
        <v>42747</v>
      </c>
      <c r="L44" s="648"/>
      <c r="M44" s="648"/>
    </row>
    <row r="59" spans="1:5">
      <c r="A59" s="8" t="s">
        <v>18</v>
      </c>
      <c r="B59" s="8" t="s">
        <v>74</v>
      </c>
      <c r="D59" s="8">
        <v>1</v>
      </c>
      <c r="E59" s="91" t="s">
        <v>18</v>
      </c>
    </row>
    <row r="60" spans="1:5">
      <c r="A60" s="8" t="s">
        <v>29</v>
      </c>
      <c r="B60" s="8" t="s">
        <v>75</v>
      </c>
      <c r="D60" s="8">
        <v>1.1499999999999999</v>
      </c>
      <c r="E60" s="91" t="s">
        <v>76</v>
      </c>
    </row>
    <row r="61" spans="1:5">
      <c r="A61" s="8" t="s">
        <v>77</v>
      </c>
      <c r="B61" s="8" t="s">
        <v>78</v>
      </c>
      <c r="E61" s="91" t="s">
        <v>79</v>
      </c>
    </row>
    <row r="62" spans="1:5">
      <c r="B62" s="8" t="s">
        <v>80</v>
      </c>
    </row>
    <row r="63" spans="1:5">
      <c r="B63" s="8" t="s">
        <v>81</v>
      </c>
    </row>
    <row r="64" spans="1:5">
      <c r="B64" s="8" t="s">
        <v>82</v>
      </c>
    </row>
    <row r="65" spans="2:2">
      <c r="B65" s="8" t="s">
        <v>83</v>
      </c>
    </row>
    <row r="66" spans="2:2">
      <c r="B66" s="8" t="s">
        <v>84</v>
      </c>
    </row>
    <row r="67" spans="2:2">
      <c r="B67" s="8" t="s">
        <v>85</v>
      </c>
    </row>
    <row r="68" spans="2:2">
      <c r="B68" s="8" t="s">
        <v>86</v>
      </c>
    </row>
    <row r="69" spans="2:2">
      <c r="B69" s="8" t="s">
        <v>87</v>
      </c>
    </row>
    <row r="70" spans="2:2">
      <c r="B70" s="8" t="s">
        <v>88</v>
      </c>
    </row>
    <row r="71" spans="2:2">
      <c r="B71" s="8" t="s">
        <v>89</v>
      </c>
    </row>
    <row r="72" spans="2:2">
      <c r="B72" s="8" t="s">
        <v>90</v>
      </c>
    </row>
    <row r="73" spans="2:2">
      <c r="B73" s="8" t="s">
        <v>91</v>
      </c>
    </row>
    <row r="74" spans="2:2">
      <c r="B74" s="8" t="s">
        <v>92</v>
      </c>
    </row>
    <row r="75" spans="2:2">
      <c r="B75" s="8" t="s">
        <v>93</v>
      </c>
    </row>
    <row r="76" spans="2:2">
      <c r="B76" s="8" t="s">
        <v>94</v>
      </c>
    </row>
    <row r="77" spans="2:2">
      <c r="B77" s="8" t="s">
        <v>95</v>
      </c>
    </row>
    <row r="78" spans="2:2">
      <c r="B78" s="8" t="s">
        <v>96</v>
      </c>
    </row>
    <row r="79" spans="2:2">
      <c r="B79" s="8" t="s">
        <v>97</v>
      </c>
    </row>
    <row r="80" spans="2:2">
      <c r="B80" s="8">
        <v>6312</v>
      </c>
    </row>
    <row r="81" spans="2:2">
      <c r="B81" s="8" t="s">
        <v>98</v>
      </c>
    </row>
    <row r="82" spans="2:2">
      <c r="B82" s="8" t="s">
        <v>99</v>
      </c>
    </row>
    <row r="83" spans="2:2">
      <c r="B83" s="8" t="s">
        <v>100</v>
      </c>
    </row>
    <row r="84" spans="2:2">
      <c r="B84" s="8" t="s">
        <v>101</v>
      </c>
    </row>
    <row r="85" spans="2:2">
      <c r="B85" s="8">
        <v>6313</v>
      </c>
    </row>
    <row r="86" spans="2:2">
      <c r="B86" s="8" t="s">
        <v>102</v>
      </c>
    </row>
    <row r="87" spans="2:2">
      <c r="B87" s="8" t="s">
        <v>103</v>
      </c>
    </row>
    <row r="88" spans="2:2">
      <c r="B88" s="8" t="s">
        <v>104</v>
      </c>
    </row>
    <row r="89" spans="2:2">
      <c r="B89" s="8">
        <v>6314</v>
      </c>
    </row>
    <row r="90" spans="2:2">
      <c r="B90" s="8" t="s">
        <v>105</v>
      </c>
    </row>
    <row r="91" spans="2:2">
      <c r="B91" s="8">
        <v>6317</v>
      </c>
    </row>
    <row r="92" spans="2:2">
      <c r="B92" s="8" t="s">
        <v>106</v>
      </c>
    </row>
    <row r="93" spans="2:2">
      <c r="B93" s="8">
        <v>6318</v>
      </c>
    </row>
    <row r="94" spans="2:2">
      <c r="B94" s="8" t="s">
        <v>107</v>
      </c>
    </row>
    <row r="95" spans="2:2">
      <c r="B95" s="8" t="s">
        <v>108</v>
      </c>
    </row>
    <row r="96" spans="2:2">
      <c r="B96" s="8" t="s">
        <v>109</v>
      </c>
    </row>
    <row r="97" spans="2:2">
      <c r="B97" s="8">
        <v>6320</v>
      </c>
    </row>
    <row r="98" spans="2:2">
      <c r="B98" s="8" t="s">
        <v>110</v>
      </c>
    </row>
    <row r="99" spans="2:2">
      <c r="B99" s="8" t="s">
        <v>111</v>
      </c>
    </row>
    <row r="100" spans="2:2">
      <c r="B100" s="8" t="s">
        <v>112</v>
      </c>
    </row>
    <row r="101" spans="2:2">
      <c r="B101" s="8" t="s">
        <v>113</v>
      </c>
    </row>
    <row r="102" spans="2:2">
      <c r="B102" s="8" t="s">
        <v>113</v>
      </c>
    </row>
    <row r="118" spans="2:2">
      <c r="B118" s="8" t="s">
        <v>114</v>
      </c>
    </row>
    <row r="120" spans="2:2">
      <c r="B120" s="8" t="s">
        <v>115</v>
      </c>
    </row>
  </sheetData>
  <mergeCells count="2">
    <mergeCell ref="K42:M42"/>
    <mergeCell ref="K44:M44"/>
  </mergeCells>
  <printOptions horizontalCentered="1" gridLinesSet="0"/>
  <pageMargins left="0.5" right="0.5" top="0.5" bottom="0.5" header="0.5" footer="0.5"/>
  <pageSetup orientation="portrait" horizontalDpi="4294967292" r:id="rId1"/>
  <headerFooter alignWithMargins="0">
    <oddFooter>&amp;L&amp;"Univers (WN),Regular"&amp;7N:\ELECTRIC\PERFORMA&amp;C&amp;"Univers (WN),Regular"&amp;7&amp;F</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67"/>
  <sheetViews>
    <sheetView workbookViewId="0">
      <selection activeCell="K18" sqref="K18"/>
    </sheetView>
  </sheetViews>
  <sheetFormatPr defaultRowHeight="12.75"/>
  <cols>
    <col min="1" max="6" width="16.7109375" style="95" customWidth="1"/>
    <col min="7" max="16384" width="9.140625" style="95"/>
  </cols>
  <sheetData>
    <row r="1" spans="1:6" ht="18.95" customHeight="1">
      <c r="A1" s="92"/>
      <c r="B1" s="93"/>
      <c r="C1" s="93"/>
      <c r="D1" s="93"/>
      <c r="E1" s="93"/>
      <c r="F1" s="94"/>
    </row>
    <row r="2" spans="1:6" ht="26.1" customHeight="1">
      <c r="A2" s="96" t="s">
        <v>0</v>
      </c>
      <c r="B2" s="97"/>
      <c r="C2" s="97"/>
      <c r="D2" s="97"/>
      <c r="E2" s="97"/>
      <c r="F2" s="98"/>
    </row>
    <row r="3" spans="1:6" ht="18.95" customHeight="1">
      <c r="A3" s="99" t="s">
        <v>116</v>
      </c>
      <c r="B3" s="97"/>
      <c r="C3" s="97"/>
      <c r="D3" s="97"/>
      <c r="E3" s="97"/>
      <c r="F3" s="98"/>
    </row>
    <row r="4" spans="1:6" ht="18.95" customHeight="1">
      <c r="A4" s="100"/>
      <c r="B4" s="101"/>
      <c r="C4" s="101"/>
      <c r="D4" s="101"/>
      <c r="E4" s="101"/>
      <c r="F4" s="102"/>
    </row>
    <row r="5" spans="1:6" ht="18.95" customHeight="1">
      <c r="A5" s="100"/>
      <c r="B5" s="101"/>
      <c r="C5" s="101"/>
      <c r="D5" s="101"/>
      <c r="E5" s="101"/>
      <c r="F5" s="102"/>
    </row>
    <row r="6" spans="1:6" ht="18.95" customHeight="1">
      <c r="A6" s="103" t="s">
        <v>117</v>
      </c>
      <c r="B6" s="649" t="str">
        <f>'Performance Data Sheet'!C17</f>
        <v>4503FTAL11F-A</v>
      </c>
      <c r="C6" s="650"/>
      <c r="D6" s="651"/>
      <c r="E6" s="103" t="s">
        <v>118</v>
      </c>
      <c r="F6" s="104">
        <f>'Performance Data Sheet'!I14</f>
        <v>103</v>
      </c>
    </row>
    <row r="7" spans="1:6" ht="18.95" customHeight="1">
      <c r="A7" s="103" t="s">
        <v>119</v>
      </c>
      <c r="B7" s="104" t="str">
        <f>'Performance Data Sheet'!F14</f>
        <v>TEFC</v>
      </c>
      <c r="C7" s="103" t="s">
        <v>120</v>
      </c>
      <c r="D7" s="104" t="str">
        <f>'Performance Data Sheet'!F13 &amp; " V"</f>
        <v>2300 V</v>
      </c>
      <c r="E7" s="103" t="s">
        <v>121</v>
      </c>
      <c r="F7" s="104" t="str">
        <f>'Performance Data Sheet'!C14</f>
        <v>5011USS</v>
      </c>
    </row>
    <row r="8" spans="1:6" ht="18.95" customHeight="1">
      <c r="A8" s="103" t="s">
        <v>122</v>
      </c>
      <c r="B8" s="104">
        <v>2</v>
      </c>
      <c r="C8" s="103" t="s">
        <v>123</v>
      </c>
      <c r="D8" s="104" t="s">
        <v>124</v>
      </c>
      <c r="E8" s="103" t="s">
        <v>125</v>
      </c>
      <c r="F8" s="104" t="str">
        <f>'Performance Data Sheet'!M15</f>
        <v>F</v>
      </c>
    </row>
    <row r="9" spans="1:6" ht="18.95" customHeight="1">
      <c r="A9" s="103" t="s">
        <v>126</v>
      </c>
      <c r="B9" s="104">
        <f>'Performance Data Sheet'!C13</f>
        <v>450</v>
      </c>
      <c r="C9" s="103" t="s">
        <v>127</v>
      </c>
      <c r="D9" s="104" t="s">
        <v>128</v>
      </c>
      <c r="E9" s="103" t="s">
        <v>129</v>
      </c>
      <c r="F9" s="105">
        <f>'Performance Data Sheet'!K44</f>
        <v>42747</v>
      </c>
    </row>
    <row r="10" spans="1:6" ht="18.95" customHeight="1">
      <c r="A10" s="103" t="s">
        <v>31</v>
      </c>
      <c r="B10" s="104">
        <f>'Performance Data Sheet'!M14</f>
        <v>3575</v>
      </c>
      <c r="C10" s="103" t="s">
        <v>130</v>
      </c>
      <c r="D10" s="104" t="s">
        <v>131</v>
      </c>
      <c r="E10" s="103" t="s">
        <v>132</v>
      </c>
      <c r="F10" s="104" t="s">
        <v>133</v>
      </c>
    </row>
    <row r="11" spans="1:6" ht="18.95" customHeight="1">
      <c r="A11" s="100"/>
      <c r="B11" s="101"/>
      <c r="C11" s="101"/>
      <c r="D11" s="101"/>
      <c r="E11" s="101"/>
      <c r="F11" s="102"/>
    </row>
    <row r="12" spans="1:6" ht="18.95" customHeight="1">
      <c r="A12" s="100"/>
      <c r="B12" s="106" t="s">
        <v>134</v>
      </c>
      <c r="C12" s="107" t="str">
        <f>'Performance Data Sheet'!D22 &amp; " A"</f>
        <v>714 A</v>
      </c>
      <c r="D12" s="106" t="s">
        <v>135</v>
      </c>
      <c r="E12" s="107" t="s">
        <v>136</v>
      </c>
      <c r="F12" s="102"/>
    </row>
    <row r="13" spans="1:6" ht="18.95" customHeight="1">
      <c r="A13" s="100"/>
      <c r="B13" s="106" t="s">
        <v>137</v>
      </c>
      <c r="C13" s="108">
        <v>2</v>
      </c>
      <c r="D13" s="106" t="s">
        <v>138</v>
      </c>
      <c r="E13" s="107" t="s">
        <v>139</v>
      </c>
      <c r="F13" s="102"/>
    </row>
    <row r="14" spans="1:6" ht="18.95" customHeight="1">
      <c r="A14" s="100"/>
      <c r="B14" s="106" t="s">
        <v>140</v>
      </c>
      <c r="C14" s="108">
        <v>2.5</v>
      </c>
      <c r="D14" s="106" t="s">
        <v>141</v>
      </c>
      <c r="E14" s="107" t="s">
        <v>142</v>
      </c>
      <c r="F14" s="102"/>
    </row>
    <row r="15" spans="1:6" ht="18.95" customHeight="1">
      <c r="A15" s="100"/>
      <c r="B15" s="106" t="s">
        <v>143</v>
      </c>
      <c r="C15" s="107" t="s">
        <v>144</v>
      </c>
      <c r="D15" s="101"/>
      <c r="E15" s="101"/>
      <c r="F15" s="102"/>
    </row>
    <row r="16" spans="1:6" ht="18.95" customHeight="1">
      <c r="A16" s="100"/>
      <c r="B16" s="101"/>
      <c r="C16" s="101"/>
      <c r="D16" s="101"/>
      <c r="E16" s="101"/>
      <c r="F16" s="102"/>
    </row>
    <row r="17" spans="1:6" ht="18.95" customHeight="1">
      <c r="A17" s="100"/>
      <c r="B17" s="101"/>
      <c r="C17" s="101"/>
      <c r="D17" s="101"/>
      <c r="E17" s="101"/>
      <c r="F17" s="102"/>
    </row>
    <row r="18" spans="1:6" ht="18.95" customHeight="1">
      <c r="A18" s="100"/>
      <c r="B18" s="101"/>
      <c r="C18" s="101"/>
      <c r="D18" s="101"/>
      <c r="E18" s="101"/>
      <c r="F18" s="102"/>
    </row>
    <row r="19" spans="1:6" ht="18.95" customHeight="1">
      <c r="A19" s="100"/>
      <c r="B19" s="101"/>
      <c r="C19" s="101"/>
      <c r="D19" s="101"/>
      <c r="E19" s="101"/>
      <c r="F19" s="102"/>
    </row>
    <row r="20" spans="1:6" ht="18.95" customHeight="1">
      <c r="A20" s="100"/>
      <c r="B20" s="101"/>
      <c r="C20" s="101"/>
      <c r="D20" s="101"/>
      <c r="E20" s="101"/>
      <c r="F20" s="102"/>
    </row>
    <row r="21" spans="1:6" ht="18.95" customHeight="1">
      <c r="A21" s="100"/>
      <c r="B21" s="101"/>
      <c r="C21" s="101"/>
      <c r="D21" s="101"/>
      <c r="E21" s="101"/>
      <c r="F21" s="102"/>
    </row>
    <row r="22" spans="1:6" ht="18.95" customHeight="1">
      <c r="A22" s="100"/>
      <c r="B22" s="101"/>
      <c r="C22" s="101"/>
      <c r="D22" s="101"/>
      <c r="E22" s="101"/>
      <c r="F22" s="102"/>
    </row>
    <row r="23" spans="1:6" ht="18.95" customHeight="1">
      <c r="A23" s="100"/>
      <c r="B23" s="101"/>
      <c r="C23" s="101"/>
      <c r="D23" s="101"/>
      <c r="E23" s="101"/>
      <c r="F23" s="102"/>
    </row>
    <row r="24" spans="1:6" ht="18.95" customHeight="1">
      <c r="A24" s="100"/>
      <c r="B24" s="101"/>
      <c r="C24" s="101"/>
      <c r="D24" s="101"/>
      <c r="E24" s="101"/>
      <c r="F24" s="102"/>
    </row>
    <row r="25" spans="1:6" ht="18.95" customHeight="1">
      <c r="A25" s="100"/>
      <c r="B25" s="101"/>
      <c r="C25" s="101"/>
      <c r="D25" s="101"/>
      <c r="E25" s="101"/>
      <c r="F25" s="102"/>
    </row>
    <row r="26" spans="1:6" ht="18.95" customHeight="1">
      <c r="A26" s="100"/>
      <c r="B26" s="101"/>
      <c r="C26" s="101"/>
      <c r="D26" s="101"/>
      <c r="E26" s="101"/>
      <c r="F26" s="102"/>
    </row>
    <row r="27" spans="1:6" ht="18.95" customHeight="1">
      <c r="A27" s="100"/>
      <c r="B27" s="101"/>
      <c r="C27" s="101"/>
      <c r="D27" s="101"/>
      <c r="E27" s="101"/>
      <c r="F27" s="102"/>
    </row>
    <row r="28" spans="1:6" ht="18.95" customHeight="1">
      <c r="A28" s="100"/>
      <c r="B28" s="101"/>
      <c r="C28" s="101"/>
      <c r="D28" s="101"/>
      <c r="E28" s="101"/>
      <c r="F28" s="102"/>
    </row>
    <row r="29" spans="1:6" ht="18.95" customHeight="1">
      <c r="A29" s="100"/>
      <c r="B29" s="101"/>
      <c r="C29" s="101"/>
      <c r="D29" s="101"/>
      <c r="E29" s="101"/>
      <c r="F29" s="102"/>
    </row>
    <row r="30" spans="1:6" ht="18.95" customHeight="1">
      <c r="A30" s="100"/>
      <c r="B30" s="101"/>
      <c r="C30" s="101"/>
      <c r="D30" s="101"/>
      <c r="E30" s="101"/>
      <c r="F30" s="102"/>
    </row>
    <row r="31" spans="1:6" ht="18.95" customHeight="1">
      <c r="A31" s="100"/>
      <c r="B31" s="101"/>
      <c r="C31" s="101"/>
      <c r="D31" s="101"/>
      <c r="E31" s="101"/>
      <c r="F31" s="102"/>
    </row>
    <row r="32" spans="1:6" ht="18.95" customHeight="1">
      <c r="A32" s="100"/>
      <c r="B32" s="101"/>
      <c r="C32" s="101"/>
      <c r="D32" s="101"/>
      <c r="E32" s="101"/>
      <c r="F32" s="102"/>
    </row>
    <row r="33" spans="1:6" ht="18.95" customHeight="1">
      <c r="A33" s="100"/>
      <c r="B33" s="101"/>
      <c r="C33" s="101"/>
      <c r="D33" s="101"/>
      <c r="E33" s="101"/>
      <c r="F33" s="102"/>
    </row>
    <row r="34" spans="1:6" ht="18.95" customHeight="1">
      <c r="A34" s="100"/>
      <c r="B34" s="101"/>
      <c r="C34" s="101"/>
      <c r="D34" s="101"/>
      <c r="E34" s="101"/>
      <c r="F34" s="102"/>
    </row>
    <row r="35" spans="1:6" ht="18.95" customHeight="1">
      <c r="A35" s="100"/>
      <c r="B35" s="101"/>
      <c r="C35" s="101"/>
      <c r="D35" s="101"/>
      <c r="E35" s="101"/>
      <c r="F35" s="102"/>
    </row>
    <row r="36" spans="1:6" ht="18.95" customHeight="1">
      <c r="A36" s="100"/>
      <c r="B36" s="101"/>
      <c r="C36" s="101"/>
      <c r="D36" s="101"/>
      <c r="E36" s="101"/>
      <c r="F36" s="102"/>
    </row>
    <row r="37" spans="1:6" ht="18.95" customHeight="1">
      <c r="A37" s="100"/>
      <c r="B37" s="101"/>
      <c r="C37" s="101"/>
      <c r="D37" s="101"/>
      <c r="E37" s="101"/>
      <c r="F37" s="102"/>
    </row>
    <row r="38" spans="1:6" ht="18.95" customHeight="1">
      <c r="A38" s="100"/>
      <c r="B38" s="101"/>
      <c r="C38" s="101"/>
      <c r="D38" s="101"/>
      <c r="E38" s="101"/>
      <c r="F38" s="102"/>
    </row>
    <row r="39" spans="1:6" ht="18.95" customHeight="1">
      <c r="A39" s="109" t="s">
        <v>145</v>
      </c>
      <c r="B39" s="110" t="s">
        <v>146</v>
      </c>
      <c r="C39" s="110" t="str">
        <f>'Performance Data Sheet'!C10</f>
        <v>-</v>
      </c>
      <c r="D39" s="101"/>
      <c r="E39" s="106" t="s">
        <v>147</v>
      </c>
      <c r="F39" s="111"/>
    </row>
    <row r="40" spans="1:6" ht="18.95" customHeight="1">
      <c r="A40" s="100"/>
      <c r="B40" s="110"/>
      <c r="C40" s="110"/>
      <c r="D40" s="101"/>
      <c r="E40" s="101"/>
      <c r="F40" s="102"/>
    </row>
    <row r="41" spans="1:6" ht="18.95" customHeight="1">
      <c r="A41" s="100"/>
      <c r="B41" s="110"/>
      <c r="C41" s="110"/>
      <c r="D41" s="101"/>
      <c r="E41" s="101"/>
      <c r="F41" s="102"/>
    </row>
    <row r="42" spans="1:6" ht="18.95" customHeight="1">
      <c r="A42" s="100"/>
      <c r="B42" s="101"/>
      <c r="C42" s="101"/>
      <c r="D42" s="101"/>
      <c r="E42" s="101"/>
      <c r="F42" s="102"/>
    </row>
    <row r="43" spans="1:6" ht="18.95" customHeight="1">
      <c r="A43" s="112"/>
      <c r="B43" s="110"/>
      <c r="C43" s="113" t="s">
        <v>148</v>
      </c>
      <c r="D43" s="114" t="str">
        <f>'Performance Data Sheet'!K42</f>
        <v>Zichao Xie</v>
      </c>
      <c r="E43" s="113" t="s">
        <v>149</v>
      </c>
      <c r="F43" s="114"/>
    </row>
    <row r="44" spans="1:6" ht="15" customHeight="1"/>
    <row r="45" spans="1:6" ht="15" customHeight="1"/>
    <row r="46" spans="1:6" ht="15" customHeight="1"/>
    <row r="47" spans="1:6" ht="15" customHeight="1"/>
    <row r="48" spans="1:6" ht="15" customHeight="1"/>
    <row r="49" spans="1:12" ht="15" customHeight="1"/>
    <row r="50" spans="1:12" ht="15" customHeight="1"/>
    <row r="51" spans="1:12" ht="15" customHeight="1"/>
    <row r="52" spans="1:12" ht="15" customHeight="1"/>
    <row r="53" spans="1:12" ht="15" customHeight="1">
      <c r="D53" s="115" t="s">
        <v>150</v>
      </c>
      <c r="E53" s="115"/>
      <c r="F53" s="115"/>
      <c r="G53" s="115"/>
      <c r="H53" s="115"/>
      <c r="I53" s="115"/>
      <c r="J53" s="115"/>
      <c r="K53" s="115"/>
      <c r="L53" s="115"/>
    </row>
    <row r="54" spans="1:12" ht="15" customHeight="1">
      <c r="A54" s="116">
        <v>100</v>
      </c>
      <c r="B54" s="115">
        <v>0</v>
      </c>
      <c r="C54" s="115">
        <v>0.30468457937240601</v>
      </c>
      <c r="D54" s="115">
        <v>100</v>
      </c>
      <c r="E54" s="115"/>
      <c r="F54" s="115"/>
      <c r="G54" s="115"/>
      <c r="H54" s="115"/>
      <c r="I54" s="115"/>
      <c r="J54" s="115"/>
      <c r="K54" s="115"/>
      <c r="L54" s="115"/>
    </row>
    <row r="55" spans="1:12" ht="15" customHeight="1">
      <c r="A55" s="116">
        <v>99.000000022351742</v>
      </c>
      <c r="B55" s="115">
        <v>149.24866256139649</v>
      </c>
      <c r="C55" s="115">
        <v>186.48269653320313</v>
      </c>
      <c r="D55" s="115">
        <v>98</v>
      </c>
      <c r="E55" s="115"/>
      <c r="F55" s="115"/>
      <c r="G55" s="115"/>
      <c r="H55" s="115"/>
      <c r="I55" s="115"/>
      <c r="J55" s="115"/>
      <c r="K55" s="115"/>
      <c r="L55" s="115"/>
    </row>
    <row r="56" spans="1:12" ht="15" customHeight="1">
      <c r="A56" s="116">
        <v>94.999999925494194</v>
      </c>
      <c r="B56" s="115">
        <v>250</v>
      </c>
      <c r="C56" s="115">
        <v>524.08502197265625</v>
      </c>
      <c r="D56" s="115">
        <v>87</v>
      </c>
      <c r="E56" s="115"/>
      <c r="F56" s="115"/>
      <c r="G56" s="115"/>
      <c r="H56" s="115"/>
      <c r="I56" s="115"/>
      <c r="J56" s="115"/>
      <c r="K56" s="115"/>
      <c r="L56" s="115"/>
    </row>
    <row r="57" spans="1:12">
      <c r="A57" s="116">
        <v>89.999999850988388</v>
      </c>
      <c r="B57" s="115">
        <v>182.56007983657682</v>
      </c>
      <c r="C57" s="115">
        <v>601.06640625</v>
      </c>
      <c r="D57" s="115">
        <v>74</v>
      </c>
      <c r="E57" s="115"/>
      <c r="F57" s="115"/>
      <c r="G57" s="115"/>
      <c r="H57" s="115"/>
      <c r="I57" s="115"/>
      <c r="J57" s="115"/>
      <c r="K57" s="115"/>
      <c r="L57" s="115"/>
    </row>
    <row r="58" spans="1:12">
      <c r="A58" s="116">
        <v>84.999999403953552</v>
      </c>
      <c r="B58" s="115">
        <v>157.26921656041685</v>
      </c>
      <c r="C58" s="115">
        <v>622.5517578125</v>
      </c>
      <c r="D58" s="115">
        <v>61</v>
      </c>
      <c r="E58" s="115"/>
      <c r="F58" s="115"/>
      <c r="G58" s="115"/>
      <c r="H58" s="115"/>
      <c r="I58" s="115"/>
      <c r="J58" s="115"/>
      <c r="K58" s="115"/>
      <c r="L58" s="115"/>
    </row>
    <row r="59" spans="1:12">
      <c r="A59" s="116">
        <v>79.999999701976776</v>
      </c>
      <c r="B59" s="115">
        <v>150.57365611554496</v>
      </c>
      <c r="C59" s="115">
        <v>633.2818603515625</v>
      </c>
      <c r="D59" s="115">
        <v>50</v>
      </c>
      <c r="E59" s="115"/>
      <c r="F59" s="115"/>
      <c r="G59" s="115"/>
      <c r="H59" s="115"/>
      <c r="I59" s="115"/>
      <c r="J59" s="115"/>
      <c r="K59" s="115"/>
      <c r="L59" s="115"/>
    </row>
    <row r="60" spans="1:12">
      <c r="A60" s="116">
        <v>69.999998807907104</v>
      </c>
      <c r="B60" s="115">
        <v>150.3089318254178</v>
      </c>
      <c r="C60" s="115">
        <v>646.8851318359375</v>
      </c>
      <c r="D60" s="115">
        <v>33</v>
      </c>
      <c r="E60" s="115"/>
      <c r="F60" s="115"/>
      <c r="G60" s="115"/>
      <c r="H60" s="115"/>
      <c r="I60" s="115"/>
      <c r="J60" s="115"/>
      <c r="K60" s="115"/>
      <c r="L60" s="115"/>
    </row>
    <row r="61" spans="1:12">
      <c r="A61" s="116">
        <v>59.999999403953552</v>
      </c>
      <c r="B61" s="115">
        <v>150</v>
      </c>
      <c r="C61" s="115">
        <v>657.76348876953125</v>
      </c>
      <c r="D61" s="115">
        <v>22</v>
      </c>
      <c r="E61" s="115"/>
      <c r="F61" s="115"/>
      <c r="G61" s="115"/>
      <c r="H61" s="115"/>
      <c r="I61" s="115"/>
      <c r="J61" s="115"/>
      <c r="K61" s="115"/>
      <c r="L61" s="115"/>
    </row>
    <row r="62" spans="1:12">
      <c r="A62" s="116">
        <v>50</v>
      </c>
      <c r="B62" s="115">
        <v>150.4143364705522</v>
      </c>
      <c r="C62" s="115">
        <v>667.12347412109375</v>
      </c>
      <c r="D62" s="115">
        <v>14</v>
      </c>
      <c r="E62" s="115"/>
      <c r="F62" s="115"/>
      <c r="G62" s="115"/>
      <c r="H62" s="115"/>
      <c r="I62" s="115"/>
      <c r="J62" s="115"/>
      <c r="K62" s="115"/>
      <c r="L62" s="115"/>
    </row>
    <row r="63" spans="1:12">
      <c r="A63" s="116">
        <v>39.999997615814209</v>
      </c>
      <c r="B63" s="115">
        <v>152.24763642599206</v>
      </c>
      <c r="C63" s="115">
        <v>675.67401123046875</v>
      </c>
      <c r="D63" s="115">
        <v>7.9999995231628418</v>
      </c>
      <c r="E63" s="115"/>
      <c r="F63" s="115"/>
      <c r="G63" s="115"/>
      <c r="H63" s="115"/>
      <c r="I63" s="115"/>
      <c r="J63" s="115"/>
      <c r="K63" s="115"/>
      <c r="L63" s="115"/>
    </row>
    <row r="64" spans="1:12">
      <c r="A64" s="116">
        <v>30.000001192092896</v>
      </c>
      <c r="B64" s="115">
        <v>156.14762401491896</v>
      </c>
      <c r="C64" s="115">
        <v>683.1319580078125</v>
      </c>
      <c r="D64" s="115">
        <v>5.9999995231628418</v>
      </c>
      <c r="E64" s="115"/>
      <c r="F64" s="115"/>
      <c r="G64" s="115"/>
      <c r="H64" s="115"/>
      <c r="I64" s="115"/>
      <c r="J64" s="115"/>
      <c r="K64" s="115"/>
      <c r="L64" s="115"/>
    </row>
    <row r="65" spans="1:12">
      <c r="A65" s="116">
        <v>19.999998807907104</v>
      </c>
      <c r="B65" s="115">
        <v>163.4349393589801</v>
      </c>
      <c r="C65" s="115">
        <v>689.41552734375</v>
      </c>
      <c r="D65" s="115">
        <v>8.0000009536743164</v>
      </c>
      <c r="E65" s="115"/>
      <c r="F65" s="115"/>
      <c r="G65" s="115"/>
      <c r="H65" s="115"/>
      <c r="I65" s="115"/>
      <c r="J65" s="115"/>
      <c r="K65" s="115"/>
      <c r="L65" s="115"/>
    </row>
    <row r="66" spans="1:12">
      <c r="A66" s="116">
        <v>10.000002384185791</v>
      </c>
      <c r="B66" s="115">
        <v>176.60009469301932</v>
      </c>
      <c r="C66" s="115">
        <v>694.603515625</v>
      </c>
      <c r="D66" s="115">
        <v>14.999996185302734</v>
      </c>
      <c r="E66" s="115"/>
      <c r="F66" s="115"/>
      <c r="G66" s="115"/>
      <c r="H66" s="115"/>
      <c r="I66" s="115"/>
      <c r="J66" s="115"/>
      <c r="K66" s="115"/>
      <c r="L66" s="115"/>
    </row>
    <row r="67" spans="1:12">
      <c r="A67" s="117">
        <v>0</v>
      </c>
      <c r="B67" s="115">
        <v>200</v>
      </c>
      <c r="C67" s="115">
        <v>698.3050537109375</v>
      </c>
      <c r="D67" s="115">
        <v>30</v>
      </c>
      <c r="E67" s="115"/>
      <c r="F67" s="115"/>
      <c r="G67" s="115"/>
      <c r="H67" s="115"/>
      <c r="I67" s="115"/>
      <c r="J67" s="115"/>
      <c r="K67" s="115"/>
      <c r="L67" s="115"/>
    </row>
  </sheetData>
  <mergeCells count="1">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81"/>
  <sheetViews>
    <sheetView workbookViewId="0">
      <selection activeCell="E59" sqref="E59"/>
    </sheetView>
  </sheetViews>
  <sheetFormatPr defaultRowHeight="12.75"/>
  <cols>
    <col min="1" max="6" width="16.7109375" style="95" customWidth="1"/>
    <col min="7" max="16384" width="9.140625" style="95"/>
  </cols>
  <sheetData>
    <row r="1" spans="1:6" ht="18.95" customHeight="1">
      <c r="A1" s="92"/>
      <c r="B1" s="93"/>
      <c r="C1" s="93"/>
      <c r="D1" s="93"/>
      <c r="E1" s="93"/>
      <c r="F1" s="94"/>
    </row>
    <row r="2" spans="1:6" ht="26.1" customHeight="1">
      <c r="A2" s="96" t="s">
        <v>0</v>
      </c>
      <c r="B2" s="97"/>
      <c r="C2" s="97"/>
      <c r="D2" s="97"/>
      <c r="E2" s="97"/>
      <c r="F2" s="98"/>
    </row>
    <row r="3" spans="1:6" ht="18.95" customHeight="1">
      <c r="A3" s="652" t="s">
        <v>151</v>
      </c>
      <c r="B3" s="653"/>
      <c r="C3" s="653"/>
      <c r="D3" s="653"/>
      <c r="E3" s="653"/>
      <c r="F3" s="654"/>
    </row>
    <row r="4" spans="1:6" ht="18.95" customHeight="1">
      <c r="A4" s="655" t="s">
        <v>152</v>
      </c>
      <c r="B4" s="656"/>
      <c r="C4" s="656"/>
      <c r="D4" s="656"/>
      <c r="E4" s="656"/>
      <c r="F4" s="657"/>
    </row>
    <row r="5" spans="1:6" ht="18.95" customHeight="1">
      <c r="A5" s="100"/>
      <c r="B5" s="101"/>
      <c r="C5" s="101"/>
      <c r="D5" s="101"/>
      <c r="E5" s="101"/>
      <c r="F5" s="102"/>
    </row>
    <row r="6" spans="1:6" ht="18.95" customHeight="1">
      <c r="A6" s="103" t="s">
        <v>117</v>
      </c>
      <c r="B6" s="649" t="str">
        <f>'Performance Data Sheet'!C17</f>
        <v>4503FTAL11F-A</v>
      </c>
      <c r="C6" s="650"/>
      <c r="D6" s="651"/>
      <c r="E6" s="103" t="s">
        <v>118</v>
      </c>
      <c r="F6" s="104">
        <f>'Performance Data Sheet'!I14</f>
        <v>103</v>
      </c>
    </row>
    <row r="7" spans="1:6" ht="18.95" customHeight="1">
      <c r="A7" s="103" t="s">
        <v>119</v>
      </c>
      <c r="B7" s="104" t="str">
        <f>'Performance Data Sheet'!F14</f>
        <v>TEFC</v>
      </c>
      <c r="C7" s="103" t="s">
        <v>120</v>
      </c>
      <c r="D7" s="104" t="str">
        <f>'Performance Data Sheet'!F13 &amp; " V"</f>
        <v>2300 V</v>
      </c>
      <c r="E7" s="103" t="s">
        <v>121</v>
      </c>
      <c r="F7" s="104" t="str">
        <f>'Performance Data Sheet'!C14</f>
        <v>5011USS</v>
      </c>
    </row>
    <row r="8" spans="1:6" ht="18.95" customHeight="1">
      <c r="A8" s="103" t="s">
        <v>122</v>
      </c>
      <c r="B8" s="104">
        <v>2</v>
      </c>
      <c r="C8" s="103" t="s">
        <v>123</v>
      </c>
      <c r="D8" s="104" t="s">
        <v>124</v>
      </c>
      <c r="E8" s="103" t="s">
        <v>125</v>
      </c>
      <c r="F8" s="104" t="str">
        <f>'Performance Data Sheet'!M15</f>
        <v>F</v>
      </c>
    </row>
    <row r="9" spans="1:6" ht="18.95" customHeight="1">
      <c r="A9" s="103" t="s">
        <v>126</v>
      </c>
      <c r="B9" s="104">
        <f>'Performance Data Sheet'!C13</f>
        <v>450</v>
      </c>
      <c r="C9" s="103" t="s">
        <v>127</v>
      </c>
      <c r="D9" s="104" t="s">
        <v>128</v>
      </c>
      <c r="E9" s="103" t="s">
        <v>129</v>
      </c>
      <c r="F9" s="105">
        <f>'Performance Data Sheet'!K44</f>
        <v>42747</v>
      </c>
    </row>
    <row r="10" spans="1:6" ht="18.95" customHeight="1">
      <c r="A10" s="103" t="s">
        <v>31</v>
      </c>
      <c r="B10" s="104">
        <f>'Performance Data Sheet'!M14</f>
        <v>3575</v>
      </c>
      <c r="C10" s="103" t="s">
        <v>130</v>
      </c>
      <c r="D10" s="104" t="s">
        <v>131</v>
      </c>
      <c r="E10" s="103" t="s">
        <v>132</v>
      </c>
      <c r="F10" s="104" t="s">
        <v>133</v>
      </c>
    </row>
    <row r="11" spans="1:6" ht="18.95" customHeight="1">
      <c r="A11" s="100"/>
      <c r="B11" s="101"/>
      <c r="C11" s="101"/>
      <c r="D11" s="101"/>
      <c r="E11" s="101"/>
      <c r="F11" s="102"/>
    </row>
    <row r="12" spans="1:6" ht="18.95" customHeight="1">
      <c r="A12" s="100"/>
      <c r="B12" s="106"/>
      <c r="C12" s="107" t="str">
        <f>'Performance Data Sheet'!D22 &amp; " A"</f>
        <v>714 A</v>
      </c>
      <c r="D12" s="106"/>
      <c r="E12" s="107"/>
      <c r="F12" s="102"/>
    </row>
    <row r="13" spans="1:6" ht="18.95" customHeight="1">
      <c r="A13" s="100"/>
      <c r="B13" s="106"/>
      <c r="C13" s="108"/>
      <c r="D13" s="106"/>
      <c r="E13" s="107"/>
      <c r="F13" s="102"/>
    </row>
    <row r="14" spans="1:6" ht="18.95" customHeight="1">
      <c r="A14" s="100"/>
      <c r="B14" s="106"/>
      <c r="C14" s="108"/>
      <c r="D14" s="106"/>
      <c r="E14" s="107" t="s">
        <v>142</v>
      </c>
      <c r="F14" s="102"/>
    </row>
    <row r="15" spans="1:6" ht="18.95" customHeight="1">
      <c r="A15" s="100"/>
      <c r="B15" s="106"/>
      <c r="C15" s="107"/>
      <c r="D15" s="101"/>
      <c r="E15" s="101"/>
      <c r="F15" s="102"/>
    </row>
    <row r="16" spans="1:6" ht="18.95" customHeight="1">
      <c r="A16" s="100"/>
      <c r="B16" s="101"/>
      <c r="C16" s="101"/>
      <c r="D16" s="101"/>
      <c r="E16" s="101"/>
      <c r="F16" s="102"/>
    </row>
    <row r="17" spans="1:6" ht="18.95" customHeight="1">
      <c r="A17" s="100"/>
      <c r="B17" s="101"/>
      <c r="C17" s="101"/>
      <c r="D17" s="101"/>
      <c r="E17" s="101"/>
      <c r="F17" s="102"/>
    </row>
    <row r="18" spans="1:6" ht="18.95" customHeight="1">
      <c r="A18" s="100"/>
      <c r="B18" s="101"/>
      <c r="C18" s="101"/>
      <c r="D18" s="101"/>
      <c r="E18" s="101"/>
      <c r="F18" s="102"/>
    </row>
    <row r="19" spans="1:6" ht="18.95" customHeight="1">
      <c r="A19" s="100"/>
      <c r="B19" s="101"/>
      <c r="C19" s="101"/>
      <c r="D19" s="101"/>
      <c r="E19" s="101"/>
      <c r="F19" s="102"/>
    </row>
    <row r="20" spans="1:6" ht="18.95" customHeight="1">
      <c r="A20" s="100"/>
      <c r="B20" s="101"/>
      <c r="C20" s="101"/>
      <c r="D20" s="101"/>
      <c r="E20" s="101"/>
      <c r="F20" s="102"/>
    </row>
    <row r="21" spans="1:6" ht="18.95" customHeight="1">
      <c r="A21" s="100"/>
      <c r="B21" s="101"/>
      <c r="C21" s="101"/>
      <c r="D21" s="101"/>
      <c r="E21" s="101"/>
      <c r="F21" s="102"/>
    </row>
    <row r="22" spans="1:6" ht="18.95" customHeight="1">
      <c r="A22" s="100"/>
      <c r="B22" s="101"/>
      <c r="C22" s="101"/>
      <c r="D22" s="101"/>
      <c r="E22" s="101"/>
      <c r="F22" s="102"/>
    </row>
    <row r="23" spans="1:6" ht="18.95" customHeight="1">
      <c r="A23" s="100"/>
      <c r="B23" s="101"/>
      <c r="C23" s="101"/>
      <c r="D23" s="101"/>
      <c r="E23" s="101"/>
      <c r="F23" s="102"/>
    </row>
    <row r="24" spans="1:6" ht="18.95" customHeight="1">
      <c r="A24" s="100"/>
      <c r="B24" s="101"/>
      <c r="C24" s="101"/>
      <c r="D24" s="101"/>
      <c r="E24" s="101"/>
      <c r="F24" s="102"/>
    </row>
    <row r="25" spans="1:6" ht="18.95" customHeight="1">
      <c r="A25" s="100"/>
      <c r="B25" s="101"/>
      <c r="C25" s="101"/>
      <c r="D25" s="101"/>
      <c r="E25" s="101"/>
      <c r="F25" s="102"/>
    </row>
    <row r="26" spans="1:6" ht="18.95" customHeight="1">
      <c r="A26" s="100"/>
      <c r="B26" s="101"/>
      <c r="C26" s="101"/>
      <c r="D26" s="101"/>
      <c r="E26" s="101"/>
      <c r="F26" s="102"/>
    </row>
    <row r="27" spans="1:6" ht="18.95" customHeight="1">
      <c r="A27" s="100"/>
      <c r="B27" s="101"/>
      <c r="C27" s="101"/>
      <c r="D27" s="101"/>
      <c r="E27" s="101"/>
      <c r="F27" s="102"/>
    </row>
    <row r="28" spans="1:6" ht="18.95" customHeight="1">
      <c r="A28" s="100"/>
      <c r="B28" s="101"/>
      <c r="C28" s="101"/>
      <c r="D28" s="101"/>
      <c r="E28" s="101"/>
      <c r="F28" s="102"/>
    </row>
    <row r="29" spans="1:6" ht="18.95" customHeight="1">
      <c r="A29" s="100"/>
      <c r="B29" s="101"/>
      <c r="C29" s="101"/>
      <c r="D29" s="101"/>
      <c r="E29" s="101"/>
      <c r="F29" s="102"/>
    </row>
    <row r="30" spans="1:6" ht="18.95" customHeight="1">
      <c r="A30" s="100"/>
      <c r="B30" s="101"/>
      <c r="C30" s="101"/>
      <c r="D30" s="101"/>
      <c r="E30" s="101"/>
      <c r="F30" s="102"/>
    </row>
    <row r="31" spans="1:6" ht="18.95" customHeight="1">
      <c r="A31" s="100"/>
      <c r="B31" s="101"/>
      <c r="C31" s="101"/>
      <c r="D31" s="101"/>
      <c r="E31" s="101"/>
      <c r="F31" s="102"/>
    </row>
    <row r="32" spans="1:6" ht="18.95" customHeight="1">
      <c r="A32" s="100"/>
      <c r="B32" s="101"/>
      <c r="C32" s="101"/>
      <c r="D32" s="101"/>
      <c r="E32" s="101"/>
      <c r="F32" s="102"/>
    </row>
    <row r="33" spans="1:6" ht="18.95" customHeight="1">
      <c r="A33" s="100"/>
      <c r="B33" s="101"/>
      <c r="C33" s="101"/>
      <c r="D33" s="101"/>
      <c r="E33" s="101"/>
      <c r="F33" s="102"/>
    </row>
    <row r="34" spans="1:6" ht="18.95" customHeight="1">
      <c r="A34" s="100"/>
      <c r="B34" s="101"/>
      <c r="C34" s="101"/>
      <c r="D34" s="101"/>
      <c r="E34" s="101"/>
      <c r="F34" s="102"/>
    </row>
    <row r="35" spans="1:6" ht="18.95" customHeight="1">
      <c r="A35" s="100"/>
      <c r="B35" s="101"/>
      <c r="C35" s="101"/>
      <c r="D35" s="101"/>
      <c r="E35" s="101"/>
      <c r="F35" s="102"/>
    </row>
    <row r="36" spans="1:6" ht="18.95" customHeight="1">
      <c r="A36" s="100"/>
      <c r="B36" s="101"/>
      <c r="C36" s="101"/>
      <c r="D36" s="101"/>
      <c r="E36" s="101"/>
      <c r="F36" s="102"/>
    </row>
    <row r="37" spans="1:6" ht="18.95" customHeight="1">
      <c r="A37" s="100"/>
      <c r="B37" s="101"/>
      <c r="C37" s="101"/>
      <c r="D37" s="101"/>
      <c r="E37" s="101"/>
      <c r="F37" s="102"/>
    </row>
    <row r="38" spans="1:6" ht="18.95" customHeight="1">
      <c r="A38" s="100"/>
      <c r="B38" s="101"/>
      <c r="C38" s="101"/>
      <c r="D38" s="101"/>
      <c r="E38" s="101"/>
      <c r="F38" s="102"/>
    </row>
    <row r="39" spans="1:6" ht="18.95" customHeight="1">
      <c r="A39" s="109" t="s">
        <v>145</v>
      </c>
      <c r="B39" s="110" t="s">
        <v>146</v>
      </c>
      <c r="C39" s="110" t="str">
        <f>'Performance Data Sheet'!C10</f>
        <v>-</v>
      </c>
      <c r="D39" s="101"/>
      <c r="E39" s="106" t="s">
        <v>147</v>
      </c>
      <c r="F39" s="111"/>
    </row>
    <row r="40" spans="1:6" ht="18.95" customHeight="1">
      <c r="A40" s="100"/>
      <c r="B40" s="110"/>
      <c r="C40" s="110"/>
      <c r="D40" s="101"/>
      <c r="E40" s="101"/>
      <c r="F40" s="102"/>
    </row>
    <row r="41" spans="1:6" ht="18.95" customHeight="1">
      <c r="A41" s="100"/>
      <c r="B41" s="110"/>
      <c r="C41" s="110"/>
      <c r="D41" s="101"/>
      <c r="E41" s="101"/>
      <c r="F41" s="102"/>
    </row>
    <row r="42" spans="1:6" ht="18.95" customHeight="1">
      <c r="A42" s="100"/>
      <c r="B42" s="101"/>
      <c r="C42" s="101"/>
      <c r="D42" s="101"/>
      <c r="E42" s="101"/>
      <c r="F42" s="102"/>
    </row>
    <row r="43" spans="1:6" ht="18.95" customHeight="1">
      <c r="A43" s="112"/>
      <c r="B43" s="110"/>
      <c r="C43" s="113" t="s">
        <v>148</v>
      </c>
      <c r="D43" s="114" t="str">
        <f>'Performance Data Sheet'!K42</f>
        <v>Zichao Xie</v>
      </c>
      <c r="E43" s="113" t="s">
        <v>149</v>
      </c>
      <c r="F43" s="114"/>
    </row>
    <row r="44" spans="1:6" ht="15" customHeight="1"/>
    <row r="45" spans="1:6" ht="15" customHeight="1"/>
    <row r="46" spans="1:6" ht="15" customHeight="1"/>
    <row r="47" spans="1:6" ht="15" customHeight="1"/>
    <row r="48" spans="1:6" ht="15" customHeight="1"/>
    <row r="49" spans="6:9" ht="15" customHeight="1"/>
    <row r="50" spans="6:9" ht="15" customHeight="1">
      <c r="F50" s="118" t="e">
        <f>5252.1*B50/D53</f>
        <v>#DIV/0!</v>
      </c>
      <c r="G50" s="118"/>
    </row>
    <row r="51" spans="6:9" ht="15" customHeight="1"/>
    <row r="52" spans="6:9" ht="15" customHeight="1"/>
    <row r="53" spans="6:9" ht="15" customHeight="1"/>
    <row r="54" spans="6:9" ht="15" customHeight="1"/>
    <row r="55" spans="6:9" ht="15" customHeight="1"/>
    <row r="56" spans="6:9" ht="15" customHeight="1"/>
    <row r="62" spans="6:9">
      <c r="I62" s="119"/>
    </row>
    <row r="63" spans="6:9">
      <c r="I63" s="95" t="s">
        <v>153</v>
      </c>
    </row>
    <row r="66" spans="1:6">
      <c r="D66" s="118" t="e">
        <f>D65/D64</f>
        <v>#DIV/0!</v>
      </c>
    </row>
    <row r="67" spans="1:6">
      <c r="A67" s="120" t="s">
        <v>154</v>
      </c>
      <c r="B67" s="120" t="s">
        <v>155</v>
      </c>
      <c r="C67" s="120" t="s">
        <v>156</v>
      </c>
      <c r="E67" s="120" t="s">
        <v>157</v>
      </c>
      <c r="F67" s="120" t="s">
        <v>158</v>
      </c>
    </row>
    <row r="68" spans="1:6">
      <c r="A68" s="121">
        <v>708.47457627118649</v>
      </c>
      <c r="B68" s="122">
        <v>14.445968355451312</v>
      </c>
      <c r="C68" s="122">
        <v>6.0525574002947131</v>
      </c>
      <c r="E68" s="121">
        <v>708.47457627118649</v>
      </c>
      <c r="F68" s="122">
        <v>1E-4</v>
      </c>
    </row>
    <row r="69" spans="1:6">
      <c r="A69" s="121">
        <v>700</v>
      </c>
      <c r="B69" s="122">
        <v>14.79786699187939</v>
      </c>
      <c r="C69" s="122">
        <v>6.1999955396883006</v>
      </c>
      <c r="E69" s="121">
        <v>706.61016949152543</v>
      </c>
      <c r="F69" s="122">
        <v>0.24188471868932249</v>
      </c>
    </row>
    <row r="70" spans="1:6">
      <c r="A70" s="121">
        <v>600</v>
      </c>
      <c r="B70" s="122">
        <v>20.141541183391393</v>
      </c>
      <c r="C70" s="122">
        <v>8.4388828179090751</v>
      </c>
      <c r="E70" s="121">
        <v>702.03389830508479</v>
      </c>
      <c r="F70" s="122">
        <v>0.49240815977811814</v>
      </c>
    </row>
    <row r="71" spans="1:6">
      <c r="A71" s="121">
        <v>500</v>
      </c>
      <c r="B71" s="122">
        <v>29.003819304083603</v>
      </c>
      <c r="C71" s="122">
        <v>12.151991257789067</v>
      </c>
      <c r="E71" s="121">
        <v>696.27118644067798</v>
      </c>
      <c r="F71" s="122">
        <v>0.75078501678228382</v>
      </c>
    </row>
    <row r="72" spans="1:6">
      <c r="A72" s="121">
        <v>400</v>
      </c>
      <c r="B72" s="122">
        <v>45.318467662630624</v>
      </c>
      <c r="C72" s="122"/>
      <c r="E72" s="121">
        <v>689.32203389830511</v>
      </c>
      <c r="F72" s="122">
        <v>1.0170152662968637</v>
      </c>
    </row>
    <row r="73" spans="1:6">
      <c r="A73" s="121">
        <v>300</v>
      </c>
      <c r="B73" s="122">
        <v>80.566164733565572</v>
      </c>
      <c r="C73" s="122"/>
      <c r="E73" s="121">
        <v>681.18644067796606</v>
      </c>
      <c r="F73" s="122">
        <v>1.2950256045770645</v>
      </c>
    </row>
    <row r="74" spans="1:6">
      <c r="A74" s="121">
        <v>255</v>
      </c>
      <c r="B74" s="122">
        <v>111.51026260701116</v>
      </c>
      <c r="C74" s="122">
        <v>46.720458507455085</v>
      </c>
      <c r="E74" s="121">
        <v>672.03389830508479</v>
      </c>
      <c r="F74" s="122">
        <v>1.5871720680999757</v>
      </c>
    </row>
    <row r="75" spans="1:6">
      <c r="A75" s="123">
        <v>180</v>
      </c>
      <c r="B75" s="122">
        <v>229.24646602625316</v>
      </c>
      <c r="C75" s="122">
        <v>93.765364643434154</v>
      </c>
      <c r="E75" s="121">
        <v>661.86440677966107</v>
      </c>
      <c r="F75" s="122">
        <v>1.8989521065187456</v>
      </c>
    </row>
    <row r="76" spans="1:6">
      <c r="A76" s="123">
        <v>120</v>
      </c>
      <c r="B76" s="122">
        <v>503.53852958478473</v>
      </c>
      <c r="C76" s="122">
        <v>210.97207044772685</v>
      </c>
      <c r="E76" s="121">
        <v>649.32203389830511</v>
      </c>
      <c r="F76" s="122">
        <v>2.2445017514562609</v>
      </c>
    </row>
    <row r="77" spans="1:6">
      <c r="A77" s="123">
        <v>110</v>
      </c>
      <c r="B77" s="122"/>
      <c r="C77" s="121">
        <v>500</v>
      </c>
      <c r="E77" s="121">
        <v>637.11864406779659</v>
      </c>
      <c r="F77" s="122">
        <v>2.4345541123437884</v>
      </c>
    </row>
    <row r="78" spans="1:6">
      <c r="A78" s="123">
        <v>110</v>
      </c>
      <c r="B78" s="122"/>
      <c r="C78" s="121">
        <v>1000</v>
      </c>
      <c r="E78" s="121">
        <v>620.67796610169489</v>
      </c>
      <c r="F78" s="122">
        <v>2.6206796833562853</v>
      </c>
    </row>
    <row r="79" spans="1:6">
      <c r="A79" s="123">
        <v>110</v>
      </c>
      <c r="B79" s="123"/>
      <c r="C79" s="123">
        <v>10000</v>
      </c>
      <c r="E79" s="121">
        <v>570.84745762711862</v>
      </c>
      <c r="F79" s="122">
        <v>2.766753008737564</v>
      </c>
    </row>
    <row r="80" spans="1:6">
      <c r="E80" s="121">
        <v>360.50847457627117</v>
      </c>
      <c r="F80" s="122">
        <v>2.9167529367542269</v>
      </c>
    </row>
    <row r="81" spans="5:6">
      <c r="E81" s="121">
        <f>A77</f>
        <v>110</v>
      </c>
      <c r="F81" s="122">
        <v>2.9968576152563098</v>
      </c>
    </row>
  </sheetData>
  <mergeCells count="3">
    <mergeCell ref="A3:F3"/>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67"/>
  <sheetViews>
    <sheetView topLeftCell="A38" workbookViewId="0">
      <selection activeCell="D58" sqref="D58"/>
    </sheetView>
  </sheetViews>
  <sheetFormatPr defaultRowHeight="12.75"/>
  <cols>
    <col min="1" max="6" width="16.7109375" style="95" customWidth="1"/>
    <col min="7" max="16384" width="9.140625" style="95"/>
  </cols>
  <sheetData>
    <row r="1" spans="1:6" ht="18.95" customHeight="1">
      <c r="A1" s="92"/>
      <c r="B1" s="93"/>
      <c r="C1" s="93"/>
      <c r="D1" s="93"/>
      <c r="E1" s="93"/>
      <c r="F1" s="94"/>
    </row>
    <row r="2" spans="1:6" ht="26.1" customHeight="1">
      <c r="A2" s="96" t="s">
        <v>0</v>
      </c>
      <c r="B2" s="97"/>
      <c r="C2" s="97"/>
      <c r="D2" s="97"/>
      <c r="E2" s="97"/>
      <c r="F2" s="98"/>
    </row>
    <row r="3" spans="1:6" ht="18.95" customHeight="1">
      <c r="A3" s="99" t="s">
        <v>159</v>
      </c>
      <c r="B3" s="97"/>
      <c r="C3" s="97"/>
      <c r="D3" s="97"/>
      <c r="E3" s="97"/>
      <c r="F3" s="98"/>
    </row>
    <row r="4" spans="1:6" ht="18.95" customHeight="1">
      <c r="A4" s="655" t="s">
        <v>152</v>
      </c>
      <c r="B4" s="656"/>
      <c r="C4" s="656"/>
      <c r="D4" s="656"/>
      <c r="E4" s="656"/>
      <c r="F4" s="657"/>
    </row>
    <row r="5" spans="1:6" ht="18.95" customHeight="1">
      <c r="A5" s="100"/>
      <c r="B5" s="101"/>
      <c r="C5" s="101"/>
      <c r="D5" s="101"/>
      <c r="E5" s="101"/>
      <c r="F5" s="102"/>
    </row>
    <row r="6" spans="1:6" ht="18.95" customHeight="1">
      <c r="A6" s="103" t="s">
        <v>117</v>
      </c>
      <c r="B6" s="649" t="str">
        <f>'Performance Data Sheet'!C17</f>
        <v>4503FTAL11F-A</v>
      </c>
      <c r="C6" s="650"/>
      <c r="D6" s="651"/>
      <c r="E6" s="103" t="s">
        <v>118</v>
      </c>
      <c r="F6" s="104" t="s">
        <v>714</v>
      </c>
    </row>
    <row r="7" spans="1:6" ht="18.95" customHeight="1">
      <c r="A7" s="103" t="s">
        <v>119</v>
      </c>
      <c r="B7" s="104" t="str">
        <f>'Performance Data Sheet'!F14</f>
        <v>TEFC</v>
      </c>
      <c r="C7" s="103" t="s">
        <v>120</v>
      </c>
      <c r="D7" s="104" t="s">
        <v>713</v>
      </c>
      <c r="E7" s="103" t="s">
        <v>121</v>
      </c>
      <c r="F7" s="104" t="str">
        <f>'Performance Data Sheet'!C14</f>
        <v>5011USS</v>
      </c>
    </row>
    <row r="8" spans="1:6" ht="18.95" customHeight="1">
      <c r="A8" s="103" t="s">
        <v>122</v>
      </c>
      <c r="B8" s="104">
        <v>2</v>
      </c>
      <c r="C8" s="103" t="s">
        <v>123</v>
      </c>
      <c r="D8" s="104" t="s">
        <v>124</v>
      </c>
      <c r="E8" s="103" t="s">
        <v>125</v>
      </c>
      <c r="F8" s="104" t="str">
        <f>'Performance Data Sheet'!M15</f>
        <v>F</v>
      </c>
    </row>
    <row r="9" spans="1:6" ht="18.95" customHeight="1">
      <c r="A9" s="103" t="s">
        <v>126</v>
      </c>
      <c r="B9" s="104">
        <f>'Performance Data Sheet'!C13</f>
        <v>450</v>
      </c>
      <c r="C9" s="103" t="s">
        <v>127</v>
      </c>
      <c r="D9" s="104" t="s">
        <v>128</v>
      </c>
      <c r="E9" s="103" t="s">
        <v>129</v>
      </c>
      <c r="F9" s="105">
        <f>'Performance Data Sheet'!K44</f>
        <v>42747</v>
      </c>
    </row>
    <row r="10" spans="1:6" ht="18.95" customHeight="1">
      <c r="A10" s="103" t="s">
        <v>31</v>
      </c>
      <c r="B10" s="104">
        <f>'Performance Data Sheet'!M14</f>
        <v>3575</v>
      </c>
      <c r="C10" s="103" t="s">
        <v>130</v>
      </c>
      <c r="D10" s="104" t="s">
        <v>131</v>
      </c>
      <c r="E10" s="103" t="s">
        <v>132</v>
      </c>
      <c r="F10" s="104" t="s">
        <v>133</v>
      </c>
    </row>
    <row r="11" spans="1:6" ht="18.95" customHeight="1">
      <c r="A11" s="100"/>
      <c r="B11" s="101"/>
      <c r="C11" s="101"/>
      <c r="D11" s="101"/>
      <c r="E11" s="101"/>
      <c r="F11" s="102"/>
    </row>
    <row r="12" spans="1:6" ht="18.95" customHeight="1">
      <c r="A12" s="100"/>
      <c r="B12" s="106" t="s">
        <v>134</v>
      </c>
      <c r="C12" s="107" t="s">
        <v>715</v>
      </c>
      <c r="D12" s="106" t="s">
        <v>135</v>
      </c>
      <c r="E12" s="107" t="s">
        <v>136</v>
      </c>
      <c r="F12" s="102"/>
    </row>
    <row r="13" spans="1:6" ht="18.95" customHeight="1">
      <c r="A13" s="100"/>
      <c r="B13" s="106" t="s">
        <v>137</v>
      </c>
      <c r="C13" s="108">
        <v>2</v>
      </c>
      <c r="D13" s="106" t="s">
        <v>138</v>
      </c>
      <c r="E13" s="107" t="s">
        <v>139</v>
      </c>
      <c r="F13" s="102"/>
    </row>
    <row r="14" spans="1:6" ht="18.95" customHeight="1">
      <c r="A14" s="100"/>
      <c r="B14" s="106" t="s">
        <v>140</v>
      </c>
      <c r="C14" s="108">
        <v>2.5</v>
      </c>
      <c r="D14" s="106" t="s">
        <v>141</v>
      </c>
      <c r="E14" s="107" t="s">
        <v>142</v>
      </c>
      <c r="F14" s="102"/>
    </row>
    <row r="15" spans="1:6" ht="18.95" customHeight="1">
      <c r="A15" s="100"/>
      <c r="B15" s="106" t="s">
        <v>143</v>
      </c>
      <c r="C15" s="107" t="s">
        <v>144</v>
      </c>
      <c r="D15" s="101"/>
      <c r="E15" s="101"/>
      <c r="F15" s="102"/>
    </row>
    <row r="16" spans="1:6" ht="18.95" customHeight="1">
      <c r="A16" s="100"/>
      <c r="B16" s="101"/>
      <c r="C16" s="101"/>
      <c r="D16" s="101"/>
      <c r="E16" s="101"/>
      <c r="F16" s="102"/>
    </row>
    <row r="17" spans="1:8" ht="18.95" customHeight="1">
      <c r="A17" s="100"/>
      <c r="B17" s="101"/>
      <c r="C17" s="101"/>
      <c r="D17" s="101"/>
      <c r="E17" s="101"/>
      <c r="F17" s="102"/>
    </row>
    <row r="18" spans="1:8" ht="18.95" customHeight="1">
      <c r="A18" s="100"/>
      <c r="B18" s="101"/>
      <c r="C18" s="101"/>
      <c r="D18" s="101"/>
      <c r="E18" s="101"/>
      <c r="F18" s="102"/>
    </row>
    <row r="19" spans="1:8" ht="18.95" customHeight="1">
      <c r="A19" s="100"/>
      <c r="B19" s="101"/>
      <c r="C19" s="101"/>
      <c r="D19" s="101"/>
      <c r="E19" s="101"/>
      <c r="F19" s="102"/>
    </row>
    <row r="20" spans="1:8" ht="18.95" customHeight="1">
      <c r="A20" s="100"/>
      <c r="B20" s="101"/>
      <c r="C20" s="101"/>
      <c r="D20" s="101"/>
      <c r="E20" s="101"/>
      <c r="F20" s="102"/>
    </row>
    <row r="21" spans="1:8" ht="18.95" customHeight="1">
      <c r="A21" s="100"/>
      <c r="B21" s="101"/>
      <c r="C21" s="101"/>
      <c r="D21" s="101"/>
      <c r="E21" s="101"/>
      <c r="F21" s="102"/>
    </row>
    <row r="22" spans="1:8" ht="18.95" customHeight="1">
      <c r="A22" s="100"/>
      <c r="B22" s="101"/>
      <c r="C22" s="101"/>
      <c r="D22" s="101"/>
      <c r="E22" s="101"/>
      <c r="F22" s="102"/>
    </row>
    <row r="23" spans="1:8" ht="18.95" customHeight="1">
      <c r="A23" s="100"/>
      <c r="B23" s="101"/>
      <c r="C23" s="101"/>
      <c r="D23" s="101"/>
      <c r="E23" s="101"/>
      <c r="F23" s="102"/>
    </row>
    <row r="24" spans="1:8" ht="18.95" customHeight="1">
      <c r="A24" s="100"/>
      <c r="B24" s="101"/>
      <c r="C24" s="101"/>
      <c r="D24" s="101"/>
      <c r="E24" s="101"/>
      <c r="F24" s="102"/>
      <c r="H24" s="124"/>
    </row>
    <row r="25" spans="1:8" ht="18.95" customHeight="1">
      <c r="A25" s="100"/>
      <c r="B25" s="101"/>
      <c r="C25" s="101"/>
      <c r="D25" s="101"/>
      <c r="E25" s="101"/>
      <c r="F25" s="102"/>
    </row>
    <row r="26" spans="1:8" ht="18.95" customHeight="1">
      <c r="A26" s="100"/>
      <c r="B26" s="101"/>
      <c r="C26" s="101"/>
      <c r="D26" s="101"/>
      <c r="E26" s="101"/>
      <c r="F26" s="102"/>
    </row>
    <row r="27" spans="1:8" ht="18.95" customHeight="1">
      <c r="A27" s="100"/>
      <c r="B27" s="101"/>
      <c r="C27" s="101"/>
      <c r="D27" s="101"/>
      <c r="E27" s="101"/>
      <c r="F27" s="102"/>
    </row>
    <row r="28" spans="1:8" ht="18.95" customHeight="1">
      <c r="A28" s="100"/>
      <c r="B28" s="101"/>
      <c r="C28" s="101"/>
      <c r="D28" s="101"/>
      <c r="E28" s="101"/>
      <c r="F28" s="102"/>
    </row>
    <row r="29" spans="1:8" ht="18.95" customHeight="1">
      <c r="A29" s="100"/>
      <c r="B29" s="101"/>
      <c r="C29" s="101"/>
      <c r="D29" s="101"/>
      <c r="E29" s="101"/>
      <c r="F29" s="102"/>
    </row>
    <row r="30" spans="1:8" ht="18.95" customHeight="1">
      <c r="A30" s="100"/>
      <c r="B30" s="101"/>
      <c r="C30" s="101"/>
      <c r="D30" s="101"/>
      <c r="E30" s="101"/>
      <c r="F30" s="102"/>
    </row>
    <row r="31" spans="1:8" ht="18.95" customHeight="1">
      <c r="A31" s="100"/>
      <c r="B31" s="101"/>
      <c r="C31" s="101"/>
      <c r="D31" s="101"/>
      <c r="E31" s="101"/>
      <c r="F31" s="102"/>
    </row>
    <row r="32" spans="1:8" ht="18.95" customHeight="1">
      <c r="A32" s="100"/>
      <c r="B32" s="101"/>
      <c r="C32" s="101"/>
      <c r="D32" s="101"/>
      <c r="E32" s="101"/>
      <c r="F32" s="102"/>
    </row>
    <row r="33" spans="1:6" ht="18.95" customHeight="1">
      <c r="A33" s="100"/>
      <c r="B33" s="101"/>
      <c r="C33" s="101"/>
      <c r="D33" s="101"/>
      <c r="E33" s="101"/>
      <c r="F33" s="102"/>
    </row>
    <row r="34" spans="1:6" ht="18.95" customHeight="1">
      <c r="A34" s="100"/>
      <c r="B34" s="101"/>
      <c r="C34" s="101"/>
      <c r="D34" s="101"/>
      <c r="E34" s="101"/>
      <c r="F34" s="102"/>
    </row>
    <row r="35" spans="1:6" ht="18.95" customHeight="1">
      <c r="A35" s="100"/>
      <c r="B35" s="101"/>
      <c r="C35" s="101"/>
      <c r="D35" s="101"/>
      <c r="E35" s="101"/>
      <c r="F35" s="102"/>
    </row>
    <row r="36" spans="1:6" ht="18.95" customHeight="1">
      <c r="A36" s="100"/>
      <c r="B36" s="101"/>
      <c r="C36" s="101"/>
      <c r="D36" s="101"/>
      <c r="E36" s="101"/>
      <c r="F36" s="102"/>
    </row>
    <row r="37" spans="1:6" ht="18.95" customHeight="1">
      <c r="A37" s="100"/>
      <c r="B37" s="101"/>
      <c r="C37" s="101"/>
      <c r="D37" s="101"/>
      <c r="E37" s="101"/>
      <c r="F37" s="102"/>
    </row>
    <row r="38" spans="1:6" ht="18.95" customHeight="1">
      <c r="A38" s="100"/>
      <c r="B38" s="101"/>
      <c r="C38" s="101"/>
      <c r="D38" s="101"/>
      <c r="E38" s="101"/>
      <c r="F38" s="102"/>
    </row>
    <row r="39" spans="1:6" ht="18.95" customHeight="1">
      <c r="A39" s="109" t="s">
        <v>145</v>
      </c>
      <c r="B39" s="110" t="s">
        <v>146</v>
      </c>
      <c r="C39" s="110" t="str">
        <f>'Performance Data Sheet'!C10</f>
        <v>-</v>
      </c>
      <c r="D39" s="101"/>
      <c r="E39" s="106" t="s">
        <v>147</v>
      </c>
      <c r="F39" s="111"/>
    </row>
    <row r="40" spans="1:6" ht="18.95" customHeight="1">
      <c r="A40" s="100"/>
      <c r="B40" s="110"/>
      <c r="C40" s="110"/>
      <c r="D40" s="101"/>
      <c r="E40" s="101"/>
      <c r="F40" s="102"/>
    </row>
    <row r="41" spans="1:6" ht="18.95" customHeight="1">
      <c r="A41" s="100"/>
      <c r="B41" s="110"/>
      <c r="C41" s="110"/>
      <c r="D41" s="101"/>
      <c r="E41" s="101"/>
      <c r="F41" s="102"/>
    </row>
    <row r="42" spans="1:6" ht="18.95" customHeight="1">
      <c r="A42" s="100"/>
      <c r="B42" s="101"/>
      <c r="C42" s="101"/>
      <c r="D42" s="101"/>
      <c r="E42" s="101"/>
      <c r="F42" s="102"/>
    </row>
    <row r="43" spans="1:6" ht="18.95" customHeight="1">
      <c r="A43" s="112"/>
      <c r="B43" s="110"/>
      <c r="C43" s="113" t="s">
        <v>148</v>
      </c>
      <c r="D43" s="114" t="str">
        <f>'Performance Data Sheet'!K42</f>
        <v>Zichao Xie</v>
      </c>
      <c r="E43" s="113" t="s">
        <v>149</v>
      </c>
      <c r="F43" s="114"/>
    </row>
    <row r="44" spans="1:6" ht="15" customHeight="1"/>
    <row r="45" spans="1:6" ht="15" customHeight="1"/>
    <row r="46" spans="1:6" ht="15" customHeight="1"/>
    <row r="47" spans="1:6" ht="15" customHeight="1"/>
    <row r="48" spans="1:6" ht="15" customHeight="1"/>
    <row r="49" spans="1:6" ht="15" customHeight="1"/>
    <row r="50" spans="1:6" ht="15" customHeight="1"/>
    <row r="51" spans="1:6" ht="15" customHeight="1"/>
    <row r="52" spans="1:6" ht="15" customHeight="1" thickBot="1"/>
    <row r="53" spans="1:6" ht="15" customHeight="1" thickBot="1">
      <c r="A53" s="125" t="s">
        <v>150</v>
      </c>
      <c r="B53" s="125" t="s">
        <v>160</v>
      </c>
      <c r="C53" s="125" t="s">
        <v>161</v>
      </c>
      <c r="D53" s="125" t="s">
        <v>162</v>
      </c>
      <c r="E53" s="125" t="s">
        <v>163</v>
      </c>
      <c r="F53" s="126" t="s">
        <v>164</v>
      </c>
    </row>
    <row r="54" spans="1:6" ht="15" customHeight="1">
      <c r="A54" s="127">
        <v>0</v>
      </c>
      <c r="B54" s="128"/>
      <c r="C54" s="129"/>
      <c r="D54" s="129">
        <v>18.332451235473265</v>
      </c>
      <c r="E54" s="129">
        <v>100</v>
      </c>
      <c r="F54" s="130">
        <f>9330/10000</f>
        <v>0.93300000000000005</v>
      </c>
    </row>
    <row r="55" spans="1:6" ht="15" customHeight="1">
      <c r="A55" s="131">
        <v>25</v>
      </c>
      <c r="B55" s="132">
        <v>85.411460876464844</v>
      </c>
      <c r="C55" s="133">
        <v>56.454250335693359</v>
      </c>
      <c r="D55" s="133">
        <v>25.130697250366211</v>
      </c>
      <c r="E55" s="133">
        <v>69.19772758337038</v>
      </c>
      <c r="F55" s="134">
        <v>9.8289939644072408</v>
      </c>
    </row>
    <row r="56" spans="1:6" ht="15" customHeight="1">
      <c r="A56" s="131">
        <v>50</v>
      </c>
      <c r="B56" s="132">
        <v>91.649429321289063</v>
      </c>
      <c r="C56" s="133">
        <v>76.265098571777344</v>
      </c>
      <c r="D56" s="133">
        <v>34.673027038574219</v>
      </c>
      <c r="E56" s="133">
        <v>58.866101094005899</v>
      </c>
      <c r="F56" s="134">
        <v>18.319999012316089</v>
      </c>
    </row>
    <row r="57" spans="1:6">
      <c r="A57" s="131">
        <v>75</v>
      </c>
      <c r="B57" s="132">
        <v>93.773727416992188</v>
      </c>
      <c r="C57" s="133">
        <v>83.521492004394531</v>
      </c>
      <c r="D57" s="133">
        <v>46.415084838867188</v>
      </c>
      <c r="E57" s="133">
        <v>48.323519173264714</v>
      </c>
      <c r="F57" s="134">
        <v>26.857480909913008</v>
      </c>
    </row>
    <row r="58" spans="1:6">
      <c r="A58" s="131">
        <v>100</v>
      </c>
      <c r="B58" s="132">
        <v>94.744537353515625</v>
      </c>
      <c r="C58" s="133">
        <v>86.402099609375</v>
      </c>
      <c r="D58" s="133">
        <v>59.210506439208984</v>
      </c>
      <c r="E58" s="133">
        <v>37.578915250430327</v>
      </c>
      <c r="F58" s="134">
        <v>35.44304089066501</v>
      </c>
    </row>
    <row r="59" spans="1:6" ht="13.5" thickBot="1">
      <c r="A59" s="135">
        <v>125</v>
      </c>
      <c r="B59" s="136">
        <v>95.228584289550781</v>
      </c>
      <c r="C59" s="137">
        <v>87.474609375</v>
      </c>
      <c r="D59" s="137">
        <v>72.734085083007813</v>
      </c>
      <c r="E59" s="137">
        <v>26.521485529593818</v>
      </c>
      <c r="F59" s="138">
        <v>44.078604877853685</v>
      </c>
    </row>
    <row r="60" spans="1:6">
      <c r="A60" s="139"/>
      <c r="B60" s="140"/>
      <c r="C60" s="140"/>
    </row>
    <row r="61" spans="1:6">
      <c r="A61" s="139"/>
      <c r="B61" s="140"/>
      <c r="C61" s="140"/>
    </row>
    <row r="62" spans="1:6">
      <c r="A62" s="139"/>
      <c r="B62" s="140"/>
      <c r="C62" s="140"/>
    </row>
    <row r="63" spans="1:6">
      <c r="A63" s="139"/>
      <c r="B63" s="140"/>
      <c r="C63" s="140"/>
    </row>
    <row r="64" spans="1:6">
      <c r="A64" s="139"/>
      <c r="B64" s="140"/>
      <c r="C64" s="140"/>
    </row>
    <row r="65" spans="1:3">
      <c r="A65" s="139"/>
      <c r="B65" s="140"/>
      <c r="C65" s="140"/>
    </row>
    <row r="66" spans="1:3">
      <c r="A66" s="139"/>
      <c r="B66" s="140"/>
      <c r="C66" s="140"/>
    </row>
    <row r="67" spans="1:3">
      <c r="A67" s="141"/>
      <c r="B67" s="140"/>
      <c r="C67" s="140"/>
    </row>
  </sheetData>
  <mergeCells count="2">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783F8-B423-4857-B8BF-5FCAB4520296}">
  <sheetPr>
    <pageSetUpPr fitToPage="1"/>
  </sheetPr>
  <dimension ref="A1:H67"/>
  <sheetViews>
    <sheetView topLeftCell="A33" workbookViewId="0">
      <selection activeCell="E15" sqref="E15"/>
    </sheetView>
  </sheetViews>
  <sheetFormatPr defaultRowHeight="12.75"/>
  <cols>
    <col min="1" max="6" width="16.7109375" style="95" customWidth="1"/>
    <col min="7" max="16384" width="9.140625" style="95"/>
  </cols>
  <sheetData>
    <row r="1" spans="1:6" ht="18.95" customHeight="1">
      <c r="A1" s="92"/>
      <c r="B1" s="93"/>
      <c r="C1" s="93"/>
      <c r="D1" s="93"/>
      <c r="E1" s="93"/>
      <c r="F1" s="94"/>
    </row>
    <row r="2" spans="1:6" ht="26.1" customHeight="1">
      <c r="A2" s="96" t="s">
        <v>0</v>
      </c>
      <c r="B2" s="97"/>
      <c r="C2" s="97"/>
      <c r="D2" s="97"/>
      <c r="E2" s="97"/>
      <c r="F2" s="98"/>
    </row>
    <row r="3" spans="1:6" ht="18.95" customHeight="1">
      <c r="A3" s="99" t="s">
        <v>159</v>
      </c>
      <c r="B3" s="97"/>
      <c r="C3" s="97"/>
      <c r="D3" s="97"/>
      <c r="E3" s="97"/>
      <c r="F3" s="98"/>
    </row>
    <row r="4" spans="1:6" ht="18.95" customHeight="1">
      <c r="A4" s="655" t="s">
        <v>152</v>
      </c>
      <c r="B4" s="656"/>
      <c r="C4" s="656"/>
      <c r="D4" s="656"/>
      <c r="E4" s="656"/>
      <c r="F4" s="657"/>
    </row>
    <row r="5" spans="1:6" ht="18.95" customHeight="1">
      <c r="A5" s="100"/>
      <c r="B5" s="101"/>
      <c r="C5" s="101"/>
      <c r="D5" s="101"/>
      <c r="E5" s="101"/>
      <c r="F5" s="102"/>
    </row>
    <row r="6" spans="1:6" ht="18.95" customHeight="1">
      <c r="A6" s="103" t="s">
        <v>117</v>
      </c>
      <c r="B6" s="649" t="str">
        <f>'Performance Data Sheet'!C17</f>
        <v>4503FTAL11F-A</v>
      </c>
      <c r="C6" s="650"/>
      <c r="D6" s="651"/>
      <c r="E6" s="103" t="s">
        <v>118</v>
      </c>
      <c r="F6" s="104" t="s">
        <v>718</v>
      </c>
    </row>
    <row r="7" spans="1:6" ht="18.95" customHeight="1">
      <c r="A7" s="103" t="s">
        <v>119</v>
      </c>
      <c r="B7" s="104" t="str">
        <f>'Performance Data Sheet'!F14</f>
        <v>TEFC</v>
      </c>
      <c r="C7" s="103" t="s">
        <v>120</v>
      </c>
      <c r="D7" s="104" t="s">
        <v>717</v>
      </c>
      <c r="E7" s="103" t="s">
        <v>121</v>
      </c>
      <c r="F7" s="104" t="str">
        <f>'Performance Data Sheet'!C14</f>
        <v>5011USS</v>
      </c>
    </row>
    <row r="8" spans="1:6" ht="18.95" customHeight="1">
      <c r="A8" s="103" t="s">
        <v>122</v>
      </c>
      <c r="B8" s="104">
        <v>2</v>
      </c>
      <c r="C8" s="103" t="s">
        <v>123</v>
      </c>
      <c r="D8" s="104" t="s">
        <v>124</v>
      </c>
      <c r="E8" s="103" t="s">
        <v>125</v>
      </c>
      <c r="F8" s="104" t="str">
        <f>'Performance Data Sheet'!M15</f>
        <v>F</v>
      </c>
    </row>
    <row r="9" spans="1:6" ht="18.95" customHeight="1">
      <c r="A9" s="103" t="s">
        <v>126</v>
      </c>
      <c r="B9" s="104">
        <f>'Performance Data Sheet'!C13</f>
        <v>450</v>
      </c>
      <c r="C9" s="103" t="s">
        <v>127</v>
      </c>
      <c r="D9" s="104" t="s">
        <v>128</v>
      </c>
      <c r="E9" s="103" t="s">
        <v>129</v>
      </c>
      <c r="F9" s="105">
        <f>'Performance Data Sheet'!K44</f>
        <v>42747</v>
      </c>
    </row>
    <row r="10" spans="1:6" ht="18.95" customHeight="1">
      <c r="A10" s="103" t="s">
        <v>31</v>
      </c>
      <c r="B10" s="104">
        <f>'Performance Data Sheet'!M14</f>
        <v>3575</v>
      </c>
      <c r="C10" s="103" t="s">
        <v>130</v>
      </c>
      <c r="D10" s="104" t="s">
        <v>720</v>
      </c>
      <c r="E10" s="103" t="s">
        <v>132</v>
      </c>
      <c r="F10" s="104" t="s">
        <v>133</v>
      </c>
    </row>
    <row r="11" spans="1:6" ht="18.95" customHeight="1">
      <c r="A11" s="100"/>
      <c r="B11" s="101"/>
      <c r="C11" s="101"/>
      <c r="D11" s="101"/>
      <c r="E11" s="101"/>
      <c r="F11" s="102"/>
    </row>
    <row r="12" spans="1:6" ht="18.95" customHeight="1">
      <c r="A12" s="100"/>
      <c r="B12" s="106" t="s">
        <v>134</v>
      </c>
      <c r="C12" s="107" t="s">
        <v>719</v>
      </c>
      <c r="D12" s="106" t="s">
        <v>135</v>
      </c>
      <c r="E12" s="107" t="s">
        <v>136</v>
      </c>
      <c r="F12" s="102"/>
    </row>
    <row r="13" spans="1:6" ht="18.95" customHeight="1">
      <c r="A13" s="100"/>
      <c r="B13" s="106" t="s">
        <v>137</v>
      </c>
      <c r="C13" s="108">
        <v>2</v>
      </c>
      <c r="D13" s="106" t="s">
        <v>138</v>
      </c>
      <c r="E13" s="107" t="s">
        <v>139</v>
      </c>
      <c r="F13" s="102"/>
    </row>
    <row r="14" spans="1:6" ht="18.95" customHeight="1">
      <c r="A14" s="100"/>
      <c r="B14" s="106" t="s">
        <v>140</v>
      </c>
      <c r="C14" s="108">
        <v>2.5</v>
      </c>
      <c r="D14" s="106" t="s">
        <v>141</v>
      </c>
      <c r="E14" s="107" t="s">
        <v>721</v>
      </c>
      <c r="F14" s="102"/>
    </row>
    <row r="15" spans="1:6" ht="18.95" customHeight="1">
      <c r="A15" s="100"/>
      <c r="B15" s="106" t="s">
        <v>143</v>
      </c>
      <c r="C15" s="107" t="s">
        <v>144</v>
      </c>
      <c r="D15" s="101"/>
      <c r="E15" s="101"/>
      <c r="F15" s="102"/>
    </row>
    <row r="16" spans="1:6" ht="18.95" customHeight="1">
      <c r="A16" s="100"/>
      <c r="B16" s="101"/>
      <c r="C16" s="101"/>
      <c r="D16" s="101"/>
      <c r="E16" s="101"/>
      <c r="F16" s="102"/>
    </row>
    <row r="17" spans="1:8" ht="18.95" customHeight="1">
      <c r="A17" s="100"/>
      <c r="B17" s="101"/>
      <c r="C17" s="101"/>
      <c r="D17" s="101"/>
      <c r="E17" s="101"/>
      <c r="F17" s="102"/>
    </row>
    <row r="18" spans="1:8" ht="18.95" customHeight="1">
      <c r="A18" s="100"/>
      <c r="B18" s="101"/>
      <c r="C18" s="101"/>
      <c r="D18" s="101"/>
      <c r="E18" s="101"/>
      <c r="F18" s="102"/>
    </row>
    <row r="19" spans="1:8" ht="18.95" customHeight="1">
      <c r="A19" s="100"/>
      <c r="B19" s="101"/>
      <c r="C19" s="101"/>
      <c r="D19" s="101"/>
      <c r="E19" s="101"/>
      <c r="F19" s="102"/>
    </row>
    <row r="20" spans="1:8" ht="18.95" customHeight="1">
      <c r="A20" s="100"/>
      <c r="B20" s="101"/>
      <c r="C20" s="101"/>
      <c r="D20" s="101"/>
      <c r="E20" s="101"/>
      <c r="F20" s="102"/>
    </row>
    <row r="21" spans="1:8" ht="18.95" customHeight="1">
      <c r="A21" s="100"/>
      <c r="B21" s="101"/>
      <c r="C21" s="101"/>
      <c r="D21" s="101"/>
      <c r="E21" s="101"/>
      <c r="F21" s="102"/>
    </row>
    <row r="22" spans="1:8" ht="18.95" customHeight="1">
      <c r="A22" s="100"/>
      <c r="B22" s="101"/>
      <c r="C22" s="101"/>
      <c r="D22" s="101"/>
      <c r="E22" s="101"/>
      <c r="F22" s="102"/>
    </row>
    <row r="23" spans="1:8" ht="18.95" customHeight="1">
      <c r="A23" s="100"/>
      <c r="B23" s="101"/>
      <c r="C23" s="101"/>
      <c r="D23" s="101"/>
      <c r="E23" s="101"/>
      <c r="F23" s="102"/>
    </row>
    <row r="24" spans="1:8" ht="18.95" customHeight="1">
      <c r="A24" s="100"/>
      <c r="B24" s="101"/>
      <c r="C24" s="101"/>
      <c r="D24" s="101"/>
      <c r="E24" s="101"/>
      <c r="F24" s="102"/>
      <c r="H24" s="124"/>
    </row>
    <row r="25" spans="1:8" ht="18.95" customHeight="1">
      <c r="A25" s="100"/>
      <c r="B25" s="101"/>
      <c r="C25" s="101"/>
      <c r="D25" s="101"/>
      <c r="E25" s="101"/>
      <c r="F25" s="102"/>
    </row>
    <row r="26" spans="1:8" ht="18.95" customHeight="1">
      <c r="A26" s="100"/>
      <c r="B26" s="101"/>
      <c r="C26" s="101"/>
      <c r="D26" s="101"/>
      <c r="E26" s="101"/>
      <c r="F26" s="102"/>
    </row>
    <row r="27" spans="1:8" ht="18.95" customHeight="1">
      <c r="A27" s="100"/>
      <c r="B27" s="101"/>
      <c r="C27" s="101"/>
      <c r="D27" s="101"/>
      <c r="E27" s="101"/>
      <c r="F27" s="102"/>
    </row>
    <row r="28" spans="1:8" ht="18.95" customHeight="1">
      <c r="A28" s="100"/>
      <c r="B28" s="101"/>
      <c r="C28" s="101"/>
      <c r="D28" s="101"/>
      <c r="E28" s="101"/>
      <c r="F28" s="102"/>
    </row>
    <row r="29" spans="1:8" ht="18.95" customHeight="1">
      <c r="A29" s="100"/>
      <c r="B29" s="101"/>
      <c r="C29" s="101"/>
      <c r="D29" s="101"/>
      <c r="E29" s="101"/>
      <c r="F29" s="102"/>
    </row>
    <row r="30" spans="1:8" ht="18.95" customHeight="1">
      <c r="A30" s="100"/>
      <c r="B30" s="101"/>
      <c r="C30" s="101"/>
      <c r="D30" s="101"/>
      <c r="E30" s="101"/>
      <c r="F30" s="102"/>
    </row>
    <row r="31" spans="1:8" ht="18.95" customHeight="1">
      <c r="A31" s="100"/>
      <c r="B31" s="101"/>
      <c r="C31" s="101"/>
      <c r="D31" s="101"/>
      <c r="E31" s="101"/>
      <c r="F31" s="102"/>
    </row>
    <row r="32" spans="1:8" ht="18.95" customHeight="1">
      <c r="A32" s="100"/>
      <c r="B32" s="101"/>
      <c r="C32" s="101"/>
      <c r="D32" s="101"/>
      <c r="E32" s="101"/>
      <c r="F32" s="102"/>
    </row>
    <row r="33" spans="1:6" ht="18.95" customHeight="1">
      <c r="A33" s="100"/>
      <c r="B33" s="101"/>
      <c r="C33" s="101"/>
      <c r="D33" s="101"/>
      <c r="E33" s="101"/>
      <c r="F33" s="102"/>
    </row>
    <row r="34" spans="1:6" ht="18.95" customHeight="1">
      <c r="A34" s="100"/>
      <c r="B34" s="101"/>
      <c r="C34" s="101"/>
      <c r="D34" s="101"/>
      <c r="E34" s="101"/>
      <c r="F34" s="102"/>
    </row>
    <row r="35" spans="1:6" ht="18.95" customHeight="1">
      <c r="A35" s="100"/>
      <c r="B35" s="101"/>
      <c r="C35" s="101"/>
      <c r="D35" s="101"/>
      <c r="E35" s="101"/>
      <c r="F35" s="102"/>
    </row>
    <row r="36" spans="1:6" ht="18.95" customHeight="1">
      <c r="A36" s="100"/>
      <c r="B36" s="101"/>
      <c r="C36" s="101"/>
      <c r="D36" s="101"/>
      <c r="E36" s="101"/>
      <c r="F36" s="102"/>
    </row>
    <row r="37" spans="1:6" ht="18.95" customHeight="1">
      <c r="A37" s="100"/>
      <c r="B37" s="101"/>
      <c r="C37" s="101"/>
      <c r="D37" s="101"/>
      <c r="E37" s="101"/>
      <c r="F37" s="102"/>
    </row>
    <row r="38" spans="1:6" ht="18.95" customHeight="1">
      <c r="A38" s="100"/>
      <c r="B38" s="101"/>
      <c r="C38" s="101"/>
      <c r="D38" s="101"/>
      <c r="E38" s="101"/>
      <c r="F38" s="102"/>
    </row>
    <row r="39" spans="1:6" ht="18.95" customHeight="1">
      <c r="A39" s="109" t="s">
        <v>145</v>
      </c>
      <c r="B39" s="110" t="s">
        <v>146</v>
      </c>
      <c r="C39" s="110" t="str">
        <f>'Performance Data Sheet'!C10</f>
        <v>-</v>
      </c>
      <c r="D39" s="101"/>
      <c r="E39" s="106" t="s">
        <v>147</v>
      </c>
      <c r="F39" s="111"/>
    </row>
    <row r="40" spans="1:6" ht="18.95" customHeight="1">
      <c r="A40" s="100"/>
      <c r="B40" s="110"/>
      <c r="C40" s="110"/>
      <c r="D40" s="101"/>
      <c r="E40" s="101"/>
      <c r="F40" s="102"/>
    </row>
    <row r="41" spans="1:6" ht="18.95" customHeight="1">
      <c r="A41" s="100"/>
      <c r="B41" s="110"/>
      <c r="C41" s="110"/>
      <c r="D41" s="101"/>
      <c r="E41" s="101"/>
      <c r="F41" s="102"/>
    </row>
    <row r="42" spans="1:6" ht="18.95" customHeight="1">
      <c r="A42" s="100"/>
      <c r="B42" s="101"/>
      <c r="C42" s="101"/>
      <c r="D42" s="101"/>
      <c r="E42" s="101"/>
      <c r="F42" s="102"/>
    </row>
    <row r="43" spans="1:6" ht="18.95" customHeight="1">
      <c r="A43" s="112"/>
      <c r="B43" s="110"/>
      <c r="C43" s="113" t="s">
        <v>148</v>
      </c>
      <c r="D43" s="114" t="str">
        <f>'Performance Data Sheet'!K42</f>
        <v>Zichao Xie</v>
      </c>
      <c r="E43" s="113" t="s">
        <v>149</v>
      </c>
      <c r="F43" s="114"/>
    </row>
    <row r="44" spans="1:6" ht="15" customHeight="1"/>
    <row r="45" spans="1:6" ht="15" customHeight="1"/>
    <row r="46" spans="1:6" ht="15" customHeight="1"/>
    <row r="47" spans="1:6" ht="15" customHeight="1"/>
    <row r="48" spans="1:6" ht="15" customHeight="1"/>
    <row r="49" spans="1:6" ht="15" customHeight="1"/>
    <row r="50" spans="1:6" ht="15" customHeight="1"/>
    <row r="51" spans="1:6" ht="15" customHeight="1"/>
    <row r="52" spans="1:6" ht="15" customHeight="1" thickBot="1"/>
    <row r="53" spans="1:6" ht="15" customHeight="1" thickBot="1">
      <c r="A53" s="125" t="s">
        <v>150</v>
      </c>
      <c r="B53" s="125" t="s">
        <v>160</v>
      </c>
      <c r="C53" s="125" t="s">
        <v>161</v>
      </c>
      <c r="D53" s="125" t="s">
        <v>162</v>
      </c>
      <c r="E53" s="125" t="s">
        <v>163</v>
      </c>
      <c r="F53" s="126" t="s">
        <v>164</v>
      </c>
    </row>
    <row r="54" spans="1:6" ht="15" customHeight="1">
      <c r="A54" s="127">
        <v>0</v>
      </c>
      <c r="B54" s="128"/>
      <c r="C54" s="129"/>
      <c r="D54" s="129">
        <v>31.75273696711853</v>
      </c>
      <c r="E54" s="129">
        <v>100</v>
      </c>
      <c r="F54" s="130">
        <f>9330/10000</f>
        <v>0.93300000000000005</v>
      </c>
    </row>
    <row r="55" spans="1:6" ht="15" customHeight="1">
      <c r="A55" s="131">
        <v>25</v>
      </c>
      <c r="B55" s="132">
        <v>85.411460876464844</v>
      </c>
      <c r="C55" s="133">
        <v>56.454250335693359</v>
      </c>
      <c r="D55" s="133">
        <v>43.527644467265759</v>
      </c>
      <c r="E55" s="133">
        <v>69.19772758337038</v>
      </c>
      <c r="F55" s="134">
        <v>9.8289939644072408</v>
      </c>
    </row>
    <row r="56" spans="1:6" ht="15" customHeight="1">
      <c r="A56" s="131">
        <v>50</v>
      </c>
      <c r="B56" s="132">
        <v>91.649429321289063</v>
      </c>
      <c r="C56" s="133">
        <v>76.265098571777344</v>
      </c>
      <c r="D56" s="133">
        <v>60.05544448301999</v>
      </c>
      <c r="E56" s="133">
        <v>58.866101094005899</v>
      </c>
      <c r="F56" s="134">
        <v>18.319999012316089</v>
      </c>
    </row>
    <row r="57" spans="1:6">
      <c r="A57" s="131">
        <v>75</v>
      </c>
      <c r="B57" s="132">
        <v>93.773727416992188</v>
      </c>
      <c r="C57" s="133">
        <v>83.521492004394531</v>
      </c>
      <c r="D57" s="133">
        <v>80.393285178537866</v>
      </c>
      <c r="E57" s="133">
        <v>48.323519173264714</v>
      </c>
      <c r="F57" s="134">
        <v>26.857480909913008</v>
      </c>
    </row>
    <row r="58" spans="1:6">
      <c r="A58" s="131">
        <v>100</v>
      </c>
      <c r="B58" s="132">
        <v>94.744537353515625</v>
      </c>
      <c r="C58" s="133">
        <v>86.402099609375</v>
      </c>
      <c r="D58" s="133">
        <v>102.55560549459412</v>
      </c>
      <c r="E58" s="133">
        <v>37.578915250430327</v>
      </c>
      <c r="F58" s="134">
        <v>35.44304089066501</v>
      </c>
    </row>
    <row r="59" spans="1:6" ht="13.5" thickBot="1">
      <c r="A59" s="135">
        <v>125</v>
      </c>
      <c r="B59" s="136">
        <v>95.228584289550781</v>
      </c>
      <c r="C59" s="137">
        <v>87.474609375</v>
      </c>
      <c r="D59" s="137">
        <v>125.9791308058071</v>
      </c>
      <c r="E59" s="137">
        <v>26.521485529593818</v>
      </c>
      <c r="F59" s="138">
        <v>44.078604877853685</v>
      </c>
    </row>
    <row r="60" spans="1:6">
      <c r="A60" s="139"/>
      <c r="B60" s="140"/>
      <c r="C60" s="140"/>
    </row>
    <row r="61" spans="1:6">
      <c r="A61" s="139"/>
      <c r="B61" s="140"/>
      <c r="C61" s="140"/>
    </row>
    <row r="62" spans="1:6">
      <c r="A62" s="139"/>
      <c r="B62" s="140"/>
      <c r="C62" s="140"/>
    </row>
    <row r="63" spans="1:6">
      <c r="A63" s="139"/>
      <c r="B63" s="140"/>
      <c r="C63" s="140"/>
    </row>
    <row r="64" spans="1:6">
      <c r="A64" s="139"/>
      <c r="B64" s="140"/>
      <c r="C64" s="140"/>
    </row>
    <row r="65" spans="1:3">
      <c r="A65" s="139"/>
      <c r="B65" s="140"/>
      <c r="C65" s="140"/>
    </row>
    <row r="66" spans="1:3">
      <c r="A66" s="139"/>
      <c r="B66" s="140"/>
      <c r="C66" s="140"/>
    </row>
    <row r="67" spans="1:3">
      <c r="A67" s="141"/>
      <c r="B67" s="140"/>
      <c r="C67" s="140"/>
    </row>
  </sheetData>
  <mergeCells count="2">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11</vt:i4>
      </vt:variant>
    </vt:vector>
  </HeadingPairs>
  <TitlesOfParts>
    <vt:vector size="21" baseType="lpstr">
      <vt:lpstr>DesignSheet</vt:lpstr>
      <vt:lpstr>Data Sheet</vt:lpstr>
      <vt:lpstr>LoginSheet</vt:lpstr>
      <vt:lpstr>Form</vt:lpstr>
      <vt:lpstr>StallTime</vt:lpstr>
      <vt:lpstr>Performance Data Sheet</vt:lpstr>
      <vt:lpstr>STCurve</vt:lpstr>
      <vt:lpstr>Thermdam</vt:lpstr>
      <vt:lpstr>Performance 4000V</vt:lpstr>
      <vt:lpstr>Performance 2300V</vt:lpstr>
      <vt:lpstr>'Data Sheet'!Print_Area</vt:lpstr>
      <vt:lpstr>DesignSheet!Print_Area</vt:lpstr>
      <vt:lpstr>Form!Print_Area</vt:lpstr>
      <vt:lpstr>LoginSheet!Print_Area</vt:lpstr>
      <vt:lpstr>'Performance 2300V'!Print_Area</vt:lpstr>
      <vt:lpstr>'Performance 4000V'!Print_Area</vt:lpstr>
      <vt:lpstr>'Performance Data Sheet'!Print_Area</vt:lpstr>
      <vt:lpstr>StallTime!Print_Area</vt:lpstr>
      <vt:lpstr>STCurve!Print_Area</vt:lpstr>
      <vt:lpstr>Thermdam!Print_Area</vt:lpstr>
      <vt:lpstr>Print_Area_MI</vt:lpstr>
    </vt:vector>
  </TitlesOfParts>
  <Company>Toshiba International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 Zichao</dc:creator>
  <cp:lastModifiedBy>Rodriguez, Jerry (TIC)</cp:lastModifiedBy>
  <dcterms:created xsi:type="dcterms:W3CDTF">2018-03-05T21:06:49Z</dcterms:created>
  <dcterms:modified xsi:type="dcterms:W3CDTF">2025-09-30T14:17:31Z</dcterms:modified>
</cp:coreProperties>
</file>