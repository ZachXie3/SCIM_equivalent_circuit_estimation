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V:\ELECTRICAL DESIGN\Design Database\TIC\Form Wound\2 Pole\5011 TEFC\RF2400\"/>
    </mc:Choice>
  </mc:AlternateContent>
  <xr:revisionPtr revIDLastSave="0" documentId="13_ncr:1_{F1FB1346-20FD-48CA-BCEC-CABBEFE817BA}" xr6:coauthVersionLast="47" xr6:coauthVersionMax="47" xr10:uidLastSave="{00000000-0000-0000-0000-000000000000}"/>
  <bookViews>
    <workbookView xWindow="-38235" yWindow="-7710" windowWidth="21360" windowHeight="16605" tabRatio="754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5" r:id="rId4"/>
    <sheet name="Form" sheetId="10" r:id="rId5"/>
    <sheet name="Performance Data Sheet" sheetId="9" r:id="rId6"/>
    <sheet name="STCurve" sheetId="6" r:id="rId7"/>
    <sheet name="Thermdam" sheetId="7" r:id="rId8"/>
    <sheet name="Performance 4000V" sheetId="8" r:id="rId9"/>
    <sheet name="Performance 2300v" sheetId="11" r:id="rId10"/>
    <sheet name="Rev. 1" sheetId="12" r:id="rId11"/>
    <sheet name="PERFORMANCE SPEC" sheetId="13" r:id="rId12"/>
  </sheets>
  <externalReferences>
    <externalReference r:id="rId13"/>
  </externalReferences>
  <definedNames>
    <definedName name="_Regression_Int" localSheetId="5" hidden="1">1</definedName>
    <definedName name="_Regression_Int" localSheetId="11" hidden="1">1</definedName>
    <definedName name="_Regression_Int" localSheetId="10" hidden="1">1</definedName>
    <definedName name="_xlnm.Print_Area" localSheetId="1">'Data Sheet'!$A$1:$K$46</definedName>
    <definedName name="_xlnm.Print_Area" localSheetId="0">DesignSheet!$A$1:$J$69</definedName>
    <definedName name="_xlnm.Print_Area" localSheetId="4">Form!$A$1:$F$39</definedName>
    <definedName name="_xlnm.Print_Area" localSheetId="2">LoginSheet!$A$1:$N$79</definedName>
    <definedName name="_xlnm.Print_Area" localSheetId="9">'Performance 2300v'!$A$1:$F$43</definedName>
    <definedName name="_xlnm.Print_Area" localSheetId="8">'Performance 4000V'!$A$1:$F$43</definedName>
    <definedName name="_xlnm.Print_Area" localSheetId="5">'Performance Data Sheet'!$A$1:$M$44</definedName>
    <definedName name="_xlnm.Print_Area" localSheetId="11">'PERFORMANCE SPEC'!$A$1:$M$54</definedName>
    <definedName name="_xlnm.Print_Area" localSheetId="10">'Rev. 1'!$A$1:$M$44</definedName>
    <definedName name="_xlnm.Print_Area" localSheetId="3">StallTime!$A$1:$G$40</definedName>
    <definedName name="_xlnm.Print_Area" localSheetId="6">STCurve!$A$1:$F$43</definedName>
    <definedName name="_xlnm.Print_Area" localSheetId="7">Thermdam!$A$1:$F$43</definedName>
    <definedName name="Print_Area_MI" localSheetId="11">'PERFORMANCE SPEC'!$A$10:$N$18</definedName>
    <definedName name="Print_Area_MI" localSheetId="10">'Rev. 1'!$A$8:$N$45</definedName>
    <definedName name="Print_Area_MI">'Performance Data Sheet'!$A$10:$N$42</definedName>
    <definedName name="Z_852987ED_B4F5_11D1_ABEC_0000832EB49E_.wvu.PrintArea" localSheetId="9" hidden="1">'Performance 2300v'!$A$1:$F$43</definedName>
    <definedName name="Z_852987ED_B4F5_11D1_ABEC_0000832EB49E_.wvu.PrintArea" localSheetId="8" hidden="1">'Performance 4000V'!$A$1:$F$43</definedName>
    <definedName name="Z_852987ED_B4F5_11D1_ABEC_0000832EB49E_.wvu.PrintArea" localSheetId="6" hidden="1">STCurve!$A$1:$F$43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2" l="1"/>
  <c r="F6" i="6" l="1"/>
  <c r="F54" i="11"/>
  <c r="D43" i="11"/>
  <c r="F39" i="11"/>
  <c r="C39" i="11"/>
  <c r="C15" i="11"/>
  <c r="C13" i="11"/>
  <c r="B10" i="11"/>
  <c r="F9" i="11"/>
  <c r="B9" i="11"/>
  <c r="F8" i="11"/>
  <c r="F7" i="11"/>
  <c r="B7" i="11"/>
  <c r="B6" i="11"/>
  <c r="F54" i="8" l="1"/>
  <c r="E81" i="7"/>
  <c r="E80" i="7"/>
  <c r="D43" i="8"/>
  <c r="D43" i="7"/>
  <c r="D43" i="6"/>
  <c r="C39" i="8"/>
  <c r="C39" i="7"/>
  <c r="C39" i="6"/>
  <c r="C15" i="8"/>
  <c r="C15" i="7"/>
  <c r="C15" i="6"/>
  <c r="C13" i="8"/>
  <c r="C13" i="7"/>
  <c r="C13" i="6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7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A69" i="7"/>
  <c r="A70" i="7" s="1"/>
  <c r="E68" i="7"/>
  <c r="D66" i="7"/>
  <c r="F50" i="7"/>
  <c r="M28" i="3"/>
  <c r="M52" i="2"/>
  <c r="L41" i="2"/>
  <c r="M40" i="2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M53" i="2" l="1"/>
  <c r="N38" i="2"/>
  <c r="B70" i="7"/>
  <c r="A71" i="7"/>
  <c r="C70" i="7"/>
  <c r="B69" i="7"/>
  <c r="B75" i="7" s="1"/>
  <c r="C69" i="7"/>
  <c r="N41" i="2"/>
  <c r="N40" i="2"/>
  <c r="N39" i="2"/>
  <c r="C71" i="7" l="1"/>
  <c r="B71" i="7"/>
  <c r="A72" i="7"/>
  <c r="A73" i="7" l="1"/>
  <c r="B73" i="7" s="1"/>
  <c r="B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<sst xmlns="http://schemas.openxmlformats.org/spreadsheetml/2006/main" count="1213" uniqueCount="834">
  <si>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</si>
  <si>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</si>
  <si>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</si>
  <si>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</si>
  <si>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</si>
  <si>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</si>
  <si>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</si>
  <si>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</si>
  <si>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</si>
  <si>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</si>
  <si>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</si>
  <si>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</si>
  <si>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</si>
  <si>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</si>
  <si>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</si>
  <si>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</si>
  <si>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</si>
  <si>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</si>
  <si>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</si>
  <si>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</si>
  <si>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</si>
  <si>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</si>
  <si>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</si>
  <si>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</si>
  <si>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</si>
  <si>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</si>
  <si>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</si>
  <si>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</si>
  <si>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</si>
  <si>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</si>
  <si>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</si>
  <si>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</si>
  <si>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</si>
  <si>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</si>
  <si>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</si>
  <si>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</si>
  <si>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</si>
  <si>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</si>
  <si>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</si>
  <si>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</si>
  <si>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</si>
  <si>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</si>
  <si>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</si>
  <si>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</si>
  <si>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</si>
  <si>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</si>
  <si>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</si>
  <si>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</si>
  <si>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</si>
  <si>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</si>
  <si>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</si>
  <si>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</si>
  <si>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</si>
  <si>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</si>
  <si>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</si>
  <si>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</si>
  <si>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</si>
  <si>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</si>
  <si>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</si>
  <si>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</si>
  <si>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</si>
  <si>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</si>
  <si>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</si>
  <si>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</si>
  <si>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</si>
  <si>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</si>
  <si>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</si>
  <si>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</si>
  <si>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</si>
  <si>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</si>
  <si>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</si>
  <si>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</si>
  <si>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</si>
  <si>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</si>
  <si>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</si>
  <si>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</si>
  <si>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</si>
  <si>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</si>
  <si>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</si>
  <si>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</si>
  <si>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</si>
  <si>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</si>
  <si>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</si>
  <si>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</si>
  <si>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</si>
  <si>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</si>
  <si>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</si>
  <si>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</si>
  <si>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</si>
  <si>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</si>
  <si>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</si>
  <si>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</si>
  <si>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</si>
  <si>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</si>
  <si>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</si>
  <si>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</si>
  <si>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</si>
  <si>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</si>
  <si>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</si>
  <si>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</si>
  <si>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</si>
  <si>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</si>
  <si>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</si>
  <si>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</si>
  <si>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</si>
  <si>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</si>
  <si>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</si>
  <si>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</si>
  <si>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</si>
  <si>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</si>
  <si>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</si>
  <si>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</si>
  <si>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</si>
  <si>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</si>
  <si>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</si>
  <si>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</si>
  <si>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</si>
  <si>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</si>
  <si>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</si>
  <si>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</si>
  <si>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</si>
  <si>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</si>
  <si>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</si>
  <si>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</si>
  <si>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</si>
  <si>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</si>
  <si>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</si>
  <si>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</si>
  <si>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</si>
  <si>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</si>
  <si>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</si>
  <si>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</si>
  <si>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</si>
  <si>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</si>
  <si>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</si>
  <si>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</si>
  <si>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</si>
  <si>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</si>
  <si>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</si>
  <si>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</si>
  <si>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</si>
  <si>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</si>
  <si>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</si>
  <si>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</si>
  <si>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</si>
  <si>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</si>
  <si>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</si>
  <si>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</si>
  <si>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</si>
  <si>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</si>
  <si>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</si>
  <si>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</si>
  <si>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</si>
  <si>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</si>
  <si>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</si>
  <si>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</si>
  <si>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</si>
  <si>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</si>
  <si>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</si>
  <si>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</si>
  <si>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</si>
  <si>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</si>
  <si>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</si>
  <si>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</si>
  <si>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</si>
  <si>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</si>
  <si>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</si>
  <si>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</si>
  <si>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</si>
  <si>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</si>
  <si>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</si>
  <si>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</si>
  <si>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</si>
  <si>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</si>
  <si>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</si>
  <si>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</si>
  <si>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</si>
  <si>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</si>
  <si>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</si>
  <si>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</si>
  <si>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</si>
  <si>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</si>
  <si>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</si>
  <si>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</si>
  <si>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</si>
  <si>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</si>
  <si>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</si>
  <si>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</si>
  <si>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</si>
  <si>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</si>
  <si>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</si>
  <si>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</si>
  <si>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</si>
  <si>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FCKW</t>
  </si>
  <si>
    <t>Open</t>
  </si>
  <si>
    <t>Dbl - Closed</t>
  </si>
  <si>
    <t>9.69 - 9.69</t>
  </si>
  <si>
    <t>2.83 - 2.00</t>
  </si>
  <si>
    <t>Magnetic</t>
  </si>
  <si>
    <t>1 ~ 14</t>
  </si>
  <si>
    <t>(.081"x.204")x2</t>
  </si>
  <si>
    <t>Wye</t>
  </si>
  <si>
    <t>(105°C)</t>
  </si>
  <si>
    <t>CU</t>
  </si>
  <si>
    <t>AL</t>
  </si>
  <si>
    <t>ERD1: 205.0</t>
  </si>
  <si>
    <t>ERD2: 315.0</t>
  </si>
  <si>
    <t>LB:  -</t>
  </si>
  <si>
    <t>LER:  -</t>
  </si>
  <si>
    <t>UB: 452.3</t>
  </si>
  <si>
    <t>UER: 2340.0</t>
  </si>
  <si>
    <t>ERT: 45.0</t>
  </si>
  <si>
    <t>(Coeff.: 0.0923)</t>
  </si>
  <si>
    <t>Skew R.: 0.00</t>
  </si>
  <si>
    <t>G:\DESPRO\RATFILE\RF2400.rat</t>
  </si>
  <si>
    <t>2-1-2-0-1-2</t>
  </si>
  <si>
    <t>B.L.-1  P.F.-1</t>
  </si>
  <si>
    <t>2392.6 / 2614.7</t>
  </si>
  <si>
    <t>1628.8 / 2090.8</t>
  </si>
  <si>
    <t>12318.0 / 8503.0</t>
  </si>
  <si>
    <t>5500.0 / 5885.4</t>
  </si>
  <si>
    <t>6695.3 / 2804.6</t>
  </si>
  <si>
    <t>650.1 / 272.3</t>
  </si>
  <si>
    <t>6045.2 / 2532.3</t>
  </si>
  <si>
    <t>1.75 / 0.73</t>
  </si>
  <si>
    <t>78 / 78</t>
  </si>
  <si>
    <t>Temp. Rise @ 100%:</t>
  </si>
  <si>
    <t>Stray Loss</t>
  </si>
  <si>
    <t>0.855 / 0.850</t>
  </si>
  <si>
    <t>0.918 / 0.912</t>
  </si>
  <si>
    <t>0.939 / 0.934</t>
  </si>
  <si>
    <t>0.949 / 0.943</t>
  </si>
  <si>
    <t>0.954 / 0.948</t>
  </si>
  <si>
    <t>0.640 / 0.627</t>
  </si>
  <si>
    <t>0.819 / 0.802</t>
  </si>
  <si>
    <t>0.875 / 0.858</t>
  </si>
  <si>
    <t>0.8953 / 0.8770</t>
  </si>
  <si>
    <t>0.900 / 0.882</t>
  </si>
  <si>
    <t>19.67 / 20.20</t>
  </si>
  <si>
    <t>28.66 / 29.43</t>
  </si>
  <si>
    <t>39.28 / 40.34</t>
  </si>
  <si>
    <t>50.70 / 52.06</t>
  </si>
  <si>
    <t>62.73 / 64.42</t>
  </si>
  <si>
    <t>2.45 / 2.51</t>
  </si>
  <si>
    <t>UB: 1.75 / 1.80</t>
  </si>
  <si>
    <t>UER: 1.84 / 1.89</t>
  </si>
  <si>
    <t>3595.1 / 3590.2</t>
  </si>
  <si>
    <t>3590.6 / 3585.7</t>
  </si>
  <si>
    <t>3586.0 / 3581.1</t>
  </si>
  <si>
    <t>3581.3 / 3576.4</t>
  </si>
  <si>
    <t>3576.4 / 3571.6</t>
  </si>
  <si>
    <t>0.0014 / 0.0027</t>
  </si>
  <si>
    <t>0.0026 / 0.0040</t>
  </si>
  <si>
    <t>0.0039 / 0.0052</t>
  </si>
  <si>
    <t>0.0052 / 0.0066</t>
  </si>
  <si>
    <t>0.0065 / 0.0079</t>
  </si>
  <si>
    <t>13.265 / 12.706</t>
  </si>
  <si>
    <t>0.965 / 0.925</t>
  </si>
  <si>
    <t>13.30 / 12.74</t>
  </si>
  <si>
    <t>290.3 / 340.0</t>
  </si>
  <si>
    <t>572.7 / 670.6</t>
  </si>
  <si>
    <t>116.6 / 150.5</t>
  </si>
  <si>
    <t>143.6 / 185.5</t>
  </si>
  <si>
    <t>245.3 / 237.5</t>
  </si>
  <si>
    <t>Correlated to: RF2400.dat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</si>
  <si>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</si>
  <si>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</si>
  <si>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</si>
  <si>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</si>
  <si>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</si>
  <si>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</si>
  <si>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</si>
  <si>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</si>
  <si>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</si>
  <si>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</si>
  <si>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</si>
  <si>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</si>
  <si>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</si>
  <si>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</si>
  <si>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</si>
  <si>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</si>
  <si>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</si>
  <si>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</si>
  <si>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</si>
  <si>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</si>
  <si>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</si>
  <si>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</si>
  <si>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</si>
  <si>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</si>
  <si>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</si>
  <si>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</si>
  <si>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</si>
  <si>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</si>
  <si>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</si>
  <si>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</si>
  <si>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</si>
  <si>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</si>
  <si>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</si>
  <si>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</si>
  <si>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</si>
  <si>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</si>
  <si>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</si>
  <si>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</si>
  <si>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</si>
  <si>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</si>
  <si>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</si>
  <si>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</si>
  <si>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</si>
  <si>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</si>
  <si>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</si>
  <si>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</si>
  <si>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</si>
  <si>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</si>
  <si>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</si>
  <si>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</si>
  <si>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</si>
  <si>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</si>
  <si>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</si>
  <si>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</si>
  <si>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</si>
  <si>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</si>
  <si>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</si>
  <si>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</si>
  <si>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</si>
  <si>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</si>
  <si>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</si>
  <si>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</si>
  <si>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</si>
  <si>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</si>
  <si>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</si>
  <si>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</si>
  <si>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</si>
  <si>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</si>
  <si>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</si>
  <si>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</si>
  <si>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</si>
  <si>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</si>
  <si>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</si>
  <si>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</si>
  <si>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</si>
  <si>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</si>
  <si>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</si>
  <si>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</si>
  <si>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</si>
  <si>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</si>
  <si>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</si>
  <si>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</si>
  <si>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</si>
  <si>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</si>
  <si>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</si>
  <si>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</si>
  <si>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</si>
  <si>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</si>
  <si>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</si>
  <si>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</si>
  <si>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</si>
  <si>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</si>
  <si>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</si>
  <si>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</si>
  <si>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</si>
  <si>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</si>
  <si>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</si>
  <si>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</si>
  <si>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</si>
  <si>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</si>
  <si>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</si>
  <si>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</si>
  <si>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</si>
  <si>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</si>
  <si>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</si>
  <si>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</si>
  <si>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</si>
  <si>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</si>
  <si>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</si>
  <si>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</si>
  <si>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</si>
  <si>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</si>
  <si>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RF2400</t>
  </si>
  <si>
    <t>18 x 2</t>
  </si>
  <si>
    <t>78 / 103</t>
  </si>
  <si>
    <t>251 / 1641</t>
  </si>
  <si>
    <t>G</t>
  </si>
  <si>
    <t>180 / 189</t>
  </si>
  <si>
    <t>4003FTAL11F-A</t>
  </si>
  <si>
    <t>Outer Fan OD: 360T Unidirectional</t>
  </si>
  <si>
    <t>Rev.1 Design Temperature, Performance and</t>
  </si>
  <si>
    <t>losses were corrected.</t>
  </si>
  <si>
    <t>A. Gracia   05/14/10</t>
  </si>
  <si>
    <t>H. Yamaga</t>
  </si>
  <si>
    <t>A. Gracia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</si>
  <si>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</si>
  <si>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</si>
  <si>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</si>
  <si>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</si>
  <si>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</si>
  <si>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</si>
  <si>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</si>
  <si>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</si>
  <si>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</si>
  <si>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53.1 kg.m²</t>
  </si>
  <si>
    <t>Acceleration Data (FV V)</t>
  </si>
  <si>
    <t>6.8 (s)</t>
  </si>
  <si>
    <t>81.2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</si>
  <si>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</si>
  <si>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</si>
  <si>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</si>
  <si>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</si>
  <si>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</si>
  <si>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</si>
  <si>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</si>
  <si>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</si>
  <si>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</si>
  <si>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</si>
  <si>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</si>
  <si>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</si>
  <si>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</si>
  <si>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</si>
  <si>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</si>
  <si>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</si>
  <si>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</si>
  <si>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</si>
  <si>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</si>
  <si>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</si>
  <si>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</si>
  <si>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</si>
  <si>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</si>
  <si>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</si>
  <si>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</si>
  <si>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</si>
  <si>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</si>
  <si>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</si>
  <si>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</si>
  <si>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</si>
  <si>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</si>
  <si>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</si>
  <si>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</si>
  <si>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</si>
  <si>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</si>
  <si>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</si>
  <si>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</si>
  <si>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</si>
  <si>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</si>
  <si>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- 400.0 HP - 3600 RPM - 4000 V - 60 Hz</t>
  </si>
  <si>
    <t>0~360</t>
  </si>
  <si>
    <t>360~720</t>
  </si>
  <si>
    <t>720~1080</t>
  </si>
  <si>
    <t>1080~1440</t>
  </si>
  <si>
    <t>1440~1800</t>
  </si>
  <si>
    <t>1800~2160</t>
  </si>
  <si>
    <t>2160~2520</t>
  </si>
  <si>
    <t>2520~2880</t>
  </si>
  <si>
    <t>2880~3060</t>
  </si>
  <si>
    <t>3060~3240</t>
  </si>
  <si>
    <t>3240~3420</t>
  </si>
  <si>
    <t>3420~3564</t>
  </si>
  <si>
    <t>3564~3581</t>
  </si>
  <si>
    <t>Load Type: Fan / Pump - 315.0 lb-ft²</t>
  </si>
  <si>
    <t>176.6</t>
  </si>
  <si>
    <t>163.6</t>
  </si>
  <si>
    <t>156.3</t>
  </si>
  <si>
    <t>152.5</t>
  </si>
  <si>
    <t>150.6</t>
  </si>
  <si>
    <t>150.4</t>
  </si>
  <si>
    <t>151.0</t>
  </si>
  <si>
    <t>151.6</t>
  </si>
  <si>
    <t>154.3</t>
  </si>
  <si>
    <t>167.3</t>
  </si>
  <si>
    <t>206.4</t>
  </si>
  <si>
    <t>187.1</t>
  </si>
  <si>
    <t>119.6</t>
  </si>
  <si>
    <t>22.5</t>
  </si>
  <si>
    <t>11.5</t>
  </si>
  <si>
    <t>7.0</t>
  </si>
  <si>
    <t>11.0</t>
  </si>
  <si>
    <t>18.0</t>
  </si>
  <si>
    <t>27.5</t>
  </si>
  <si>
    <t>41.5</t>
  </si>
  <si>
    <t>55.5</t>
  </si>
  <si>
    <t>67.5</t>
  </si>
  <si>
    <t>80.5</t>
  </si>
  <si>
    <t>92.5</t>
  </si>
  <si>
    <t>99.0</t>
  </si>
  <si>
    <t>0.559</t>
  </si>
  <si>
    <t>0.566</t>
  </si>
  <si>
    <t>0.577</t>
  </si>
  <si>
    <t>0.592</t>
  </si>
  <si>
    <t>0.617</t>
  </si>
  <si>
    <t>0.650</t>
  </si>
  <si>
    <t>0.697</t>
  </si>
  <si>
    <t>0.782</t>
  </si>
  <si>
    <t>0.436</t>
  </si>
  <si>
    <t>0.431</t>
  </si>
  <si>
    <t>0.342</t>
  </si>
  <si>
    <t>0.364</t>
  </si>
  <si>
    <t>0.200</t>
  </si>
  <si>
    <t>339.1</t>
  </si>
  <si>
    <t>336.9</t>
  </si>
  <si>
    <t>334.2</t>
  </si>
  <si>
    <t>330.8</t>
  </si>
  <si>
    <t>327.0</t>
  </si>
  <si>
    <t>322.6</t>
  </si>
  <si>
    <t>317.7</t>
  </si>
  <si>
    <t>311.8</t>
  </si>
  <si>
    <t>305.8</t>
  </si>
  <si>
    <t>297.9</t>
  </si>
  <si>
    <t>273.7</t>
  </si>
  <si>
    <t>172.4</t>
  </si>
  <si>
    <t>48.5</t>
  </si>
  <si>
    <t>60.1</t>
  </si>
  <si>
    <t>60.3</t>
  </si>
  <si>
    <t>60.5</t>
  </si>
  <si>
    <t>61.0</t>
  </si>
  <si>
    <t>62.2</t>
  </si>
  <si>
    <t>63.9</t>
  </si>
  <si>
    <t>66.6</t>
  </si>
  <si>
    <t>72.3</t>
  </si>
  <si>
    <t>38.6</t>
  </si>
  <si>
    <t>36.9</t>
  </si>
  <si>
    <t>27.3</t>
  </si>
  <si>
    <t>22.0</t>
  </si>
  <si>
    <t>0.5</t>
  </si>
  <si>
    <t>333.8</t>
  </si>
  <si>
    <t>276.8</t>
  </si>
  <si>
    <t>236.7</t>
  </si>
  <si>
    <t>205.7</t>
  </si>
  <si>
    <t>180.6</t>
  </si>
  <si>
    <t>157.5</t>
  </si>
  <si>
    <t>135.8</t>
  </si>
  <si>
    <t>114.7</t>
  </si>
  <si>
    <t>85.5</t>
  </si>
  <si>
    <t>65.5</t>
  </si>
  <si>
    <t>39.3</t>
  </si>
  <si>
    <t>34.5</t>
  </si>
  <si>
    <t>9.8</t>
  </si>
  <si>
    <t>632 kW / s</t>
  </si>
  <si>
    <t>1293 kW / s</t>
  </si>
  <si>
    <t>583 kW / s</t>
  </si>
  <si>
    <t>11°C</t>
  </si>
  <si>
    <t>70°C</t>
  </si>
  <si>
    <t>61°C</t>
  </si>
  <si>
    <t>22°C</t>
  </si>
  <si>
    <t>141°C</t>
  </si>
  <si>
    <t>122°C</t>
  </si>
  <si>
    <t>Acceleration Time:  6.8 s</t>
  </si>
  <si>
    <t>2.2°C / s</t>
  </si>
  <si>
    <t>20.7°C / s</t>
  </si>
  <si>
    <t>18.0°C / s</t>
  </si>
  <si>
    <t>129.6 kW</t>
  </si>
  <si>
    <t>380.5 kW</t>
  </si>
  <si>
    <t>171.5 kW</t>
  </si>
  <si>
    <t>72.6 s</t>
  </si>
  <si>
    <t>12.6 s</t>
  </si>
  <si>
    <t>10.0 s</t>
  </si>
  <si>
    <t>78°C    +</t>
  </si>
  <si>
    <t>106°C    +</t>
  </si>
  <si>
    <t>82°C    +</t>
  </si>
  <si>
    <t>154°C   +</t>
  </si>
  <si>
    <t>74°C   +</t>
  </si>
  <si>
    <t>37.2 s</t>
  </si>
  <si>
    <t>7.4 s</t>
  </si>
  <si>
    <t>4.1 s</t>
  </si>
  <si>
    <t>12.1 s</t>
  </si>
  <si>
    <t>5.0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</si>
  <si>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</si>
  <si>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</si>
  <si>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</si>
  <si>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</si>
  <si>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</si>
  <si>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</si>
  <si>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</si>
  <si>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</si>
  <si>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</si>
  <si>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</si>
  <si>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</si>
  <si>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</si>
  <si>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</si>
  <si>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</si>
  <si>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</si>
  <si>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</si>
  <si>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</si>
  <si>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</si>
  <si>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</si>
  <si>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</si>
  <si>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</si>
  <si>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116.8 lb-ft²</t>
  </si>
  <si>
    <t>315.0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</si>
  <si>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</si>
  <si>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</si>
  <si>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</si>
  <si>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</si>
  <si>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</si>
  <si>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</si>
  <si>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</si>
  <si>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</si>
  <si>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</si>
  <si>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</si>
  <si>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</si>
  <si>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</si>
  <si>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</si>
  <si>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</si>
  <si>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</si>
  <si>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</si>
  <si>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</si>
  <si>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</si>
  <si>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</si>
  <si>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</si>
  <si>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</si>
  <si>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</si>
  <si>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</si>
  <si>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</si>
  <si>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</si>
  <si>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</si>
  <si>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</si>
  <si>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</si>
  <si>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</si>
  <si>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</si>
  <si>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</si>
  <si>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</si>
  <si>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</si>
  <si>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</si>
  <si>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</si>
  <si>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</si>
  <si>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</si>
  <si>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</si>
  <si>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</si>
  <si>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</si>
  <si>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</si>
  <si>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</si>
  <si>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</si>
  <si>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</si>
  <si>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</si>
  <si>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</si>
  <si>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</si>
  <si>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</si>
  <si>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</si>
  <si>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</si>
  <si>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</si>
  <si>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</si>
  <si>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</si>
  <si>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</si>
  <si>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</si>
  <si>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</si>
  <si>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</si>
  <si>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</si>
  <si>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</si>
  <si>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</si>
  <si>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</si>
  <si>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</si>
  <si>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</si>
  <si>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</si>
  <si>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</si>
  <si>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</si>
  <si>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</si>
  <si>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</si>
  <si>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</si>
  <si>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</si>
  <si>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</si>
  <si>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</si>
  <si>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</si>
  <si>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</si>
  <si>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</si>
  <si>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</si>
  <si>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</si>
  <si>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</si>
  <si>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</si>
  <si>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</si>
  <si>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</si>
  <si>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</si>
  <si>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</si>
  <si>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</si>
  <si>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</si>
  <si>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</si>
  <si>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</si>
  <si>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</si>
  <si>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</si>
  <si>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</si>
  <si>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</si>
  <si>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</si>
  <si>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</si>
  <si>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</si>
  <si>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</si>
  <si>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</si>
  <si>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</si>
  <si>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</si>
  <si>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</si>
  <si>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</si>
  <si>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</si>
  <si>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</si>
  <si>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</si>
  <si>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</si>
  <si>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</si>
  <si>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</si>
  <si>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</si>
  <si>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</si>
  <si>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</si>
  <si>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</si>
  <si>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</si>
  <si>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</si>
  <si>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</si>
  <si>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</si>
  <si>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</si>
  <si>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</si>
  <si>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DYKMAN ELECTRICAL INC</t>
  </si>
  <si>
    <t>2103004.1</t>
  </si>
  <si>
    <t>5011UZ</t>
  </si>
  <si>
    <t>1.15</t>
  </si>
  <si>
    <t>GP-10011492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</si>
  <si>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</si>
  <si>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</si>
  <si>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</si>
  <si>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</si>
  <si>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</si>
  <si>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</si>
  <si>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</si>
  <si>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</si>
  <si>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</si>
  <si>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</si>
  <si>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</si>
  <si>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</si>
  <si>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1097.0</t>
  </si>
  <si>
    <t xml:space="preserve">9T: </t>
  </si>
  <si>
    <t/>
  </si>
  <si>
    <t>0.0172 ~ 0.0165</t>
  </si>
  <si>
    <t>AWG. 06 x 3</t>
  </si>
  <si>
    <t>0.00090</t>
  </si>
  <si>
    <t>9T: 20.32</t>
  </si>
  <si>
    <t>9T: 10.76</t>
  </si>
  <si>
    <t>14.10 ~ 13.70</t>
  </si>
  <si>
    <t>12.54</t>
  </si>
  <si>
    <t>3.24</t>
  </si>
  <si>
    <t xml:space="preserve"> (.081"x.204")x 2: </t>
  </si>
  <si>
    <t>347 lbs.</t>
  </si>
  <si>
    <t xml:space="preserve">1-2, 2-3, 3-1: </t>
  </si>
  <si>
    <t>0.487 ~ 0.459</t>
  </si>
  <si>
    <t>Rev.2 Complete Performance Data Sheet. Z.X 09/07/18</t>
  </si>
  <si>
    <t>Type: TIKK - Form: FCKW - 2 Pole - 400 HP - 2300/4000 V - 60 Hz - 5011 - Class F</t>
  </si>
  <si>
    <t>1 Delta / 1 x Wye</t>
  </si>
  <si>
    <t>90 / 52</t>
  </si>
  <si>
    <t>589 / 340</t>
  </si>
  <si>
    <t>90 A</t>
  </si>
  <si>
    <t>2300 V</t>
  </si>
  <si>
    <t>589 A</t>
  </si>
  <si>
    <t>52 A</t>
  </si>
  <si>
    <t>4000 V</t>
  </si>
  <si>
    <t>340 A</t>
  </si>
  <si>
    <t>361-V120-3L1Y, 361-V120-3L1D, 361-V120-6L1DY</t>
  </si>
  <si>
    <t>362-V110-02</t>
  </si>
  <si>
    <t>MPCF-1109</t>
  </si>
  <si>
    <t>EQUIVALENT CIRCUIT DATA</t>
  </si>
  <si>
    <t>NEW</t>
  </si>
  <si>
    <t>REV. 0</t>
  </si>
  <si>
    <t xml:space="preserve">All Values are Presented in Ohms/Phase, Equivalent Wye Connection. </t>
  </si>
  <si>
    <t>Paul Anderson</t>
  </si>
  <si>
    <t>Primary Resistance (R1) :</t>
  </si>
  <si>
    <t>0.310</t>
  </si>
  <si>
    <t>Secondary Resistance (R2) :</t>
  </si>
  <si>
    <t>0.266</t>
  </si>
  <si>
    <t>Starting Resistance (R3) :</t>
  </si>
  <si>
    <t>Primary Reactance (X1) :</t>
  </si>
  <si>
    <t>Secondary Reactance (X2) :</t>
  </si>
  <si>
    <t>Starting Reactance (X3) :</t>
  </si>
  <si>
    <t>Magnetizing Reactance (Xm) :</t>
  </si>
  <si>
    <t>Transient Reactance :</t>
  </si>
  <si>
    <t>Sub Transient Reactance :</t>
  </si>
  <si>
    <t>Short Circuit Time Constant :</t>
  </si>
  <si>
    <t>Sub Transient Time Constant :</t>
  </si>
  <si>
    <t>Open Circuit Time Constant :</t>
  </si>
  <si>
    <t>MPCF-1082</t>
  </si>
  <si>
    <t>2/14/02</t>
  </si>
  <si>
    <t>M. CAMPBELL</t>
  </si>
  <si>
    <t>API 541 PERFORMANCE SPECIFICATIONS</t>
  </si>
  <si>
    <t>P.A.A</t>
  </si>
  <si>
    <t>LOCKED ROTOR DATA</t>
  </si>
  <si>
    <t>AMPS AT RATED VOLTAGE:</t>
  </si>
  <si>
    <t>POWER FACTOR:</t>
  </si>
  <si>
    <t>AMPS AT 80% VOLTAGE:</t>
  </si>
  <si>
    <t>TORQUE VALUES</t>
  </si>
  <si>
    <t>CURVE NUMBERS</t>
  </si>
  <si>
    <t>FULL LOAD (LB.FT):</t>
  </si>
  <si>
    <t>SPEED-TORQUE CURVE:</t>
  </si>
  <si>
    <t>LOCKED ROTOR TORQUE (% OF FLT):</t>
  </si>
  <si>
    <t>SPEED-CURRENT CURVE:</t>
  </si>
  <si>
    <t>PULL UP TORQUE (% OF FLT):</t>
  </si>
  <si>
    <t>ACCELERATION CURVE:</t>
  </si>
  <si>
    <t>BREAKDOWN TORQUE (% OF FLT):</t>
  </si>
  <si>
    <t>LOCKED ROTOR WITHSTAND TIMES</t>
  </si>
  <si>
    <t>COLD CONDITION</t>
  </si>
  <si>
    <t>HOT CONDITION</t>
  </si>
  <si>
    <t>100% VOLTAGE:</t>
  </si>
  <si>
    <t>90% VOLTAGE:</t>
  </si>
  <si>
    <t>80% VOLTAGE:</t>
  </si>
  <si>
    <t>70% VOLTAGE:</t>
  </si>
  <si>
    <t>DESIGN DATA</t>
  </si>
  <si>
    <r>
      <t>MOTOR ROTOR wk</t>
    </r>
    <r>
      <rPr>
        <vertAlign val="superscript"/>
        <sz val="8"/>
        <rFont val="Univers"/>
        <family val="2"/>
      </rPr>
      <t xml:space="preserve">2 </t>
    </r>
    <r>
      <rPr>
        <sz val="8"/>
        <rFont val="Univers"/>
        <family val="2"/>
      </rPr>
      <t>(LB.FT</t>
    </r>
    <r>
      <rPr>
        <vertAlign val="superscript"/>
        <sz val="8"/>
        <rFont val="Univers"/>
        <family val="2"/>
      </rPr>
      <t>2</t>
    </r>
    <r>
      <rPr>
        <sz val="8"/>
        <rFont val="Univers"/>
        <family val="2"/>
      </rPr>
      <t>):</t>
    </r>
  </si>
  <si>
    <t>116.8</t>
  </si>
  <si>
    <t>NO LOAD CURRENT:</t>
  </si>
  <si>
    <t>13</t>
  </si>
  <si>
    <t>AIR GAP:</t>
  </si>
  <si>
    <t>2.5</t>
  </si>
  <si>
    <t>ACCELERATION TIME:</t>
  </si>
  <si>
    <t>LOAD CHARACTERISTICS</t>
  </si>
  <si>
    <t>LOAD</t>
  </si>
  <si>
    <t>1/2</t>
  </si>
  <si>
    <t>3/4</t>
  </si>
  <si>
    <t>FULL</t>
  </si>
  <si>
    <t>AMPS (A)</t>
  </si>
  <si>
    <t>EFFICIENCY (%)</t>
  </si>
  <si>
    <t>POWER FACTOR (%)</t>
  </si>
  <si>
    <t>GUARENTEED EFFICIENCY (%)</t>
  </si>
  <si>
    <t>EFFICIENCY TO BE DETERMINED BY IEEE 112, METHOD B</t>
  </si>
  <si>
    <t>JERRY R</t>
  </si>
  <si>
    <t>ALL CHARACTERISTICS ARE AVERAGE EXPECTED VALUES BASED UPON RATED VOLTAGE, FREQUENCY AND SINEWAVE POWER INPUT.</t>
  </si>
  <si>
    <t>1.70</t>
  </si>
  <si>
    <t>6.96</t>
  </si>
  <si>
    <t>3.31</t>
  </si>
  <si>
    <t>4.57</t>
  </si>
  <si>
    <t>181.8</t>
  </si>
  <si>
    <t>10.1</t>
  </si>
  <si>
    <t>6.03</t>
  </si>
  <si>
    <t>17</t>
  </si>
  <si>
    <t>21</t>
  </si>
  <si>
    <t>27</t>
  </si>
  <si>
    <t>35</t>
  </si>
  <si>
    <t>7</t>
  </si>
  <si>
    <t>11</t>
  </si>
  <si>
    <t>14</t>
  </si>
  <si>
    <t>9</t>
  </si>
  <si>
    <t>340</t>
  </si>
  <si>
    <t>272</t>
  </si>
  <si>
    <t>7/11</t>
  </si>
  <si>
    <t>2300V</t>
  </si>
  <si>
    <t>DESPRO</t>
  </si>
  <si>
    <t xml:space="preserve">QC LIMIT </t>
  </si>
  <si>
    <t>TEST PREDICT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</si>
</sst>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  <numFmt numFmtId="173" formatCode="m/d/yy"/>
    <numFmt numFmtId="174" formatCode="@\ &quot;Ohms/Phase&quot;"/>
    <numFmt numFmtId="175" formatCode=".0"/>
    <numFmt numFmtId="176" formatCode="@\ &quot; A&quot;"/>
    <numFmt numFmtId="177" formatCode="@\ &quot;(s)&quot;"/>
    <numFmt numFmtId="178" formatCode="@\ &quot;mm&quot;"/>
  </numFmts>
  <fonts count="9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color indexed="8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name val="Helv"/>
    </font>
    <font>
      <b/>
      <sz val="12"/>
      <name val="Univers (W1)"/>
    </font>
    <font>
      <sz val="10"/>
      <name val="Univers (W1)"/>
    </font>
    <font>
      <i/>
      <sz val="10"/>
      <name val="Script"/>
      <family val="4"/>
      <charset val="255"/>
    </font>
    <font>
      <sz val="12"/>
      <name val="Univers"/>
      <family val="2"/>
    </font>
    <font>
      <sz val="9"/>
      <name val="Univers"/>
      <family val="2"/>
    </font>
    <font>
      <sz val="9"/>
      <name val="Helv"/>
    </font>
    <font>
      <sz val="11"/>
      <name val="Univers (W1)"/>
      <family val="2"/>
    </font>
    <font>
      <sz val="11"/>
      <name val="Univers (W1)"/>
    </font>
    <font>
      <sz val="10"/>
      <name val="Univers"/>
      <family val="2"/>
    </font>
    <font>
      <sz val="8"/>
      <name val="Univers"/>
      <family val="2"/>
    </font>
    <font>
      <sz val="11"/>
      <name val="Univers"/>
      <family val="2"/>
    </font>
    <font>
      <vertAlign val="superscript"/>
      <sz val="8"/>
      <name val="Univers"/>
      <family val="2"/>
    </font>
    <font>
      <sz val="8"/>
      <name val="Helv"/>
    </font>
    <font>
      <b/>
      <sz val="12"/>
      <name val="Helv"/>
    </font>
    <font>
      <sz val="7"/>
      <name val="Univers (W1)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1">
    <xf numFmtId="0" fontId="0" fillId="0" borderId="0"/>
    <xf numFmtId="0" fontId="23" fillId="0" borderId="0"/>
    <xf numFmtId="0" fontId="51" fillId="0" borderId="0"/>
    <xf numFmtId="0" fontId="23" fillId="0" borderId="0"/>
    <xf numFmtId="0" fontId="1" fillId="0" borderId="0"/>
    <xf numFmtId="172" fontId="66" fillId="0" borderId="0"/>
    <xf numFmtId="172" fontId="79" fillId="0" borderId="0"/>
    <xf numFmtId="172" fontId="66" fillId="0" borderId="0"/>
    <xf numFmtId="0" fontId="66" fillId="0" borderId="0"/>
    <xf numFmtId="0" fontId="1" fillId="0" borderId="0"/>
    <xf numFmtId="0" fontId="1" fillId="0" borderId="0"/>
  </cellStyleXfs>
  <cellXfs count="925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2" fontId="20" fillId="0" borderId="1" xfId="0" applyNumberFormat="1" applyFont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9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66" fontId="22" fillId="0" borderId="31" xfId="0" applyNumberFormat="1" applyFont="1" applyBorder="1" applyAlignment="1">
      <alignment horizontal="center"/>
    </xf>
    <xf numFmtId="166" fontId="22" fillId="0" borderId="51" xfId="0" applyNumberFormat="1" applyFont="1" applyBorder="1" applyAlignment="1">
      <alignment horizontal="center"/>
    </xf>
    <xf numFmtId="166" fontId="22" fillId="0" borderId="32" xfId="0" applyNumberFormat="1" applyFont="1" applyBorder="1" applyAlignment="1">
      <alignment horizontal="center"/>
    </xf>
    <xf numFmtId="0" fontId="25" fillId="0" borderId="0" xfId="1" applyFont="1"/>
    <xf numFmtId="0" fontId="26" fillId="0" borderId="0" xfId="1" applyFont="1"/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/>
    <xf numFmtId="0" fontId="32" fillId="0" borderId="52" xfId="1" applyFont="1" applyBorder="1"/>
    <xf numFmtId="0" fontId="19" fillId="0" borderId="54" xfId="1" applyFont="1" applyBorder="1"/>
    <xf numFmtId="0" fontId="32" fillId="0" borderId="54" xfId="1" applyFont="1" applyBorder="1"/>
    <xf numFmtId="0" fontId="33" fillId="0" borderId="0" xfId="1" applyFont="1"/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Alignment="1">
      <alignment horizontal="left"/>
    </xf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Border="1"/>
    <xf numFmtId="0" fontId="19" fillId="0" borderId="21" xfId="1" applyFont="1" applyBorder="1"/>
    <xf numFmtId="0" fontId="32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2" fillId="0" borderId="46" xfId="1" applyFont="1" applyBorder="1"/>
    <xf numFmtId="0" fontId="32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19" fillId="0" borderId="24" xfId="1" applyFont="1" applyBorder="1"/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4" fillId="0" borderId="24" xfId="1" applyFont="1" applyBorder="1"/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3" fillId="0" borderId="78" xfId="1" applyFont="1" applyBorder="1"/>
    <xf numFmtId="0" fontId="33" fillId="0" borderId="79" xfId="1" applyFont="1" applyBorder="1"/>
    <xf numFmtId="0" fontId="33" fillId="0" borderId="87" xfId="1" applyFont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9" fontId="33" fillId="0" borderId="0" xfId="1" applyNumberFormat="1" applyFont="1"/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43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7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30" fillId="5" borderId="83" xfId="1" applyFont="1" applyFill="1" applyBorder="1"/>
    <xf numFmtId="0" fontId="48" fillId="0" borderId="0" xfId="1" applyFont="1"/>
    <xf numFmtId="0" fontId="30" fillId="5" borderId="45" xfId="1" applyFont="1" applyFill="1" applyBorder="1"/>
    <xf numFmtId="0" fontId="30" fillId="0" borderId="23" xfId="1" applyFont="1" applyBorder="1"/>
    <xf numFmtId="0" fontId="30" fillId="0" borderId="0" xfId="1" applyFont="1"/>
    <xf numFmtId="0" fontId="51" fillId="0" borderId="6" xfId="2" applyBorder="1"/>
    <xf numFmtId="0" fontId="51" fillId="0" borderId="7" xfId="2" applyBorder="1"/>
    <xf numFmtId="0" fontId="51" fillId="0" borderId="41" xfId="2" applyBorder="1"/>
    <xf numFmtId="0" fontId="51" fillId="0" borderId="41" xfId="2" applyBorder="1" applyAlignment="1">
      <alignment horizontal="center"/>
    </xf>
    <xf numFmtId="0" fontId="52" fillId="0" borderId="41" xfId="2" applyFont="1" applyBorder="1" applyAlignment="1">
      <alignment horizontal="center"/>
    </xf>
    <xf numFmtId="0" fontId="51" fillId="0" borderId="0" xfId="2"/>
    <xf numFmtId="0" fontId="53" fillId="0" borderId="127" xfId="2" applyFont="1" applyBorder="1" applyAlignment="1">
      <alignment horizontal="center"/>
    </xf>
    <xf numFmtId="0" fontId="51" fillId="0" borderId="127" xfId="2" applyBorder="1" applyAlignment="1">
      <alignment horizontal="center"/>
    </xf>
    <xf numFmtId="0" fontId="52" fillId="0" borderId="127" xfId="2" applyFont="1" applyBorder="1" applyAlignment="1">
      <alignment horizontal="center"/>
    </xf>
    <xf numFmtId="0" fontId="53" fillId="0" borderId="45" xfId="2" applyFont="1" applyBorder="1" applyAlignment="1">
      <alignment horizontal="center"/>
    </xf>
    <xf numFmtId="0" fontId="53" fillId="0" borderId="0" xfId="2" applyFont="1" applyAlignment="1">
      <alignment horizontal="center"/>
    </xf>
    <xf numFmtId="0" fontId="51" fillId="0" borderId="45" xfId="2" applyBorder="1"/>
    <xf numFmtId="0" fontId="54" fillId="0" borderId="0" xfId="2" applyFont="1"/>
    <xf numFmtId="0" fontId="51" fillId="0" borderId="127" xfId="2" applyBorder="1"/>
    <xf numFmtId="0" fontId="52" fillId="0" borderId="0" xfId="2" applyFont="1"/>
    <xf numFmtId="0" fontId="52" fillId="0" borderId="127" xfId="2" applyFont="1" applyBorder="1"/>
    <xf numFmtId="170" fontId="51" fillId="0" borderId="3" xfId="2" applyNumberFormat="1" applyBorder="1"/>
    <xf numFmtId="49" fontId="51" fillId="0" borderId="1" xfId="2" applyNumberFormat="1" applyBorder="1" applyAlignment="1">
      <alignment horizontal="center"/>
    </xf>
    <xf numFmtId="49" fontId="51" fillId="0" borderId="1" xfId="2" applyNumberFormat="1" applyBorder="1"/>
    <xf numFmtId="49" fontId="52" fillId="0" borderId="1" xfId="2" applyNumberFormat="1" applyFont="1" applyBorder="1"/>
    <xf numFmtId="171" fontId="52" fillId="0" borderId="1" xfId="2" applyNumberFormat="1" applyFont="1" applyBorder="1"/>
    <xf numFmtId="0" fontId="51" fillId="0" borderId="1" xfId="2" applyBorder="1"/>
    <xf numFmtId="0" fontId="51" fillId="0" borderId="9" xfId="2" applyBorder="1"/>
    <xf numFmtId="171" fontId="51" fillId="0" borderId="1" xfId="2" applyNumberFormat="1" applyBorder="1"/>
    <xf numFmtId="0" fontId="51" fillId="0" borderId="1" xfId="2" applyBorder="1" applyAlignment="1">
      <alignment horizontal="center"/>
    </xf>
    <xf numFmtId="170" fontId="51" fillId="0" borderId="18" xfId="2" applyNumberFormat="1" applyBorder="1"/>
    <xf numFmtId="49" fontId="51" fillId="0" borderId="26" xfId="2" applyNumberFormat="1" applyBorder="1"/>
    <xf numFmtId="171" fontId="51" fillId="0" borderId="26" xfId="2" applyNumberFormat="1" applyBorder="1"/>
    <xf numFmtId="0" fontId="51" fillId="0" borderId="26" xfId="2" applyBorder="1"/>
    <xf numFmtId="0" fontId="51" fillId="0" borderId="128" xfId="2" applyBorder="1"/>
    <xf numFmtId="0" fontId="52" fillId="0" borderId="129" xfId="2" applyFont="1" applyBorder="1" applyAlignment="1">
      <alignment horizontal="center"/>
    </xf>
    <xf numFmtId="0" fontId="52" fillId="0" borderId="130" xfId="2" applyFont="1" applyBorder="1" applyAlignment="1">
      <alignment horizontal="center"/>
    </xf>
    <xf numFmtId="49" fontId="52" fillId="0" borderId="2" xfId="2" applyNumberFormat="1" applyFont="1" applyBorder="1" applyAlignment="1">
      <alignment horizontal="center"/>
    </xf>
    <xf numFmtId="0" fontId="51" fillId="0" borderId="55" xfId="2" applyBorder="1" applyAlignment="1">
      <alignment horizontal="left"/>
    </xf>
    <xf numFmtId="49" fontId="51" fillId="0" borderId="3" xfId="2" applyNumberFormat="1" applyBorder="1"/>
    <xf numFmtId="0" fontId="51" fillId="0" borderId="132" xfId="2" applyBorder="1" applyAlignment="1">
      <alignment horizontal="left"/>
    </xf>
    <xf numFmtId="49" fontId="51" fillId="0" borderId="4" xfId="2" applyNumberFormat="1" applyBorder="1"/>
    <xf numFmtId="0" fontId="51" fillId="0" borderId="133" xfId="2" applyBorder="1" applyAlignment="1">
      <alignment horizontal="left"/>
    </xf>
    <xf numFmtId="0" fontId="28" fillId="5" borderId="80" xfId="1" applyFont="1" applyFill="1" applyBorder="1"/>
    <xf numFmtId="0" fontId="28" fillId="5" borderId="81" xfId="1" applyFont="1" applyFill="1" applyBorder="1"/>
    <xf numFmtId="0" fontId="38" fillId="5" borderId="70" xfId="3" applyFont="1" applyFill="1" applyBorder="1" applyAlignment="1">
      <alignment horizontal="center"/>
    </xf>
    <xf numFmtId="0" fontId="38" fillId="5" borderId="74" xfId="3" applyFont="1" applyFill="1" applyBorder="1" applyAlignment="1">
      <alignment horizontal="center"/>
    </xf>
    <xf numFmtId="0" fontId="38" fillId="5" borderId="79" xfId="3" applyFont="1" applyFill="1" applyBorder="1" applyAlignment="1">
      <alignment horizontal="center"/>
    </xf>
    <xf numFmtId="0" fontId="28" fillId="5" borderId="82" xfId="3" applyFont="1" applyFill="1" applyBorder="1"/>
    <xf numFmtId="0" fontId="28" fillId="5" borderId="81" xfId="3" applyFont="1" applyFill="1" applyBorder="1" applyAlignment="1">
      <alignment horizontal="left"/>
    </xf>
    <xf numFmtId="0" fontId="28" fillId="5" borderId="82" xfId="3" applyFont="1" applyFill="1" applyBorder="1" applyAlignment="1">
      <alignment horizontal="left"/>
    </xf>
    <xf numFmtId="0" fontId="33" fillId="5" borderId="72" xfId="3" applyFont="1" applyFill="1" applyBorder="1" applyAlignment="1">
      <alignment horizontal="left"/>
    </xf>
    <xf numFmtId="0" fontId="33" fillId="5" borderId="84" xfId="3" applyFont="1" applyFill="1" applyBorder="1" applyAlignment="1">
      <alignment horizontal="left"/>
    </xf>
    <xf numFmtId="0" fontId="30" fillId="5" borderId="68" xfId="3" applyFont="1" applyFill="1" applyBorder="1" applyAlignment="1">
      <alignment horizontal="left"/>
    </xf>
    <xf numFmtId="0" fontId="30" fillId="5" borderId="74" xfId="3" applyFont="1" applyFill="1" applyBorder="1" applyAlignment="1">
      <alignment horizontal="left"/>
    </xf>
    <xf numFmtId="0" fontId="30" fillId="5" borderId="125" xfId="3" applyFont="1" applyFill="1" applyBorder="1" applyAlignment="1">
      <alignment horizontal="left"/>
    </xf>
    <xf numFmtId="0" fontId="30" fillId="5" borderId="126" xfId="3" applyFont="1" applyFill="1" applyBorder="1" applyAlignment="1">
      <alignment horizontal="left"/>
    </xf>
    <xf numFmtId="0" fontId="36" fillId="0" borderId="116" xfId="3" applyFont="1" applyBorder="1"/>
    <xf numFmtId="0" fontId="36" fillId="5" borderId="119" xfId="3" applyFont="1" applyFill="1" applyBorder="1"/>
    <xf numFmtId="0" fontId="55" fillId="5" borderId="120" xfId="3" applyFont="1" applyFill="1" applyBorder="1" applyAlignment="1">
      <alignment horizontal="center"/>
    </xf>
    <xf numFmtId="0" fontId="36" fillId="5" borderId="121" xfId="3" applyFont="1" applyFill="1" applyBorder="1"/>
    <xf numFmtId="0" fontId="36" fillId="5" borderId="23" xfId="3" applyFont="1" applyFill="1" applyBorder="1"/>
    <xf numFmtId="14" fontId="19" fillId="5" borderId="124" xfId="3" applyNumberFormat="1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4" fillId="0" borderId="0" xfId="4" applyFont="1"/>
    <xf numFmtId="0" fontId="56" fillId="0" borderId="0" xfId="4" applyFont="1"/>
    <xf numFmtId="0" fontId="62" fillId="0" borderId="26" xfId="4" applyFont="1" applyBorder="1" applyAlignment="1">
      <alignment horizontal="center"/>
    </xf>
    <xf numFmtId="0" fontId="62" fillId="0" borderId="28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2" fillId="0" borderId="1" xfId="4" applyFont="1" applyBorder="1" applyAlignment="1">
      <alignment horizontal="right"/>
    </xf>
    <xf numFmtId="0" fontId="62" fillId="0" borderId="1" xfId="4" applyFont="1" applyBorder="1" applyAlignment="1">
      <alignment horizontal="center"/>
    </xf>
    <xf numFmtId="0" fontId="56" fillId="0" borderId="131" xfId="4" applyFont="1" applyBorder="1" applyAlignment="1">
      <alignment horizontal="center"/>
    </xf>
    <xf numFmtId="0" fontId="56" fillId="0" borderId="132" xfId="4" quotePrefix="1" applyFont="1" applyBorder="1" applyAlignment="1">
      <alignment horizontal="center"/>
    </xf>
    <xf numFmtId="0" fontId="56" fillId="0" borderId="132" xfId="4" applyFont="1" applyBorder="1" applyAlignment="1">
      <alignment horizontal="center"/>
    </xf>
    <xf numFmtId="0" fontId="62" fillId="0" borderId="0" xfId="4" applyFont="1" applyAlignment="1">
      <alignment horizontal="right"/>
    </xf>
    <xf numFmtId="0" fontId="59" fillId="0" borderId="61" xfId="4" applyFont="1" applyBorder="1"/>
    <xf numFmtId="0" fontId="59" fillId="0" borderId="62" xfId="4" applyFont="1" applyBorder="1"/>
    <xf numFmtId="0" fontId="59" fillId="0" borderId="38" xfId="4" applyFont="1" applyBorder="1"/>
    <xf numFmtId="0" fontId="60" fillId="0" borderId="83" xfId="4" applyFont="1" applyBorder="1" applyAlignment="1">
      <alignment horizontal="centerContinuous"/>
    </xf>
    <xf numFmtId="0" fontId="59" fillId="0" borderId="0" xfId="4" applyFont="1" applyAlignment="1">
      <alignment horizontal="centerContinuous"/>
    </xf>
    <xf numFmtId="0" fontId="59" fillId="0" borderId="108" xfId="4" applyFont="1" applyBorder="1" applyAlignment="1">
      <alignment horizontal="centerContinuous"/>
    </xf>
    <xf numFmtId="0" fontId="61" fillId="0" borderId="83" xfId="4" applyFont="1" applyBorder="1" applyAlignment="1">
      <alignment horizontal="centerContinuous"/>
    </xf>
    <xf numFmtId="0" fontId="59" fillId="0" borderId="83" xfId="4" applyFont="1" applyBorder="1"/>
    <xf numFmtId="0" fontId="59" fillId="0" borderId="0" xfId="4" applyFont="1"/>
    <xf numFmtId="0" fontId="59" fillId="0" borderId="108" xfId="4" applyFont="1" applyBorder="1"/>
    <xf numFmtId="0" fontId="57" fillId="0" borderId="1" xfId="4" applyFont="1" applyBorder="1" applyAlignment="1">
      <alignment horizontal="right"/>
    </xf>
    <xf numFmtId="0" fontId="59" fillId="0" borderId="1" xfId="4" applyFont="1" applyBorder="1" applyAlignment="1">
      <alignment horizontal="center"/>
    </xf>
    <xf numFmtId="14" fontId="59" fillId="0" borderId="1" xfId="4" applyNumberFormat="1" applyFont="1" applyBorder="1" applyAlignment="1">
      <alignment horizontal="center"/>
    </xf>
    <xf numFmtId="0" fontId="57" fillId="0" borderId="0" xfId="4" applyFont="1" applyAlignment="1">
      <alignment horizontal="right"/>
    </xf>
    <xf numFmtId="0" fontId="59" fillId="0" borderId="0" xfId="4" applyFont="1" applyAlignment="1">
      <alignment horizontal="center"/>
    </xf>
    <xf numFmtId="9" fontId="59" fillId="0" borderId="0" xfId="4" applyNumberFormat="1" applyFont="1" applyAlignment="1">
      <alignment horizontal="center"/>
    </xf>
    <xf numFmtId="0" fontId="57" fillId="0" borderId="83" xfId="4" applyFont="1" applyBorder="1" applyAlignment="1">
      <alignment horizontal="right"/>
    </xf>
    <xf numFmtId="0" fontId="59" fillId="0" borderId="40" xfId="4" applyFont="1" applyBorder="1"/>
    <xf numFmtId="0" fontId="59" fillId="0" borderId="39" xfId="4" applyFont="1" applyBorder="1" applyAlignment="1">
      <alignment horizontal="center"/>
    </xf>
    <xf numFmtId="0" fontId="59" fillId="0" borderId="85" xfId="4" applyFont="1" applyBorder="1"/>
    <xf numFmtId="0" fontId="57" fillId="0" borderId="17" xfId="4" applyFont="1" applyBorder="1" applyAlignment="1">
      <alignment horizontal="right"/>
    </xf>
    <xf numFmtId="0" fontId="59" fillId="0" borderId="132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64" fillId="0" borderId="0" xfId="4" applyFont="1"/>
    <xf numFmtId="0" fontId="65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18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6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7" xfId="4" applyNumberFormat="1" applyFont="1" applyBorder="1" applyAlignment="1">
      <alignment horizontal="center"/>
    </xf>
    <xf numFmtId="167" fontId="3" fillId="0" borderId="138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7" fillId="0" borderId="6" xfId="5" applyFont="1" applyBorder="1" applyAlignment="1">
      <alignment horizontal="centerContinuous"/>
    </xf>
    <xf numFmtId="172" fontId="67" fillId="0" borderId="7" xfId="5" applyFont="1" applyBorder="1" applyAlignment="1">
      <alignment horizontal="centerContinuous"/>
    </xf>
    <xf numFmtId="172" fontId="68" fillId="0" borderId="12" xfId="5" applyFont="1" applyBorder="1" applyAlignment="1">
      <alignment horizontal="left"/>
    </xf>
    <xf numFmtId="172" fontId="69" fillId="0" borderId="55" xfId="5" applyFont="1" applyBorder="1"/>
    <xf numFmtId="172" fontId="68" fillId="0" borderId="13" xfId="5" applyFont="1" applyBorder="1" applyAlignment="1">
      <alignment horizontal="centerContinuous"/>
    </xf>
    <xf numFmtId="172" fontId="69" fillId="0" borderId="14" xfId="5" applyFont="1" applyBorder="1" applyAlignment="1">
      <alignment horizontal="centerContinuous"/>
    </xf>
    <xf numFmtId="172" fontId="70" fillId="0" borderId="0" xfId="5" applyFont="1"/>
    <xf numFmtId="172" fontId="66" fillId="0" borderId="0" xfId="5"/>
    <xf numFmtId="172" fontId="67" fillId="0" borderId="45" xfId="5" applyFont="1" applyBorder="1" applyAlignment="1">
      <alignment horizontal="centerContinuous"/>
    </xf>
    <xf numFmtId="172" fontId="67" fillId="0" borderId="0" xfId="5" applyFont="1" applyAlignment="1">
      <alignment horizontal="centerContinuous"/>
    </xf>
    <xf numFmtId="172" fontId="68" fillId="0" borderId="109" xfId="5" applyFont="1" applyBorder="1" applyAlignment="1">
      <alignment horizontal="left"/>
    </xf>
    <xf numFmtId="172" fontId="69" fillId="0" borderId="39" xfId="5" applyFont="1" applyBorder="1"/>
    <xf numFmtId="172" fontId="68" fillId="0" borderId="40" xfId="5" applyFont="1" applyBorder="1" applyAlignment="1">
      <alignment horizontal="centerContinuous"/>
    </xf>
    <xf numFmtId="172" fontId="69" fillId="0" borderId="29" xfId="5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9" fillId="0" borderId="0" xfId="5" applyFont="1" applyAlignment="1">
      <alignment horizontal="centerContinuous"/>
    </xf>
    <xf numFmtId="172" fontId="68" fillId="0" borderId="40" xfId="5" quotePrefix="1" applyFont="1" applyBorder="1" applyAlignment="1">
      <alignment horizontal="centerContinuous"/>
    </xf>
    <xf numFmtId="172" fontId="71" fillId="0" borderId="45" xfId="5" applyFont="1" applyBorder="1" applyAlignment="1">
      <alignment horizontal="centerContinuous"/>
    </xf>
    <xf numFmtId="172" fontId="70" fillId="0" borderId="45" xfId="5" applyFont="1" applyBorder="1" applyAlignment="1">
      <alignment horizontal="centerContinuous"/>
    </xf>
    <xf numFmtId="172" fontId="70" fillId="0" borderId="46" xfId="5" applyFont="1" applyBorder="1" applyAlignment="1">
      <alignment horizontal="centerContinuous"/>
    </xf>
    <xf numFmtId="172" fontId="69" fillId="0" borderId="23" xfId="5" applyFont="1" applyBorder="1" applyAlignment="1">
      <alignment horizontal="centerContinuous"/>
    </xf>
    <xf numFmtId="172" fontId="68" fillId="0" borderId="46" xfId="5" applyFont="1" applyBorder="1" applyAlignment="1">
      <alignment horizontal="left"/>
    </xf>
    <xf numFmtId="172" fontId="69" fillId="0" borderId="48" xfId="5" applyFont="1" applyBorder="1"/>
    <xf numFmtId="172" fontId="72" fillId="0" borderId="23" xfId="5" applyFont="1" applyBorder="1" applyAlignment="1">
      <alignment horizontal="centerContinuous"/>
    </xf>
    <xf numFmtId="172" fontId="69" fillId="0" borderId="24" xfId="5" applyFont="1" applyBorder="1" applyAlignment="1">
      <alignment horizontal="centerContinuous"/>
    </xf>
    <xf numFmtId="172" fontId="70" fillId="0" borderId="0" xfId="5" applyFont="1" applyAlignment="1">
      <alignment horizontal="centerContinuous"/>
    </xf>
    <xf numFmtId="172" fontId="68" fillId="0" borderId="0" xfId="5" applyFont="1" applyAlignment="1">
      <alignment horizontal="left"/>
    </xf>
    <xf numFmtId="172" fontId="69" fillId="0" borderId="0" xfId="5" applyFont="1"/>
    <xf numFmtId="172" fontId="68" fillId="0" borderId="0" xfId="5" applyFont="1" applyAlignment="1">
      <alignment horizontal="centerContinuous"/>
    </xf>
    <xf numFmtId="172" fontId="73" fillId="0" borderId="0" xfId="5" applyFont="1"/>
    <xf numFmtId="172" fontId="73" fillId="0" borderId="0" xfId="5" applyFont="1" applyAlignment="1">
      <alignment horizontal="right"/>
    </xf>
    <xf numFmtId="172" fontId="73" fillId="0" borderId="0" xfId="5" applyFont="1" applyAlignment="1" applyProtection="1">
      <alignment horizontal="left"/>
      <protection locked="0"/>
    </xf>
    <xf numFmtId="172" fontId="73" fillId="0" borderId="0" xfId="5" applyFont="1" applyAlignment="1">
      <alignment horizontal="centerContinuous"/>
    </xf>
    <xf numFmtId="172" fontId="73" fillId="0" borderId="0" xfId="5" applyFont="1" applyAlignment="1">
      <alignment horizontal="left"/>
    </xf>
    <xf numFmtId="49" fontId="73" fillId="0" borderId="0" xfId="5" quotePrefix="1" applyNumberFormat="1" applyFont="1" applyAlignment="1" applyProtection="1">
      <alignment horizontal="left"/>
      <protection locked="0"/>
    </xf>
    <xf numFmtId="172" fontId="74" fillId="0" borderId="139" xfId="5" applyFont="1" applyBorder="1" applyAlignment="1">
      <alignment horizontal="centerContinuous"/>
    </xf>
    <xf numFmtId="172" fontId="70" fillId="0" borderId="140" xfId="5" applyFont="1" applyBorder="1" applyAlignment="1">
      <alignment horizontal="centerContinuous"/>
    </xf>
    <xf numFmtId="172" fontId="70" fillId="0" borderId="141" xfId="5" applyFont="1" applyBorder="1" applyAlignment="1">
      <alignment horizontal="centerContinuous"/>
    </xf>
    <xf numFmtId="172" fontId="73" fillId="0" borderId="45" xfId="5" applyFont="1" applyBorder="1"/>
    <xf numFmtId="172" fontId="73" fillId="0" borderId="0" xfId="5" applyFont="1" applyAlignment="1" applyProtection="1">
      <alignment horizontal="center"/>
      <protection locked="0"/>
    </xf>
    <xf numFmtId="172" fontId="73" fillId="0" borderId="21" xfId="5" applyFont="1" applyBorder="1" applyAlignment="1" applyProtection="1">
      <alignment horizontal="center"/>
      <protection locked="0"/>
    </xf>
    <xf numFmtId="172" fontId="73" fillId="0" borderId="0" xfId="5" applyFont="1" applyAlignment="1">
      <alignment horizontal="center"/>
    </xf>
    <xf numFmtId="49" fontId="73" fillId="0" borderId="0" xfId="5" applyNumberFormat="1" applyFont="1" applyAlignment="1">
      <alignment horizontal="center"/>
    </xf>
    <xf numFmtId="172" fontId="73" fillId="0" borderId="0" xfId="5" quotePrefix="1" applyFont="1" applyAlignment="1">
      <alignment horizontal="right"/>
    </xf>
    <xf numFmtId="172" fontId="73" fillId="0" borderId="0" xfId="5" quotePrefix="1" applyFont="1" applyAlignment="1" applyProtection="1">
      <alignment horizontal="center"/>
      <protection locked="0"/>
    </xf>
    <xf numFmtId="172" fontId="73" fillId="0" borderId="21" xfId="5" applyFont="1" applyBorder="1"/>
    <xf numFmtId="172" fontId="73" fillId="0" borderId="46" xfId="5" applyFont="1" applyBorder="1"/>
    <xf numFmtId="172" fontId="73" fillId="0" borderId="23" xfId="5" applyFont="1" applyBorder="1" applyAlignment="1">
      <alignment horizontal="right"/>
    </xf>
    <xf numFmtId="167" fontId="73" fillId="0" borderId="23" xfId="5" quotePrefix="1" applyNumberFormat="1" applyFont="1" applyBorder="1" applyAlignment="1" applyProtection="1">
      <alignment horizontal="center"/>
      <protection locked="0"/>
    </xf>
    <xf numFmtId="172" fontId="73" fillId="0" borderId="23" xfId="5" applyFont="1" applyBorder="1"/>
    <xf numFmtId="167" fontId="73" fillId="0" borderId="23" xfId="5" applyNumberFormat="1" applyFont="1" applyBorder="1"/>
    <xf numFmtId="172" fontId="73" fillId="0" borderId="24" xfId="5" applyFont="1" applyBorder="1"/>
    <xf numFmtId="172" fontId="75" fillId="0" borderId="45" xfId="5" quotePrefix="1" applyFont="1" applyBorder="1" applyAlignment="1">
      <alignment horizontal="left"/>
    </xf>
    <xf numFmtId="172" fontId="69" fillId="0" borderId="0" xfId="5" quotePrefix="1" applyFont="1" applyAlignment="1">
      <alignment horizontal="right"/>
    </xf>
    <xf numFmtId="172" fontId="69" fillId="0" borderId="108" xfId="5" applyFont="1" applyBorder="1"/>
    <xf numFmtId="172" fontId="75" fillId="0" borderId="0" xfId="5" applyFont="1" applyAlignment="1">
      <alignment horizontal="left"/>
    </xf>
    <xf numFmtId="172" fontId="69" fillId="0" borderId="0" xfId="5" applyFont="1" applyAlignment="1">
      <alignment horizontal="right"/>
    </xf>
    <xf numFmtId="172" fontId="69" fillId="0" borderId="108" xfId="5" applyFont="1" applyBorder="1" applyAlignment="1">
      <alignment horizontal="right"/>
    </xf>
    <xf numFmtId="172" fontId="75" fillId="0" borderId="0" xfId="5" quotePrefix="1" applyFont="1" applyAlignment="1">
      <alignment horizontal="left"/>
    </xf>
    <xf numFmtId="172" fontId="69" fillId="0" borderId="21" xfId="5" applyFont="1" applyBorder="1"/>
    <xf numFmtId="172" fontId="66" fillId="0" borderId="45" xfId="5" applyBorder="1"/>
    <xf numFmtId="172" fontId="73" fillId="0" borderId="108" xfId="5" applyFont="1" applyBorder="1" applyAlignment="1" applyProtection="1">
      <alignment horizontal="center"/>
      <protection locked="0"/>
    </xf>
    <xf numFmtId="1" fontId="73" fillId="0" borderId="108" xfId="5" applyNumberFormat="1" applyFont="1" applyBorder="1" applyAlignment="1">
      <alignment horizontal="center"/>
    </xf>
    <xf numFmtId="172" fontId="73" fillId="0" borderId="108" xfId="5" applyFont="1" applyBorder="1"/>
    <xf numFmtId="172" fontId="73" fillId="0" borderId="48" xfId="5" applyFont="1" applyBorder="1"/>
    <xf numFmtId="172" fontId="73" fillId="0" borderId="48" xfId="5" applyFont="1" applyBorder="1" applyAlignment="1">
      <alignment horizontal="left"/>
    </xf>
    <xf numFmtId="172" fontId="74" fillId="0" borderId="142" xfId="5" applyFont="1" applyBorder="1" applyAlignment="1">
      <alignment horizontal="centerContinuous"/>
    </xf>
    <xf numFmtId="172" fontId="70" fillId="0" borderId="143" xfId="5" applyFont="1" applyBorder="1" applyAlignment="1">
      <alignment horizontal="centerContinuous"/>
    </xf>
    <xf numFmtId="172" fontId="66" fillId="0" borderId="144" xfId="5" applyBorder="1"/>
    <xf numFmtId="172" fontId="70" fillId="0" borderId="145" xfId="5" applyFont="1" applyBorder="1" applyAlignment="1">
      <alignment horizontal="centerContinuous"/>
    </xf>
    <xf numFmtId="172" fontId="75" fillId="0" borderId="45" xfId="5" applyFont="1" applyBorder="1" applyAlignment="1">
      <alignment horizontal="left"/>
    </xf>
    <xf numFmtId="172" fontId="66" fillId="0" borderId="108" xfId="5" applyBorder="1"/>
    <xf numFmtId="167" fontId="73" fillId="0" borderId="0" xfId="5" applyNumberFormat="1" applyFont="1" applyAlignment="1" applyProtection="1">
      <alignment horizontal="center"/>
      <protection locked="0"/>
    </xf>
    <xf numFmtId="172" fontId="73" fillId="0" borderId="45" xfId="5" applyFont="1" applyBorder="1" applyAlignment="1">
      <alignment horizontal="left"/>
    </xf>
    <xf numFmtId="172" fontId="66" fillId="0" borderId="48" xfId="5" applyBorder="1"/>
    <xf numFmtId="172" fontId="70" fillId="0" borderId="0" xfId="5" applyFont="1" applyAlignment="1">
      <alignment horizontal="left"/>
    </xf>
    <xf numFmtId="172" fontId="70" fillId="0" borderId="142" xfId="5" applyFont="1" applyBorder="1"/>
    <xf numFmtId="172" fontId="69" fillId="0" borderId="143" xfId="5" applyFont="1" applyBorder="1" applyAlignment="1">
      <alignment horizontal="left"/>
    </xf>
    <xf numFmtId="172" fontId="69" fillId="0" borderId="145" xfId="5" applyFont="1" applyBorder="1" applyAlignment="1">
      <alignment horizontal="left"/>
    </xf>
    <xf numFmtId="172" fontId="73" fillId="0" borderId="45" xfId="5" quotePrefix="1" applyFont="1" applyBorder="1" applyAlignment="1">
      <alignment horizontal="left"/>
    </xf>
    <xf numFmtId="172" fontId="73" fillId="0" borderId="21" xfId="5" applyFont="1" applyBorder="1" applyAlignment="1">
      <alignment horizontal="left"/>
    </xf>
    <xf numFmtId="172" fontId="76" fillId="0" borderId="146" xfId="5" applyFont="1" applyBorder="1"/>
    <xf numFmtId="172" fontId="73" fillId="0" borderId="0" xfId="5" quotePrefix="1" applyFont="1" applyAlignment="1">
      <alignment horizontal="left"/>
    </xf>
    <xf numFmtId="172" fontId="73" fillId="0" borderId="147" xfId="5" quotePrefix="1" applyFont="1" applyBorder="1" applyAlignment="1">
      <alignment horizontal="left"/>
    </xf>
    <xf numFmtId="172" fontId="73" fillId="0" borderId="148" xfId="5" quotePrefix="1" applyFont="1" applyBorder="1" applyAlignment="1">
      <alignment horizontal="left"/>
    </xf>
    <xf numFmtId="172" fontId="73" fillId="0" borderId="46" xfId="5" applyFont="1" applyBorder="1" applyAlignment="1">
      <alignment horizontal="left"/>
    </xf>
    <xf numFmtId="172" fontId="73" fillId="0" borderId="23" xfId="5" applyFont="1" applyBorder="1" applyAlignment="1">
      <alignment horizontal="left"/>
    </xf>
    <xf numFmtId="172" fontId="73" fillId="0" borderId="24" xfId="5" applyFont="1" applyBorder="1" applyAlignment="1">
      <alignment horizontal="left"/>
    </xf>
    <xf numFmtId="172" fontId="69" fillId="0" borderId="0" xfId="5" applyFont="1" applyAlignment="1">
      <alignment horizontal="left"/>
    </xf>
    <xf numFmtId="172" fontId="77" fillId="0" borderId="0" xfId="5" applyFont="1" applyAlignment="1">
      <alignment horizontal="right"/>
    </xf>
    <xf numFmtId="172" fontId="66" fillId="0" borderId="0" xfId="5" applyAlignment="1">
      <alignment horizontal="right"/>
    </xf>
    <xf numFmtId="49" fontId="59" fillId="0" borderId="40" xfId="4" applyNumberFormat="1" applyFont="1" applyBorder="1"/>
    <xf numFmtId="0" fontId="58" fillId="0" borderId="20" xfId="4" applyFont="1" applyBorder="1" applyAlignment="1">
      <alignment horizontal="right"/>
    </xf>
    <xf numFmtId="0" fontId="58" fillId="0" borderId="47" xfId="4" applyFont="1" applyBorder="1" applyAlignment="1">
      <alignment horizontal="right"/>
    </xf>
    <xf numFmtId="0" fontId="58" fillId="0" borderId="102" xfId="4" applyFont="1" applyBorder="1" applyAlignment="1">
      <alignment horizontal="center"/>
    </xf>
    <xf numFmtId="0" fontId="31" fillId="0" borderId="38" xfId="4" applyFont="1" applyBorder="1" applyAlignment="1">
      <alignment horizontal="center"/>
    </xf>
    <xf numFmtId="0" fontId="58" fillId="0" borderId="61" xfId="4" applyFont="1" applyBorder="1" applyAlignment="1">
      <alignment horizontal="center"/>
    </xf>
    <xf numFmtId="0" fontId="31" fillId="0" borderId="38" xfId="4" applyFont="1" applyBorder="1"/>
    <xf numFmtId="0" fontId="1" fillId="0" borderId="46" xfId="4" applyBorder="1"/>
    <xf numFmtId="0" fontId="31" fillId="0" borderId="48" xfId="4" applyFont="1" applyBorder="1" applyAlignment="1">
      <alignment horizontal="center"/>
    </xf>
    <xf numFmtId="0" fontId="56" fillId="0" borderId="134" xfId="4" applyFont="1" applyBorder="1" applyAlignment="1">
      <alignment horizontal="center"/>
    </xf>
    <xf numFmtId="0" fontId="31" fillId="0" borderId="48" xfId="4" applyFont="1" applyBorder="1"/>
    <xf numFmtId="0" fontId="58" fillId="0" borderId="102" xfId="4" applyFont="1" applyBorder="1" applyAlignment="1">
      <alignment horizontal="right"/>
    </xf>
    <xf numFmtId="0" fontId="31" fillId="0" borderId="27" xfId="4" applyFont="1" applyBorder="1" applyAlignment="1">
      <alignment horizontal="center"/>
    </xf>
    <xf numFmtId="0" fontId="58" fillId="0" borderId="46" xfId="4" applyFont="1" applyBorder="1" applyAlignment="1">
      <alignment horizontal="right"/>
    </xf>
    <xf numFmtId="0" fontId="31" fillId="0" borderId="24" xfId="4" applyFont="1" applyBorder="1" applyAlignment="1">
      <alignment horizontal="center"/>
    </xf>
    <xf numFmtId="0" fontId="31" fillId="0" borderId="32" xfId="4" applyFont="1" applyBorder="1" applyAlignment="1">
      <alignment horizontal="center"/>
    </xf>
    <xf numFmtId="0" fontId="56" fillId="0" borderId="0" xfId="4" applyFont="1" applyAlignment="1">
      <alignment horizontal="center"/>
    </xf>
    <xf numFmtId="172" fontId="67" fillId="0" borderId="6" xfId="6" applyFont="1" applyBorder="1" applyAlignment="1">
      <alignment horizontal="centerContinuous"/>
    </xf>
    <xf numFmtId="172" fontId="67" fillId="0" borderId="7" xfId="6" applyFont="1" applyBorder="1" applyAlignment="1">
      <alignment horizontal="centerContinuous"/>
    </xf>
    <xf numFmtId="172" fontId="68" fillId="0" borderId="12" xfId="6" applyFont="1" applyBorder="1" applyAlignment="1">
      <alignment horizontal="left"/>
    </xf>
    <xf numFmtId="172" fontId="69" fillId="0" borderId="55" xfId="6" applyFont="1" applyBorder="1"/>
    <xf numFmtId="172" fontId="68" fillId="0" borderId="13" xfId="6" applyFont="1" applyBorder="1" applyAlignment="1">
      <alignment horizontal="centerContinuous"/>
    </xf>
    <xf numFmtId="172" fontId="69" fillId="0" borderId="14" xfId="6" applyFont="1" applyBorder="1" applyAlignment="1">
      <alignment horizontal="centerContinuous"/>
    </xf>
    <xf numFmtId="172" fontId="79" fillId="0" borderId="0" xfId="6"/>
    <xf numFmtId="172" fontId="67" fillId="0" borderId="45" xfId="6" applyFont="1" applyBorder="1" applyAlignment="1">
      <alignment horizontal="centerContinuous"/>
    </xf>
    <xf numFmtId="172" fontId="67" fillId="0" borderId="0" xfId="6" applyFont="1" applyAlignment="1">
      <alignment horizontal="centerContinuous"/>
    </xf>
    <xf numFmtId="172" fontId="68" fillId="0" borderId="109" xfId="6" applyFont="1" applyBorder="1" applyAlignment="1">
      <alignment horizontal="left"/>
    </xf>
    <xf numFmtId="172" fontId="69" fillId="0" borderId="39" xfId="6" applyFont="1" applyBorder="1"/>
    <xf numFmtId="172" fontId="68" fillId="0" borderId="40" xfId="6" applyFont="1" applyBorder="1" applyAlignment="1">
      <alignment horizontal="centerContinuous"/>
    </xf>
    <xf numFmtId="172" fontId="69" fillId="0" borderId="29" xfId="6" applyFont="1" applyBorder="1" applyAlignment="1">
      <alignment horizontal="centerContinuous"/>
    </xf>
    <xf numFmtId="172" fontId="69" fillId="0" borderId="45" xfId="6" applyFont="1" applyBorder="1" applyAlignment="1">
      <alignment horizontal="centerContinuous"/>
    </xf>
    <xf numFmtId="172" fontId="69" fillId="0" borderId="0" xfId="6" applyFont="1" applyAlignment="1">
      <alignment horizontal="centerContinuous"/>
    </xf>
    <xf numFmtId="172" fontId="70" fillId="0" borderId="45" xfId="6" applyFont="1" applyBorder="1" applyAlignment="1">
      <alignment horizontal="centerContinuous"/>
    </xf>
    <xf numFmtId="172" fontId="81" fillId="0" borderId="46" xfId="6" applyFont="1" applyBorder="1" applyAlignment="1">
      <alignment horizontal="centerContinuous"/>
    </xf>
    <xf numFmtId="172" fontId="69" fillId="0" borderId="23" xfId="6" applyFont="1" applyBorder="1" applyAlignment="1">
      <alignment horizontal="centerContinuous"/>
    </xf>
    <xf numFmtId="172" fontId="68" fillId="0" borderId="46" xfId="6" applyFont="1" applyBorder="1" applyAlignment="1">
      <alignment horizontal="left"/>
    </xf>
    <xf numFmtId="172" fontId="69" fillId="0" borderId="48" xfId="6" applyFont="1" applyBorder="1"/>
    <xf numFmtId="172" fontId="82" fillId="0" borderId="23" xfId="6" applyFont="1" applyBorder="1" applyAlignment="1">
      <alignment horizontal="centerContinuous"/>
    </xf>
    <xf numFmtId="172" fontId="69" fillId="0" borderId="24" xfId="6" applyFont="1" applyBorder="1" applyAlignment="1">
      <alignment horizontal="centerContinuous"/>
    </xf>
    <xf numFmtId="172" fontId="69" fillId="0" borderId="0" xfId="6" applyFont="1"/>
    <xf numFmtId="172" fontId="73" fillId="0" borderId="0" xfId="6" applyFont="1"/>
    <xf numFmtId="172" fontId="73" fillId="0" borderId="0" xfId="6" applyFont="1" applyAlignment="1">
      <alignment horizontal="right"/>
    </xf>
    <xf numFmtId="172" fontId="73" fillId="0" borderId="0" xfId="6" applyFont="1" applyAlignment="1">
      <alignment horizontal="left"/>
    </xf>
    <xf numFmtId="172" fontId="73" fillId="0" borderId="0" xfId="6" quotePrefix="1" applyFont="1" applyAlignment="1">
      <alignment horizontal="left"/>
    </xf>
    <xf numFmtId="172" fontId="73" fillId="0" borderId="0" xfId="6" quotePrefix="1" applyFont="1" applyAlignment="1">
      <alignment horizontal="right"/>
    </xf>
    <xf numFmtId="167" fontId="73" fillId="0" borderId="0" xfId="6" quotePrefix="1" applyNumberFormat="1" applyFont="1" applyAlignment="1">
      <alignment horizontal="left"/>
    </xf>
    <xf numFmtId="172" fontId="73" fillId="0" borderId="0" xfId="6" applyFont="1" applyAlignment="1">
      <alignment horizontal="centerContinuous"/>
    </xf>
    <xf numFmtId="172" fontId="74" fillId="0" borderId="0" xfId="6" applyFont="1" applyAlignment="1">
      <alignment horizontal="center"/>
    </xf>
    <xf numFmtId="172" fontId="73" fillId="0" borderId="0" xfId="6" applyFont="1" applyAlignment="1">
      <alignment horizontal="center"/>
    </xf>
    <xf numFmtId="172" fontId="83" fillId="0" borderId="131" xfId="6" applyFont="1" applyBorder="1" applyAlignment="1">
      <alignment horizontal="right"/>
    </xf>
    <xf numFmtId="167" fontId="73" fillId="0" borderId="0" xfId="6" applyNumberFormat="1" applyFont="1" applyAlignment="1">
      <alignment horizontal="center"/>
    </xf>
    <xf numFmtId="167" fontId="73" fillId="0" borderId="0" xfId="6" quotePrefix="1" applyNumberFormat="1" applyFont="1" applyAlignment="1">
      <alignment horizontal="center"/>
    </xf>
    <xf numFmtId="1" fontId="73" fillId="0" borderId="0" xfId="6" applyNumberFormat="1" applyFont="1" applyAlignment="1">
      <alignment horizontal="center"/>
    </xf>
    <xf numFmtId="1" fontId="73" fillId="0" borderId="0" xfId="6" quotePrefix="1" applyNumberFormat="1" applyFont="1" applyAlignment="1">
      <alignment horizontal="center"/>
    </xf>
    <xf numFmtId="172" fontId="84" fillId="0" borderId="150" xfId="6" applyFont="1" applyBorder="1" applyAlignment="1">
      <alignment horizontal="right"/>
    </xf>
    <xf numFmtId="167" fontId="83" fillId="0" borderId="131" xfId="6" applyNumberFormat="1" applyFont="1" applyBorder="1" applyAlignment="1">
      <alignment horizontal="right"/>
    </xf>
    <xf numFmtId="167" fontId="23" fillId="0" borderId="131" xfId="6" applyNumberFormat="1" applyFont="1" applyBorder="1" applyAlignment="1">
      <alignment horizontal="left"/>
    </xf>
    <xf numFmtId="167" fontId="23" fillId="0" borderId="131" xfId="6" applyNumberFormat="1" applyFont="1" applyBorder="1" applyAlignment="1">
      <alignment horizontal="center"/>
    </xf>
    <xf numFmtId="172" fontId="73" fillId="0" borderId="16" xfId="6" applyFont="1" applyBorder="1"/>
    <xf numFmtId="172" fontId="85" fillId="0" borderId="0" xfId="6" applyFont="1" applyAlignment="1">
      <alignment horizontal="center"/>
    </xf>
    <xf numFmtId="39" fontId="73" fillId="0" borderId="0" xfId="6" applyNumberFormat="1" applyFont="1" applyAlignment="1">
      <alignment horizontal="center"/>
    </xf>
    <xf numFmtId="172" fontId="70" fillId="0" borderId="0" xfId="7" applyFont="1" applyAlignment="1">
      <alignment horizontal="centerContinuous"/>
    </xf>
    <xf numFmtId="172" fontId="73" fillId="0" borderId="0" xfId="7" applyFont="1" applyAlignment="1">
      <alignment horizontal="centerContinuous"/>
    </xf>
    <xf numFmtId="172" fontId="76" fillId="0" borderId="0" xfId="6" applyFont="1" applyAlignment="1">
      <alignment horizontal="center"/>
    </xf>
    <xf numFmtId="1" fontId="83" fillId="0" borderId="131" xfId="6" applyNumberFormat="1" applyFont="1" applyBorder="1" applyAlignment="1">
      <alignment horizontal="right"/>
    </xf>
    <xf numFmtId="1" fontId="23" fillId="0" borderId="131" xfId="6" applyNumberFormat="1" applyFont="1" applyBorder="1" applyAlignment="1">
      <alignment horizontal="left"/>
    </xf>
    <xf numFmtId="1" fontId="23" fillId="0" borderId="131" xfId="6" applyNumberFormat="1" applyFont="1" applyBorder="1" applyAlignment="1">
      <alignment horizontal="center"/>
    </xf>
    <xf numFmtId="172" fontId="86" fillId="0" borderId="0" xfId="7" applyFont="1" applyAlignment="1">
      <alignment horizontal="center"/>
    </xf>
    <xf numFmtId="166" fontId="73" fillId="0" borderId="0" xfId="7" quotePrefix="1" applyNumberFormat="1" applyFont="1" applyAlignment="1">
      <alignment horizontal="center"/>
    </xf>
    <xf numFmtId="166" fontId="73" fillId="0" borderId="0" xfId="7" applyNumberFormat="1" applyFont="1" applyAlignment="1">
      <alignment horizontal="center"/>
    </xf>
    <xf numFmtId="172" fontId="23" fillId="0" borderId="131" xfId="6" applyFont="1" applyBorder="1" applyAlignment="1">
      <alignment horizontal="left"/>
    </xf>
    <xf numFmtId="39" fontId="23" fillId="0" borderId="131" xfId="6" applyNumberFormat="1" applyFont="1" applyBorder="1" applyAlignment="1">
      <alignment horizontal="center"/>
    </xf>
    <xf numFmtId="172" fontId="85" fillId="0" borderId="16" xfId="6" applyFont="1" applyBorder="1" applyAlignment="1">
      <alignment horizontal="center"/>
    </xf>
    <xf numFmtId="172" fontId="74" fillId="0" borderId="0" xfId="7" applyFont="1" applyAlignment="1">
      <alignment horizontal="centerContinuous"/>
    </xf>
    <xf numFmtId="172" fontId="73" fillId="0" borderId="0" xfId="7" quotePrefix="1" applyFont="1" applyAlignment="1">
      <alignment horizontal="center"/>
    </xf>
    <xf numFmtId="175" fontId="73" fillId="0" borderId="0" xfId="7" quotePrefix="1" applyNumberFormat="1" applyFont="1" applyAlignment="1">
      <alignment horizontal="centerContinuous"/>
    </xf>
    <xf numFmtId="1" fontId="76" fillId="0" borderId="0" xfId="6" applyNumberFormat="1" applyFont="1" applyAlignment="1">
      <alignment horizontal="center"/>
    </xf>
    <xf numFmtId="172" fontId="76" fillId="0" borderId="0" xfId="6" applyFont="1"/>
    <xf numFmtId="172" fontId="70" fillId="0" borderId="0" xfId="7" applyFont="1" applyAlignment="1">
      <alignment horizontal="center"/>
    </xf>
    <xf numFmtId="172" fontId="77" fillId="0" borderId="0" xfId="6" applyFont="1" applyAlignment="1">
      <alignment horizontal="left"/>
    </xf>
    <xf numFmtId="1" fontId="79" fillId="0" borderId="0" xfId="6" applyNumberFormat="1" applyAlignment="1">
      <alignment horizontal="center"/>
    </xf>
    <xf numFmtId="1" fontId="70" fillId="0" borderId="0" xfId="6" applyNumberFormat="1" applyFont="1" applyAlignment="1">
      <alignment horizontal="center"/>
    </xf>
    <xf numFmtId="172" fontId="77" fillId="0" borderId="0" xfId="6" applyFont="1" applyAlignment="1">
      <alignment horizontal="right"/>
    </xf>
    <xf numFmtId="14" fontId="70" fillId="0" borderId="149" xfId="6" applyNumberFormat="1" applyFont="1" applyBorder="1" applyAlignment="1">
      <alignment horizontal="centerContinuous"/>
    </xf>
    <xf numFmtId="14" fontId="70" fillId="0" borderId="149" xfId="6" quotePrefix="1" applyNumberFormat="1" applyFont="1" applyBorder="1" applyAlignment="1">
      <alignment horizontal="centerContinuous"/>
    </xf>
    <xf numFmtId="172" fontId="67" fillId="0" borderId="6" xfId="8" applyNumberFormat="1" applyFont="1" applyBorder="1" applyAlignment="1">
      <alignment horizontal="centerContinuous"/>
    </xf>
    <xf numFmtId="172" fontId="67" fillId="0" borderId="7" xfId="8" applyNumberFormat="1" applyFont="1" applyBorder="1" applyAlignment="1">
      <alignment horizontal="centerContinuous"/>
    </xf>
    <xf numFmtId="172" fontId="68" fillId="0" borderId="12" xfId="8" applyNumberFormat="1" applyFont="1" applyBorder="1" applyAlignment="1">
      <alignment horizontal="left"/>
    </xf>
    <xf numFmtId="172" fontId="69" fillId="0" borderId="55" xfId="8" applyNumberFormat="1" applyFont="1" applyBorder="1"/>
    <xf numFmtId="172" fontId="70" fillId="0" borderId="0" xfId="8" applyNumberFormat="1" applyFont="1"/>
    <xf numFmtId="172" fontId="66" fillId="0" borderId="0" xfId="8" applyNumberFormat="1"/>
    <xf numFmtId="172" fontId="67" fillId="0" borderId="45" xfId="8" applyNumberFormat="1" applyFont="1" applyBorder="1" applyAlignment="1">
      <alignment horizontal="centerContinuous"/>
    </xf>
    <xf numFmtId="172" fontId="67" fillId="0" borderId="0" xfId="8" applyNumberFormat="1" applyFont="1" applyAlignment="1">
      <alignment horizontal="centerContinuous"/>
    </xf>
    <xf numFmtId="172" fontId="68" fillId="0" borderId="109" xfId="8" applyNumberFormat="1" applyFont="1" applyBorder="1" applyAlignment="1">
      <alignment horizontal="left"/>
    </xf>
    <xf numFmtId="172" fontId="69" fillId="0" borderId="39" xfId="8" applyNumberFormat="1" applyFont="1" applyBorder="1"/>
    <xf numFmtId="172" fontId="68" fillId="0" borderId="40" xfId="8" applyNumberFormat="1" applyFont="1" applyBorder="1" applyAlignment="1">
      <alignment horizontal="centerContinuous"/>
    </xf>
    <xf numFmtId="172" fontId="69" fillId="0" borderId="29" xfId="8" applyNumberFormat="1" applyFont="1" applyBorder="1" applyAlignment="1">
      <alignment horizontal="centerContinuous"/>
    </xf>
    <xf numFmtId="172" fontId="69" fillId="0" borderId="45" xfId="8" applyNumberFormat="1" applyFont="1" applyBorder="1" applyAlignment="1">
      <alignment horizontal="centerContinuous"/>
    </xf>
    <xf numFmtId="172" fontId="69" fillId="0" borderId="0" xfId="8" applyNumberFormat="1" applyFont="1" applyAlignment="1">
      <alignment horizontal="centerContinuous"/>
    </xf>
    <xf numFmtId="172" fontId="71" fillId="0" borderId="45" xfId="8" applyNumberFormat="1" applyFont="1" applyBorder="1" applyAlignment="1">
      <alignment horizontal="centerContinuous"/>
    </xf>
    <xf numFmtId="172" fontId="70" fillId="0" borderId="45" xfId="8" applyNumberFormat="1" applyFont="1" applyBorder="1" applyAlignment="1">
      <alignment horizontal="centerContinuous"/>
    </xf>
    <xf numFmtId="172" fontId="70" fillId="0" borderId="46" xfId="8" applyNumberFormat="1" applyFont="1" applyBorder="1" applyAlignment="1">
      <alignment horizontal="centerContinuous"/>
    </xf>
    <xf numFmtId="172" fontId="69" fillId="0" borderId="23" xfId="8" applyNumberFormat="1" applyFont="1" applyBorder="1" applyAlignment="1">
      <alignment horizontal="centerContinuous"/>
    </xf>
    <xf numFmtId="172" fontId="68" fillId="0" borderId="46" xfId="8" applyNumberFormat="1" applyFont="1" applyBorder="1" applyAlignment="1">
      <alignment horizontal="left"/>
    </xf>
    <xf numFmtId="172" fontId="69" fillId="0" borderId="48" xfId="8" applyNumberFormat="1" applyFont="1" applyBorder="1"/>
    <xf numFmtId="172" fontId="69" fillId="0" borderId="0" xfId="8" applyNumberFormat="1" applyFont="1"/>
    <xf numFmtId="172" fontId="85" fillId="0" borderId="151" xfId="8" applyNumberFormat="1" applyFont="1" applyBorder="1"/>
    <xf numFmtId="172" fontId="85" fillId="0" borderId="152" xfId="8" applyNumberFormat="1" applyFont="1" applyBorder="1"/>
    <xf numFmtId="172" fontId="66" fillId="0" borderId="152" xfId="8" applyNumberFormat="1" applyBorder="1"/>
    <xf numFmtId="172" fontId="85" fillId="0" borderId="152" xfId="8" applyNumberFormat="1" applyFont="1" applyBorder="1" applyAlignment="1">
      <alignment horizontal="right"/>
    </xf>
    <xf numFmtId="176" fontId="84" fillId="0" borderId="152" xfId="8" applyNumberFormat="1" applyFont="1" applyBorder="1"/>
    <xf numFmtId="172" fontId="84" fillId="0" borderId="152" xfId="8" applyNumberFormat="1" applyFont="1" applyBorder="1"/>
    <xf numFmtId="172" fontId="84" fillId="0" borderId="152" xfId="8" applyNumberFormat="1" applyFont="1" applyBorder="1" applyAlignment="1">
      <alignment horizontal="right"/>
    </xf>
    <xf numFmtId="172" fontId="84" fillId="0" borderId="152" xfId="8" quotePrefix="1" applyNumberFormat="1" applyFont="1" applyBorder="1"/>
    <xf numFmtId="172" fontId="66" fillId="0" borderId="153" xfId="8" applyNumberFormat="1" applyBorder="1"/>
    <xf numFmtId="172" fontId="66" fillId="0" borderId="46" xfId="8" applyNumberFormat="1" applyBorder="1"/>
    <xf numFmtId="172" fontId="66" fillId="0" borderId="23" xfId="8" applyNumberFormat="1" applyBorder="1"/>
    <xf numFmtId="172" fontId="84" fillId="0" borderId="23" xfId="8" applyNumberFormat="1" applyFont="1" applyBorder="1" applyAlignment="1">
      <alignment horizontal="right"/>
    </xf>
    <xf numFmtId="176" fontId="84" fillId="0" borderId="23" xfId="8" applyNumberFormat="1" applyFont="1" applyBorder="1"/>
    <xf numFmtId="172" fontId="84" fillId="0" borderId="23" xfId="8" applyNumberFormat="1" applyFont="1" applyBorder="1"/>
    <xf numFmtId="172" fontId="66" fillId="0" borderId="24" xfId="8" applyNumberFormat="1" applyBorder="1"/>
    <xf numFmtId="172" fontId="83" fillId="0" borderId="127" xfId="8" applyNumberFormat="1" applyFont="1" applyBorder="1" applyAlignment="1">
      <alignment horizontal="center"/>
    </xf>
    <xf numFmtId="172" fontId="66" fillId="0" borderId="151" xfId="8" applyNumberFormat="1" applyBorder="1"/>
    <xf numFmtId="172" fontId="88" fillId="0" borderId="152" xfId="8" applyNumberFormat="1" applyFont="1" applyBorder="1" applyAlignment="1">
      <alignment horizontal="right"/>
    </xf>
    <xf numFmtId="172" fontId="84" fillId="0" borderId="127" xfId="8" applyNumberFormat="1" applyFont="1" applyBorder="1" applyAlignment="1">
      <alignment horizontal="right"/>
    </xf>
    <xf numFmtId="172" fontId="89" fillId="0" borderId="152" xfId="8" applyNumberFormat="1" applyFont="1" applyBorder="1" applyAlignment="1">
      <alignment horizontal="right"/>
    </xf>
    <xf numFmtId="172" fontId="66" fillId="0" borderId="45" xfId="8" applyNumberFormat="1" applyBorder="1"/>
    <xf numFmtId="172" fontId="84" fillId="0" borderId="0" xfId="8" applyNumberFormat="1" applyFont="1" applyAlignment="1">
      <alignment horizontal="right"/>
    </xf>
    <xf numFmtId="172" fontId="88" fillId="0" borderId="0" xfId="8" applyNumberFormat="1" applyFont="1" applyAlignment="1">
      <alignment horizontal="right"/>
    </xf>
    <xf numFmtId="172" fontId="66" fillId="0" borderId="127" xfId="8" applyNumberFormat="1" applyBorder="1"/>
    <xf numFmtId="172" fontId="89" fillId="0" borderId="0" xfId="8" applyNumberFormat="1" applyFont="1" applyAlignment="1">
      <alignment horizontal="right"/>
    </xf>
    <xf numFmtId="172" fontId="88" fillId="0" borderId="23" xfId="8" applyNumberFormat="1" applyFont="1" applyBorder="1" applyAlignment="1">
      <alignment horizontal="right"/>
    </xf>
    <xf numFmtId="172" fontId="89" fillId="0" borderId="23" xfId="8" applyNumberFormat="1" applyFont="1" applyBorder="1" applyAlignment="1">
      <alignment horizontal="right"/>
    </xf>
    <xf numFmtId="172" fontId="66" fillId="0" borderId="159" xfId="8" applyNumberFormat="1" applyBorder="1"/>
    <xf numFmtId="172" fontId="66" fillId="0" borderId="0" xfId="8" applyNumberFormat="1" applyAlignment="1">
      <alignment horizontal="right"/>
    </xf>
    <xf numFmtId="172" fontId="66" fillId="0" borderId="30" xfId="8" applyNumberFormat="1" applyBorder="1"/>
    <xf numFmtId="172" fontId="66" fillId="0" borderId="23" xfId="8" applyNumberFormat="1" applyBorder="1" applyAlignment="1">
      <alignment horizontal="right"/>
    </xf>
    <xf numFmtId="0" fontId="1" fillId="0" borderId="0" xfId="9"/>
    <xf numFmtId="172" fontId="66" fillId="0" borderId="0" xfId="8" applyNumberFormat="1" applyAlignment="1">
      <alignment horizontal="center"/>
    </xf>
    <xf numFmtId="172" fontId="66" fillId="0" borderId="2" xfId="8" quotePrefix="1" applyNumberFormat="1" applyBorder="1" applyAlignment="1">
      <alignment horizontal="center"/>
    </xf>
    <xf numFmtId="172" fontId="66" fillId="0" borderId="22" xfId="8" quotePrefix="1" applyNumberFormat="1" applyBorder="1" applyAlignment="1">
      <alignment horizontal="center"/>
    </xf>
    <xf numFmtId="172" fontId="66" fillId="0" borderId="22" xfId="8" applyNumberFormat="1" applyBorder="1" applyAlignment="1">
      <alignment horizontal="center"/>
    </xf>
    <xf numFmtId="172" fontId="66" fillId="0" borderId="10" xfId="8" applyNumberFormat="1" applyBorder="1" applyAlignment="1">
      <alignment horizontal="center"/>
    </xf>
    <xf numFmtId="167" fontId="84" fillId="0" borderId="3" xfId="8" applyNumberFormat="1" applyFont="1" applyBorder="1" applyAlignment="1">
      <alignment horizontal="center"/>
    </xf>
    <xf numFmtId="167" fontId="84" fillId="0" borderId="1" xfId="8" applyNumberFormat="1" applyFont="1" applyBorder="1" applyAlignment="1">
      <alignment horizontal="center"/>
    </xf>
    <xf numFmtId="167" fontId="84" fillId="0" borderId="9" xfId="8" applyNumberFormat="1" applyFont="1" applyBorder="1" applyAlignment="1">
      <alignment horizontal="center"/>
    </xf>
    <xf numFmtId="167" fontId="84" fillId="0" borderId="4" xfId="8" quotePrefix="1" applyNumberFormat="1" applyFont="1" applyBorder="1" applyAlignment="1">
      <alignment horizontal="center"/>
    </xf>
    <xf numFmtId="167" fontId="84" fillId="0" borderId="11" xfId="8" quotePrefix="1" applyNumberFormat="1" applyFont="1" applyBorder="1" applyAlignment="1">
      <alignment horizontal="center"/>
    </xf>
    <xf numFmtId="167" fontId="84" fillId="0" borderId="33" xfId="8" quotePrefix="1" applyNumberFormat="1" applyFont="1" applyBorder="1" applyAlignment="1">
      <alignment horizontal="center"/>
    </xf>
    <xf numFmtId="172" fontId="93" fillId="0" borderId="0" xfId="8" applyNumberFormat="1" applyFont="1" applyAlignment="1">
      <alignment horizontal="right"/>
    </xf>
    <xf numFmtId="172" fontId="84" fillId="0" borderId="0" xfId="8" applyNumberFormat="1" applyFont="1"/>
    <xf numFmtId="0" fontId="5" fillId="0" borderId="0" xfId="10" applyFont="1"/>
    <xf numFmtId="172" fontId="94" fillId="0" borderId="0" xfId="8" applyNumberFormat="1" applyFont="1" applyAlignment="1">
      <alignment horizontal="left"/>
    </xf>
    <xf numFmtId="172" fontId="73" fillId="0" borderId="0" xfId="8" applyNumberFormat="1" applyFont="1" applyAlignment="1">
      <alignment horizontal="left"/>
    </xf>
    <xf numFmtId="0" fontId="24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9" fillId="5" borderId="23" xfId="3" applyFont="1" applyFill="1" applyBorder="1" applyAlignment="1">
      <alignment horizontal="center"/>
    </xf>
    <xf numFmtId="0" fontId="28" fillId="0" borderId="80" xfId="1" applyFont="1" applyBorder="1" applyAlignment="1">
      <alignment horizontal="left"/>
    </xf>
    <xf numFmtId="0" fontId="28" fillId="0" borderId="81" xfId="1" applyFont="1" applyBorder="1" applyAlignment="1">
      <alignment horizontal="left"/>
    </xf>
    <xf numFmtId="0" fontId="28" fillId="0" borderId="82" xfId="1" applyFont="1" applyBorder="1" applyAlignment="1">
      <alignment horizontal="left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14" fontId="19" fillId="5" borderId="122" xfId="3" applyNumberFormat="1" applyFont="1" applyFill="1" applyBorder="1" applyAlignment="1">
      <alignment horizontal="center"/>
    </xf>
    <xf numFmtId="14" fontId="19" fillId="5" borderId="123" xfId="3" applyNumberFormat="1" applyFont="1" applyFill="1" applyBorder="1" applyAlignment="1">
      <alignment horizontal="center"/>
    </xf>
    <xf numFmtId="0" fontId="55" fillId="5" borderId="117" xfId="3" applyFont="1" applyFill="1" applyBorder="1" applyAlignment="1">
      <alignment horizontal="center"/>
    </xf>
    <xf numFmtId="0" fontId="55" fillId="5" borderId="118" xfId="3" applyFont="1" applyFill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0" fontId="33" fillId="0" borderId="45" xfId="1" applyFont="1" applyBorder="1" applyAlignment="1">
      <alignment horizontal="center"/>
    </xf>
    <xf numFmtId="0" fontId="33" fillId="0" borderId="0" xfId="1" applyFont="1" applyAlignment="1">
      <alignment horizontal="center"/>
    </xf>
    <xf numFmtId="0" fontId="33" fillId="0" borderId="108" xfId="1" applyFont="1" applyBorder="1" applyAlignment="1">
      <alignment horizontal="center"/>
    </xf>
    <xf numFmtId="0" fontId="33" fillId="0" borderId="109" xfId="1" applyFont="1" applyBorder="1" applyAlignment="1">
      <alignment horizontal="center"/>
    </xf>
    <xf numFmtId="0" fontId="33" fillId="0" borderId="40" xfId="1" applyFont="1" applyBorder="1" applyAlignment="1">
      <alignment horizontal="center"/>
    </xf>
    <xf numFmtId="0" fontId="33" fillId="0" borderId="39" xfId="1" applyFont="1" applyBorder="1" applyAlignment="1">
      <alignment horizontal="center"/>
    </xf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28" fillId="0" borderId="38" xfId="1" applyFont="1" applyBorder="1" applyAlignment="1">
      <alignment horizontal="left"/>
    </xf>
    <xf numFmtId="0" fontId="33" fillId="0" borderId="46" xfId="1" applyFont="1" applyBorder="1" applyAlignment="1">
      <alignment horizontal="center"/>
    </xf>
    <xf numFmtId="0" fontId="33" fillId="0" borderId="23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3" fillId="0" borderId="107" xfId="1" applyFont="1" applyBorder="1" applyAlignment="1">
      <alignment horizontal="left"/>
    </xf>
    <xf numFmtId="0" fontId="33" fillId="0" borderId="77" xfId="1" applyFont="1" applyBorder="1" applyAlignment="1">
      <alignment horizontal="left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0" fontId="51" fillId="0" borderId="50" xfId="2" applyBorder="1" applyAlignment="1">
      <alignment horizontal="left"/>
    </xf>
    <xf numFmtId="0" fontId="51" fillId="0" borderId="13" xfId="2" applyBorder="1" applyAlignment="1">
      <alignment horizontal="left"/>
    </xf>
    <xf numFmtId="170" fontId="51" fillId="0" borderId="50" xfId="2" applyNumberFormat="1" applyBorder="1" applyAlignment="1">
      <alignment horizontal="center"/>
    </xf>
    <xf numFmtId="170" fontId="51" fillId="0" borderId="13" xfId="2" applyNumberFormat="1" applyBorder="1" applyAlignment="1">
      <alignment horizontal="center"/>
    </xf>
    <xf numFmtId="170" fontId="51" fillId="0" borderId="55" xfId="2" applyNumberFormat="1" applyBorder="1" applyAlignment="1">
      <alignment horizontal="center"/>
    </xf>
    <xf numFmtId="49" fontId="51" fillId="0" borderId="50" xfId="2" applyNumberFormat="1" applyBorder="1" applyAlignment="1">
      <alignment horizontal="center"/>
    </xf>
    <xf numFmtId="49" fontId="51" fillId="0" borderId="13" xfId="2" applyNumberFormat="1" applyBorder="1" applyAlignment="1">
      <alignment horizontal="center"/>
    </xf>
    <xf numFmtId="49" fontId="51" fillId="0" borderId="14" xfId="2" applyNumberFormat="1" applyBorder="1" applyAlignment="1">
      <alignment horizontal="center"/>
    </xf>
    <xf numFmtId="0" fontId="53" fillId="0" borderId="45" xfId="2" applyFont="1" applyBorder="1" applyAlignment="1">
      <alignment horizontal="center"/>
    </xf>
    <xf numFmtId="0" fontId="53" fillId="0" borderId="0" xfId="2" applyFont="1" applyAlignment="1">
      <alignment horizontal="center"/>
    </xf>
    <xf numFmtId="0" fontId="53" fillId="0" borderId="53" xfId="2" applyFont="1" applyBorder="1" applyAlignment="1">
      <alignment horizontal="center"/>
    </xf>
    <xf numFmtId="0" fontId="52" fillId="0" borderId="15" xfId="2" applyFont="1" applyBorder="1" applyAlignment="1">
      <alignment horizontal="center"/>
    </xf>
    <xf numFmtId="0" fontId="52" fillId="0" borderId="7" xfId="2" applyFont="1" applyBorder="1" applyAlignment="1">
      <alignment horizontal="center"/>
    </xf>
    <xf numFmtId="0" fontId="52" fillId="0" borderId="130" xfId="2" applyFont="1" applyBorder="1" applyAlignment="1">
      <alignment horizontal="center"/>
    </xf>
    <xf numFmtId="0" fontId="52" fillId="0" borderId="8" xfId="2" applyFont="1" applyBorder="1" applyAlignment="1">
      <alignment horizontal="center"/>
    </xf>
    <xf numFmtId="0" fontId="51" fillId="0" borderId="17" xfId="2" applyBorder="1" applyAlignment="1">
      <alignment horizontal="left"/>
    </xf>
    <xf numFmtId="0" fontId="51" fillId="0" borderId="131" xfId="2" applyBorder="1" applyAlignment="1">
      <alignment horizontal="left"/>
    </xf>
    <xf numFmtId="170" fontId="51" fillId="0" borderId="17" xfId="2" applyNumberFormat="1" applyBorder="1" applyAlignment="1">
      <alignment horizontal="center"/>
    </xf>
    <xf numFmtId="170" fontId="51" fillId="0" borderId="131" xfId="2" applyNumberFormat="1" applyBorder="1" applyAlignment="1">
      <alignment horizontal="center"/>
    </xf>
    <xf numFmtId="170" fontId="51" fillId="0" borderId="132" xfId="2" applyNumberFormat="1" applyBorder="1" applyAlignment="1">
      <alignment horizontal="center"/>
    </xf>
    <xf numFmtId="49" fontId="51" fillId="0" borderId="17" xfId="2" applyNumberFormat="1" applyBorder="1" applyAlignment="1">
      <alignment horizontal="center"/>
    </xf>
    <xf numFmtId="49" fontId="51" fillId="0" borderId="131" xfId="2" applyNumberFormat="1" applyBorder="1" applyAlignment="1">
      <alignment horizontal="center"/>
    </xf>
    <xf numFmtId="49" fontId="51" fillId="0" borderId="16" xfId="2" applyNumberFormat="1" applyBorder="1" applyAlignment="1">
      <alignment horizontal="center"/>
    </xf>
    <xf numFmtId="0" fontId="51" fillId="0" borderId="31" xfId="2" applyBorder="1" applyAlignment="1">
      <alignment horizontal="left"/>
    </xf>
    <xf numFmtId="0" fontId="51" fillId="0" borderId="51" xfId="2" applyBorder="1" applyAlignment="1">
      <alignment horizontal="left"/>
    </xf>
    <xf numFmtId="170" fontId="51" fillId="0" borderId="31" xfId="2" applyNumberFormat="1" applyBorder="1" applyAlignment="1">
      <alignment horizontal="center"/>
    </xf>
    <xf numFmtId="170" fontId="51" fillId="0" borderId="51" xfId="2" applyNumberFormat="1" applyBorder="1" applyAlignment="1">
      <alignment horizontal="center"/>
    </xf>
    <xf numFmtId="170" fontId="51" fillId="0" borderId="133" xfId="2" applyNumberFormat="1" applyBorder="1" applyAlignment="1">
      <alignment horizontal="center"/>
    </xf>
    <xf numFmtId="49" fontId="51" fillId="0" borderId="31" xfId="2" applyNumberFormat="1" applyBorder="1" applyAlignment="1">
      <alignment horizontal="center"/>
    </xf>
    <xf numFmtId="49" fontId="51" fillId="0" borderId="51" xfId="2" applyNumberFormat="1" applyBorder="1" applyAlignment="1">
      <alignment horizontal="center"/>
    </xf>
    <xf numFmtId="49" fontId="51" fillId="0" borderId="32" xfId="2" applyNumberForma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8" fillId="0" borderId="17" xfId="4" applyFont="1" applyBorder="1" applyAlignment="1">
      <alignment horizontal="center"/>
    </xf>
    <xf numFmtId="0" fontId="31" fillId="0" borderId="131" xfId="4" applyFont="1" applyBorder="1" applyAlignment="1">
      <alignment horizontal="center"/>
    </xf>
    <xf numFmtId="0" fontId="31" fillId="0" borderId="132" xfId="4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1" fillId="0" borderId="17" xfId="4" applyFont="1" applyBorder="1" applyAlignment="1">
      <alignment horizontal="center"/>
    </xf>
    <xf numFmtId="0" fontId="56" fillId="0" borderId="17" xfId="4" applyFont="1" applyBorder="1" applyAlignment="1">
      <alignment horizontal="right"/>
    </xf>
    <xf numFmtId="0" fontId="56" fillId="0" borderId="131" xfId="4" applyFont="1" applyBorder="1" applyAlignment="1">
      <alignment horizontal="right"/>
    </xf>
    <xf numFmtId="0" fontId="31" fillId="0" borderId="0" xfId="4" applyFont="1" applyAlignment="1">
      <alignment horizontal="center"/>
    </xf>
    <xf numFmtId="0" fontId="62" fillId="0" borderId="0" xfId="4" applyFont="1" applyAlignment="1">
      <alignment horizontal="right"/>
    </xf>
    <xf numFmtId="0" fontId="24" fillId="0" borderId="0" xfId="4" applyFont="1" applyAlignment="1">
      <alignment horizontal="center"/>
    </xf>
    <xf numFmtId="0" fontId="57" fillId="0" borderId="12" xfId="4" applyFont="1" applyBorder="1" applyAlignment="1">
      <alignment horizontal="left"/>
    </xf>
    <xf numFmtId="0" fontId="57" fillId="0" borderId="13" xfId="4" applyFont="1" applyBorder="1" applyAlignment="1">
      <alignment horizontal="left"/>
    </xf>
    <xf numFmtId="0" fontId="57" fillId="0" borderId="14" xfId="4" applyFont="1" applyBorder="1" applyAlignment="1">
      <alignment horizontal="left"/>
    </xf>
    <xf numFmtId="0" fontId="31" fillId="0" borderId="61" xfId="4" applyFont="1" applyBorder="1" applyAlignment="1">
      <alignment horizontal="center"/>
    </xf>
    <xf numFmtId="0" fontId="31" fillId="0" borderId="27" xfId="4" applyFont="1" applyBorder="1" applyAlignment="1">
      <alignment horizontal="center"/>
    </xf>
    <xf numFmtId="0" fontId="58" fillId="0" borderId="102" xfId="4" applyFont="1" applyBorder="1" applyAlignment="1">
      <alignment horizontal="center"/>
    </xf>
    <xf numFmtId="0" fontId="58" fillId="0" borderId="62" xfId="4" applyFont="1" applyBorder="1" applyAlignment="1">
      <alignment horizontal="center"/>
    </xf>
    <xf numFmtId="0" fontId="58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51" xfId="4" applyFont="1" applyBorder="1" applyAlignment="1">
      <alignment horizontal="right"/>
    </xf>
    <xf numFmtId="0" fontId="31" fillId="0" borderId="51" xfId="4" applyFont="1" applyBorder="1" applyAlignment="1">
      <alignment horizontal="center"/>
    </xf>
    <xf numFmtId="0" fontId="31" fillId="0" borderId="36" xfId="4" applyFont="1" applyBorder="1" applyAlignment="1">
      <alignment horizontal="center"/>
    </xf>
    <xf numFmtId="0" fontId="31" fillId="0" borderId="37" xfId="4" applyFont="1" applyBorder="1" applyAlignment="1">
      <alignment horizontal="center"/>
    </xf>
    <xf numFmtId="0" fontId="31" fillId="0" borderId="46" xfId="4" applyFont="1" applyBorder="1" applyAlignment="1">
      <alignment horizontal="center"/>
    </xf>
    <xf numFmtId="0" fontId="31" fillId="0" borderId="23" xfId="4" applyFont="1" applyBorder="1" applyAlignment="1">
      <alignment horizontal="center"/>
    </xf>
    <xf numFmtId="0" fontId="31" fillId="0" borderId="24" xfId="4" applyFont="1" applyBorder="1" applyAlignment="1">
      <alignment horizontal="center"/>
    </xf>
    <xf numFmtId="0" fontId="58" fillId="0" borderId="61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31" fillId="0" borderId="134" xfId="4" applyFont="1" applyBorder="1" applyAlignment="1">
      <alignment horizontal="center"/>
    </xf>
    <xf numFmtId="0" fontId="31" fillId="0" borderId="62" xfId="4" applyFont="1" applyBorder="1" applyAlignment="1">
      <alignment horizontal="center"/>
    </xf>
    <xf numFmtId="0" fontId="58" fillId="0" borderId="102" xfId="4" applyFont="1" applyBorder="1" applyAlignment="1">
      <alignment horizontal="right"/>
    </xf>
    <xf numFmtId="0" fontId="58" fillId="0" borderId="62" xfId="4" applyFont="1" applyBorder="1" applyAlignment="1">
      <alignment horizontal="right"/>
    </xf>
    <xf numFmtId="0" fontId="58" fillId="0" borderId="46" xfId="4" applyFont="1" applyBorder="1" applyAlignment="1">
      <alignment horizontal="right"/>
    </xf>
    <xf numFmtId="0" fontId="58" fillId="0" borderId="23" xfId="4" applyFont="1" applyBorder="1" applyAlignment="1">
      <alignment horizontal="right"/>
    </xf>
    <xf numFmtId="172" fontId="78" fillId="0" borderId="149" xfId="5" applyFont="1" applyBorder="1" applyAlignment="1" applyProtection="1">
      <alignment horizontal="center"/>
      <protection locked="0"/>
    </xf>
    <xf numFmtId="14" fontId="23" fillId="0" borderId="149" xfId="5" quotePrefix="1" applyNumberFormat="1" applyFont="1" applyBorder="1" applyAlignment="1" applyProtection="1">
      <alignment horizontal="center"/>
      <protection locked="0"/>
    </xf>
    <xf numFmtId="0" fontId="59" fillId="0" borderId="17" xfId="4" applyFont="1" applyBorder="1" applyAlignment="1">
      <alignment horizontal="center"/>
    </xf>
    <xf numFmtId="0" fontId="59" fillId="0" borderId="131" xfId="4" applyFont="1" applyBorder="1" applyAlignment="1">
      <alignment horizontal="center"/>
    </xf>
    <xf numFmtId="0" fontId="59" fillId="0" borderId="132" xfId="4" applyFont="1" applyBorder="1" applyAlignment="1">
      <alignment horizontal="center"/>
    </xf>
    <xf numFmtId="0" fontId="61" fillId="0" borderId="83" xfId="4" applyFont="1" applyBorder="1" applyAlignment="1">
      <alignment horizontal="center"/>
    </xf>
    <xf numFmtId="0" fontId="61" fillId="0" borderId="0" xfId="4" applyFont="1" applyAlignment="1">
      <alignment horizontal="center"/>
    </xf>
    <xf numFmtId="0" fontId="61" fillId="0" borderId="108" xfId="4" applyFont="1" applyBorder="1" applyAlignment="1">
      <alignment horizontal="center"/>
    </xf>
    <xf numFmtId="0" fontId="63" fillId="0" borderId="83" xfId="4" applyFont="1" applyBorder="1" applyAlignment="1">
      <alignment horizontal="center"/>
    </xf>
    <xf numFmtId="0" fontId="63" fillId="0" borderId="0" xfId="4" applyFont="1" applyAlignment="1">
      <alignment horizontal="center"/>
    </xf>
    <xf numFmtId="0" fontId="63" fillId="0" borderId="108" xfId="4" applyFont="1" applyBorder="1" applyAlignment="1">
      <alignment horizontal="center"/>
    </xf>
    <xf numFmtId="173" fontId="68" fillId="0" borderId="17" xfId="6" quotePrefix="1" applyNumberFormat="1" applyFont="1" applyBorder="1" applyAlignment="1">
      <alignment horizontal="center"/>
    </xf>
    <xf numFmtId="173" fontId="68" fillId="0" borderId="16" xfId="6" quotePrefix="1" applyNumberFormat="1" applyFont="1" applyBorder="1" applyAlignment="1">
      <alignment horizontal="center"/>
    </xf>
    <xf numFmtId="172" fontId="23" fillId="0" borderId="45" xfId="6" applyFont="1" applyBorder="1" applyAlignment="1">
      <alignment horizontal="center"/>
    </xf>
    <xf numFmtId="172" fontId="80" fillId="0" borderId="0" xfId="6" applyFont="1" applyAlignment="1">
      <alignment horizontal="center"/>
    </xf>
    <xf numFmtId="172" fontId="80" fillId="0" borderId="21" xfId="6" applyFont="1" applyBorder="1" applyAlignment="1">
      <alignment horizontal="center"/>
    </xf>
    <xf numFmtId="172" fontId="23" fillId="0" borderId="0" xfId="6" applyFont="1" applyAlignment="1">
      <alignment horizontal="center"/>
    </xf>
    <xf numFmtId="172" fontId="23" fillId="0" borderId="21" xfId="6" applyFont="1" applyBorder="1" applyAlignment="1">
      <alignment horizontal="center"/>
    </xf>
    <xf numFmtId="49" fontId="73" fillId="0" borderId="0" xfId="6" applyNumberFormat="1" applyFont="1" applyAlignment="1">
      <alignment horizontal="left"/>
    </xf>
    <xf numFmtId="49" fontId="73" fillId="0" borderId="0" xfId="6" quotePrefix="1" applyNumberFormat="1" applyFont="1" applyAlignment="1">
      <alignment horizontal="left"/>
    </xf>
    <xf numFmtId="172" fontId="83" fillId="0" borderId="12" xfId="6" applyFont="1" applyBorder="1" applyAlignment="1">
      <alignment horizontal="right"/>
    </xf>
    <xf numFmtId="172" fontId="83" fillId="0" borderId="13" xfId="6" applyFont="1" applyBorder="1" applyAlignment="1">
      <alignment horizontal="right"/>
    </xf>
    <xf numFmtId="174" fontId="23" fillId="0" borderId="13" xfId="6" applyNumberFormat="1" applyFont="1" applyBorder="1" applyAlignment="1">
      <alignment horizontal="center"/>
    </xf>
    <xf numFmtId="174" fontId="23" fillId="0" borderId="14" xfId="6" applyNumberFormat="1" applyFont="1" applyBorder="1" applyAlignment="1">
      <alignment horizontal="center"/>
    </xf>
    <xf numFmtId="172" fontId="83" fillId="0" borderId="150" xfId="6" applyFont="1" applyBorder="1" applyAlignment="1">
      <alignment horizontal="right"/>
    </xf>
    <xf numFmtId="172" fontId="83" fillId="0" borderId="131" xfId="6" applyFont="1" applyBorder="1" applyAlignment="1">
      <alignment horizontal="right"/>
    </xf>
    <xf numFmtId="174" fontId="23" fillId="0" borderId="131" xfId="6" applyNumberFormat="1" applyFont="1" applyBorder="1" applyAlignment="1">
      <alignment horizontal="center"/>
    </xf>
    <xf numFmtId="174" fontId="23" fillId="0" borderId="16" xfId="6" applyNumberFormat="1" applyFont="1" applyBorder="1" applyAlignment="1">
      <alignment horizontal="center"/>
    </xf>
    <xf numFmtId="167" fontId="83" fillId="0" borderId="150" xfId="6" applyNumberFormat="1" applyFont="1" applyBorder="1" applyAlignment="1">
      <alignment horizontal="right" vertical="center"/>
    </xf>
    <xf numFmtId="167" fontId="83" fillId="0" borderId="131" xfId="6" applyNumberFormat="1" applyFont="1" applyBorder="1" applyAlignment="1">
      <alignment horizontal="right" vertical="center"/>
    </xf>
    <xf numFmtId="172" fontId="74" fillId="0" borderId="0" xfId="7" applyFont="1" applyAlignment="1">
      <alignment horizontal="center"/>
    </xf>
    <xf numFmtId="39" fontId="83" fillId="0" borderId="150" xfId="6" applyNumberFormat="1" applyFont="1" applyBorder="1" applyAlignment="1">
      <alignment horizontal="right"/>
    </xf>
    <xf numFmtId="39" fontId="83" fillId="0" borderId="131" xfId="6" applyNumberFormat="1" applyFont="1" applyBorder="1" applyAlignment="1">
      <alignment horizontal="right"/>
    </xf>
    <xf numFmtId="172" fontId="23" fillId="0" borderId="0" xfId="7" applyFont="1" applyAlignment="1">
      <alignment horizontal="center" wrapText="1"/>
    </xf>
    <xf numFmtId="172" fontId="23" fillId="0" borderId="0" xfId="7" applyFont="1" applyAlignment="1">
      <alignment horizontal="center"/>
    </xf>
    <xf numFmtId="172" fontId="23" fillId="0" borderId="131" xfId="6" applyFont="1" applyBorder="1" applyAlignment="1">
      <alignment horizontal="center"/>
    </xf>
    <xf numFmtId="172" fontId="23" fillId="0" borderId="16" xfId="6" applyFont="1" applyBorder="1" applyAlignment="1">
      <alignment horizontal="center"/>
    </xf>
    <xf numFmtId="172" fontId="87" fillId="0" borderId="0" xfId="7" applyFont="1" applyAlignment="1">
      <alignment horizontal="center"/>
    </xf>
    <xf numFmtId="172" fontId="70" fillId="0" borderId="149" xfId="6" applyFont="1" applyBorder="1" applyAlignment="1">
      <alignment horizontal="center"/>
    </xf>
    <xf numFmtId="172" fontId="83" fillId="0" borderId="135" xfId="6" applyFont="1" applyBorder="1" applyAlignment="1">
      <alignment horizontal="right"/>
    </xf>
    <xf numFmtId="172" fontId="83" fillId="0" borderId="51" xfId="6" applyFont="1" applyBorder="1" applyAlignment="1">
      <alignment horizontal="right"/>
    </xf>
    <xf numFmtId="172" fontId="23" fillId="0" borderId="51" xfId="6" applyFont="1" applyBorder="1" applyAlignment="1">
      <alignment horizontal="center"/>
    </xf>
    <xf numFmtId="172" fontId="23" fillId="0" borderId="32" xfId="6" applyFont="1" applyBorder="1" applyAlignment="1">
      <alignment horizontal="center"/>
    </xf>
    <xf numFmtId="172" fontId="84" fillId="0" borderId="154" xfId="8" applyNumberFormat="1" applyFont="1" applyBorder="1" applyAlignment="1">
      <alignment horizontal="center"/>
    </xf>
    <xf numFmtId="172" fontId="84" fillId="0" borderId="155" xfId="8" applyNumberFormat="1" applyFont="1" applyBorder="1" applyAlignment="1">
      <alignment horizontal="center"/>
    </xf>
    <xf numFmtId="172" fontId="84" fillId="0" borderId="156" xfId="8" applyNumberFormat="1" applyFont="1" applyBorder="1" applyAlignment="1">
      <alignment horizontal="center"/>
    </xf>
    <xf numFmtId="172" fontId="68" fillId="0" borderId="50" xfId="8" applyNumberFormat="1" applyFont="1" applyBorder="1" applyAlignment="1">
      <alignment horizontal="center"/>
    </xf>
    <xf numFmtId="172" fontId="68" fillId="0" borderId="14" xfId="8" applyNumberFormat="1" applyFont="1" applyBorder="1" applyAlignment="1">
      <alignment horizontal="center"/>
    </xf>
    <xf numFmtId="172" fontId="68" fillId="0" borderId="17" xfId="8" quotePrefix="1" applyNumberFormat="1" applyFont="1" applyBorder="1" applyAlignment="1">
      <alignment horizontal="center"/>
    </xf>
    <xf numFmtId="172" fontId="66" fillId="0" borderId="16" xfId="8" applyNumberFormat="1" applyBorder="1" applyAlignment="1">
      <alignment horizontal="center"/>
    </xf>
    <xf numFmtId="172" fontId="68" fillId="0" borderId="17" xfId="8" applyNumberFormat="1" applyFont="1" applyBorder="1" applyAlignment="1">
      <alignment horizontal="center"/>
    </xf>
    <xf numFmtId="172" fontId="68" fillId="0" borderId="16" xfId="8" quotePrefix="1" applyNumberFormat="1" applyFont="1" applyBorder="1" applyAlignment="1">
      <alignment horizontal="center"/>
    </xf>
    <xf numFmtId="172" fontId="68" fillId="0" borderId="16" xfId="8" applyNumberFormat="1" applyFont="1" applyBorder="1" applyAlignment="1">
      <alignment horizontal="center"/>
    </xf>
    <xf numFmtId="172" fontId="88" fillId="0" borderId="31" xfId="8" applyNumberFormat="1" applyFont="1" applyBorder="1" applyAlignment="1">
      <alignment horizontal="center"/>
    </xf>
    <xf numFmtId="172" fontId="88" fillId="0" borderId="32" xfId="8" applyNumberFormat="1" applyFont="1" applyBorder="1" applyAlignment="1">
      <alignment horizontal="center"/>
    </xf>
    <xf numFmtId="172" fontId="83" fillId="0" borderId="142" xfId="8" applyNumberFormat="1" applyFont="1" applyBorder="1" applyAlignment="1">
      <alignment horizontal="center"/>
    </xf>
    <xf numFmtId="172" fontId="83" fillId="0" borderId="143" xfId="8" applyNumberFormat="1" applyFont="1" applyBorder="1" applyAlignment="1">
      <alignment horizontal="center"/>
    </xf>
    <xf numFmtId="172" fontId="83" fillId="0" borderId="145" xfId="8" applyNumberFormat="1" applyFont="1" applyBorder="1" applyAlignment="1">
      <alignment horizontal="center"/>
    </xf>
    <xf numFmtId="172" fontId="84" fillId="0" borderId="23" xfId="8" applyNumberFormat="1" applyFont="1" applyBorder="1" applyAlignment="1">
      <alignment horizontal="center"/>
    </xf>
    <xf numFmtId="172" fontId="84" fillId="0" borderId="24" xfId="8" applyNumberFormat="1" applyFont="1" applyBorder="1" applyAlignment="1">
      <alignment horizontal="center"/>
    </xf>
    <xf numFmtId="172" fontId="66" fillId="0" borderId="142" xfId="8" applyNumberFormat="1" applyBorder="1" applyAlignment="1">
      <alignment horizontal="center"/>
    </xf>
    <xf numFmtId="172" fontId="66" fillId="0" borderId="143" xfId="8" applyNumberFormat="1" applyBorder="1" applyAlignment="1">
      <alignment horizontal="center"/>
    </xf>
    <xf numFmtId="172" fontId="66" fillId="0" borderId="145" xfId="8" applyNumberFormat="1" applyBorder="1" applyAlignment="1">
      <alignment horizontal="center"/>
    </xf>
    <xf numFmtId="172" fontId="88" fillId="0" borderId="157" xfId="8" applyNumberFormat="1" applyFont="1" applyBorder="1" applyAlignment="1">
      <alignment horizontal="center"/>
    </xf>
    <xf numFmtId="172" fontId="88" fillId="0" borderId="155" xfId="8" applyNumberFormat="1" applyFont="1" applyBorder="1" applyAlignment="1">
      <alignment horizontal="center"/>
    </xf>
    <xf numFmtId="172" fontId="88" fillId="0" borderId="158" xfId="8" applyNumberFormat="1" applyFont="1" applyBorder="1" applyAlignment="1">
      <alignment horizontal="center"/>
    </xf>
    <xf numFmtId="172" fontId="88" fillId="0" borderId="154" xfId="8" applyNumberFormat="1" applyFont="1" applyBorder="1" applyAlignment="1">
      <alignment horizontal="center"/>
    </xf>
    <xf numFmtId="172" fontId="88" fillId="0" borderId="156" xfId="8" applyNumberFormat="1" applyFont="1" applyBorder="1" applyAlignment="1">
      <alignment horizontal="center"/>
    </xf>
    <xf numFmtId="177" fontId="90" fillId="0" borderId="62" xfId="8" applyNumberFormat="1" applyFont="1" applyBorder="1" applyAlignment="1">
      <alignment horizontal="left"/>
    </xf>
    <xf numFmtId="177" fontId="90" fillId="0" borderId="38" xfId="8" applyNumberFormat="1" applyFont="1" applyBorder="1" applyAlignment="1">
      <alignment horizontal="left"/>
    </xf>
    <xf numFmtId="177" fontId="90" fillId="0" borderId="27" xfId="8" applyNumberFormat="1" applyFont="1" applyBorder="1" applyAlignment="1">
      <alignment horizontal="left"/>
    </xf>
    <xf numFmtId="172" fontId="66" fillId="0" borderId="46" xfId="8" applyNumberFormat="1" applyBorder="1" applyAlignment="1">
      <alignment horizontal="center"/>
    </xf>
    <xf numFmtId="172" fontId="66" fillId="0" borderId="23" xfId="8" applyNumberFormat="1" applyBorder="1" applyAlignment="1">
      <alignment horizontal="center"/>
    </xf>
    <xf numFmtId="172" fontId="66" fillId="0" borderId="24" xfId="8" applyNumberFormat="1" applyBorder="1" applyAlignment="1">
      <alignment horizontal="center"/>
    </xf>
    <xf numFmtId="177" fontId="90" fillId="0" borderId="0" xfId="8" applyNumberFormat="1" applyFont="1" applyAlignment="1">
      <alignment horizontal="left"/>
    </xf>
    <xf numFmtId="177" fontId="90" fillId="0" borderId="108" xfId="8" applyNumberFormat="1" applyFont="1" applyBorder="1" applyAlignment="1">
      <alignment horizontal="left"/>
    </xf>
    <xf numFmtId="177" fontId="90" fillId="0" borderId="21" xfId="8" applyNumberFormat="1" applyFont="1" applyBorder="1" applyAlignment="1">
      <alignment horizontal="left"/>
    </xf>
    <xf numFmtId="177" fontId="90" fillId="0" borderId="23" xfId="8" applyNumberFormat="1" applyFont="1" applyBorder="1" applyAlignment="1">
      <alignment horizontal="left"/>
    </xf>
    <xf numFmtId="177" fontId="90" fillId="0" borderId="48" xfId="8" applyNumberFormat="1" applyFont="1" applyBorder="1" applyAlignment="1">
      <alignment horizontal="left"/>
    </xf>
    <xf numFmtId="177" fontId="90" fillId="0" borderId="24" xfId="8" applyNumberFormat="1" applyFont="1" applyBorder="1" applyAlignment="1">
      <alignment horizontal="left"/>
    </xf>
    <xf numFmtId="49" fontId="84" fillId="0" borderId="152" xfId="8" applyNumberFormat="1" applyFont="1" applyBorder="1" applyAlignment="1">
      <alignment horizontal="left"/>
    </xf>
    <xf numFmtId="176" fontId="84" fillId="0" borderId="152" xfId="8" applyNumberFormat="1" applyFont="1" applyBorder="1" applyAlignment="1">
      <alignment horizontal="left"/>
    </xf>
    <xf numFmtId="176" fontId="84" fillId="0" borderId="153" xfId="8" applyNumberFormat="1" applyFont="1" applyBorder="1" applyAlignment="1">
      <alignment horizontal="left"/>
    </xf>
    <xf numFmtId="178" fontId="84" fillId="0" borderId="23" xfId="8" applyNumberFormat="1" applyFont="1" applyBorder="1" applyAlignment="1">
      <alignment horizontal="left"/>
    </xf>
    <xf numFmtId="177" fontId="84" fillId="0" borderId="23" xfId="8" applyNumberFormat="1" applyFont="1" applyBorder="1" applyAlignment="1">
      <alignment horizontal="left"/>
    </xf>
    <xf numFmtId="177" fontId="84" fillId="0" borderId="24" xfId="8" applyNumberFormat="1" applyFont="1" applyBorder="1" applyAlignment="1">
      <alignment horizontal="left"/>
    </xf>
    <xf numFmtId="172" fontId="83" fillId="0" borderId="40" xfId="8" applyNumberFormat="1" applyFont="1" applyBorder="1" applyAlignment="1">
      <alignment horizontal="center"/>
    </xf>
    <xf numFmtId="173" fontId="83" fillId="0" borderId="40" xfId="8" applyNumberFormat="1" applyFont="1" applyBorder="1" applyAlignment="1">
      <alignment horizontal="center"/>
    </xf>
    <xf numFmtId="172" fontId="84" fillId="0" borderId="12" xfId="8" applyNumberFormat="1" applyFont="1" applyBorder="1" applyAlignment="1">
      <alignment horizontal="right"/>
    </xf>
    <xf numFmtId="172" fontId="84" fillId="0" borderId="13" xfId="8" applyNumberFormat="1" applyFont="1" applyBorder="1" applyAlignment="1">
      <alignment horizontal="right"/>
    </xf>
    <xf numFmtId="172" fontId="84" fillId="0" borderId="14" xfId="8" applyNumberFormat="1" applyFont="1" applyBorder="1" applyAlignment="1">
      <alignment horizontal="right"/>
    </xf>
    <xf numFmtId="172" fontId="84" fillId="0" borderId="150" xfId="8" applyNumberFormat="1" applyFont="1" applyBorder="1" applyAlignment="1">
      <alignment horizontal="right"/>
    </xf>
    <xf numFmtId="172" fontId="84" fillId="0" borderId="131" xfId="8" applyNumberFormat="1" applyFont="1" applyBorder="1" applyAlignment="1">
      <alignment horizontal="right"/>
    </xf>
    <xf numFmtId="172" fontId="84" fillId="0" borderId="16" xfId="8" applyNumberFormat="1" applyFont="1" applyBorder="1" applyAlignment="1">
      <alignment horizontal="right"/>
    </xf>
    <xf numFmtId="172" fontId="89" fillId="0" borderId="135" xfId="8" applyNumberFormat="1" applyFont="1" applyBorder="1" applyAlignment="1">
      <alignment horizontal="right"/>
    </xf>
    <xf numFmtId="172" fontId="89" fillId="0" borderId="51" xfId="8" applyNumberFormat="1" applyFont="1" applyBorder="1" applyAlignment="1">
      <alignment horizontal="right"/>
    </xf>
    <xf numFmtId="172" fontId="89" fillId="0" borderId="32" xfId="8" applyNumberFormat="1" applyFont="1" applyBorder="1" applyAlignment="1">
      <alignment horizontal="right"/>
    </xf>
    <xf numFmtId="172" fontId="92" fillId="0" borderId="0" xfId="8" applyNumberFormat="1" applyFont="1" applyAlignment="1">
      <alignment horizontal="center"/>
    </xf>
  </cellXfs>
  <cellStyles count="11">
    <cellStyle name="Normal" xfId="0" builtinId="0"/>
    <cellStyle name="Normal 2" xfId="1" xr:uid="{00000000-0005-0000-0000-000001000000}"/>
    <cellStyle name="Normal 2 2" xfId="9" xr:uid="{00000000-0005-0000-0000-000002000000}"/>
    <cellStyle name="Normal 3" xfId="4" xr:uid="{00000000-0005-0000-0000-000003000000}"/>
    <cellStyle name="Normal 4" xfId="5" xr:uid="{00000000-0005-0000-0000-000004000000}"/>
    <cellStyle name="Normal 5" xfId="6" xr:uid="{00000000-0005-0000-0000-000005000000}"/>
    <cellStyle name="Normal 5 2" xfId="10" xr:uid="{00000000-0005-0000-0000-000006000000}"/>
    <cellStyle name="Normal_MPCF1082 2" xfId="8" xr:uid="{00000000-0005-0000-0000-000007000000}"/>
    <cellStyle name="Normal_OPTEST" xfId="3" xr:uid="{00000000-0005-0000-0000-000008000000}"/>
    <cellStyle name="Normal_PROJ_REV_HIST" xfId="2" xr:uid="{00000000-0005-0000-0000-000009000000}"/>
    <cellStyle name="Normal_Rev. 1" xfId="7" xr:uid="{00000000-0005-0000-0000-00000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139.28409642250509</c:v>
                </c:pt>
                <c:pt idx="2">
                  <c:v>235</c:v>
                </c:pt>
                <c:pt idx="3">
                  <c:v>177.8055944184859</c:v>
                </c:pt>
                <c:pt idx="4">
                  <c:v>156.69783865626175</c:v>
                </c:pt>
                <c:pt idx="5">
                  <c:v>151.90871094099472</c:v>
                </c:pt>
                <c:pt idx="6">
                  <c:v>151.32391837877557</c:v>
                </c:pt>
                <c:pt idx="7">
                  <c:v>150.73165618240199</c:v>
                </c:pt>
                <c:pt idx="8">
                  <c:v>150</c:v>
                </c:pt>
                <c:pt idx="9">
                  <c:v>151.12655140284895</c:v>
                </c:pt>
                <c:pt idx="10">
                  <c:v>153.77377818629304</c:v>
                </c:pt>
                <c:pt idx="11">
                  <c:v>158.87231401933832</c:v>
                </c:pt>
                <c:pt idx="12">
                  <c:v>168.23105766876694</c:v>
                </c:pt>
                <c:pt idx="13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D4-4DB7-BBA6-0E58384DDF90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</c:v>
                </c:pt>
                <c:pt idx="2">
                  <c:v>87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33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D4-4DB7-BBA6-0E58384D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75328"/>
        <c:axId val="21347724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0.25576719641685486</c:v>
                </c:pt>
                <c:pt idx="1">
                  <c:v>173.28054809570313</c:v>
                </c:pt>
                <c:pt idx="2">
                  <c:v>489.89398193359375</c:v>
                </c:pt>
                <c:pt idx="3">
                  <c:v>562.69683837890625</c:v>
                </c:pt>
                <c:pt idx="4">
                  <c:v>583.0435791015625</c:v>
                </c:pt>
                <c:pt idx="5">
                  <c:v>593.174072265625</c:v>
                </c:pt>
                <c:pt idx="6">
                  <c:v>605.94244384765625</c:v>
                </c:pt>
                <c:pt idx="7">
                  <c:v>616.10247802734375</c:v>
                </c:pt>
                <c:pt idx="8">
                  <c:v>624.82232666015625</c:v>
                </c:pt>
                <c:pt idx="9">
                  <c:v>632.78021240234375</c:v>
                </c:pt>
                <c:pt idx="10">
                  <c:v>639.71600341796875</c:v>
                </c:pt>
                <c:pt idx="11">
                  <c:v>645.5589599609375</c:v>
                </c:pt>
                <c:pt idx="12">
                  <c:v>650.3880615234375</c:v>
                </c:pt>
                <c:pt idx="13">
                  <c:v>653.84619140625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D4-4DB7-BBA6-0E58384D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83520"/>
        <c:axId val="213485056"/>
      </c:scatterChart>
      <c:valAx>
        <c:axId val="21347532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3477248"/>
        <c:crossesAt val="0"/>
        <c:crossBetween val="midCat"/>
        <c:majorUnit val="0.2"/>
        <c:minorUnit val="0.2"/>
      </c:valAx>
      <c:valAx>
        <c:axId val="21347724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3475328"/>
        <c:crosses val="max"/>
        <c:crossBetween val="midCat"/>
        <c:majorUnit val="50"/>
        <c:minorUnit val="50"/>
      </c:valAx>
      <c:valAx>
        <c:axId val="21348352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13485056"/>
        <c:crosses val="autoZero"/>
        <c:crossBetween val="midCat"/>
      </c:valAx>
      <c:valAx>
        <c:axId val="21348505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348352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</c:v>
                </c:pt>
                <c:pt idx="2">
                  <c:v>87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33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18-4A82-A533-A74D573FE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1568"/>
        <c:axId val="91267840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139.28409642250509</c:v>
                </c:pt>
                <c:pt idx="2">
                  <c:v>235</c:v>
                </c:pt>
                <c:pt idx="3">
                  <c:v>177.8055944184859</c:v>
                </c:pt>
                <c:pt idx="4">
                  <c:v>156.69783865626175</c:v>
                </c:pt>
                <c:pt idx="5">
                  <c:v>151.90871094099472</c:v>
                </c:pt>
                <c:pt idx="6">
                  <c:v>151.32391837877557</c:v>
                </c:pt>
                <c:pt idx="7">
                  <c:v>150.73165618240199</c:v>
                </c:pt>
                <c:pt idx="8">
                  <c:v>150</c:v>
                </c:pt>
                <c:pt idx="9">
                  <c:v>151.12655140284895</c:v>
                </c:pt>
                <c:pt idx="10">
                  <c:v>153.77377818629304</c:v>
                </c:pt>
                <c:pt idx="11">
                  <c:v>158.87231401933832</c:v>
                </c:pt>
                <c:pt idx="12">
                  <c:v>168.23105766876694</c:v>
                </c:pt>
                <c:pt idx="13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18-4A82-A533-A74D573FE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1568"/>
        <c:axId val="91267840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0.25576719641685486</c:v>
                </c:pt>
                <c:pt idx="1">
                  <c:v>173.28054809570313</c:v>
                </c:pt>
                <c:pt idx="2">
                  <c:v>489.89398193359375</c:v>
                </c:pt>
                <c:pt idx="3">
                  <c:v>562.69683837890625</c:v>
                </c:pt>
                <c:pt idx="4">
                  <c:v>583.0435791015625</c:v>
                </c:pt>
                <c:pt idx="5">
                  <c:v>593.174072265625</c:v>
                </c:pt>
                <c:pt idx="6">
                  <c:v>605.94244384765625</c:v>
                </c:pt>
                <c:pt idx="7">
                  <c:v>616.10247802734375</c:v>
                </c:pt>
                <c:pt idx="8">
                  <c:v>624.82232666015625</c:v>
                </c:pt>
                <c:pt idx="9">
                  <c:v>632.78021240234375</c:v>
                </c:pt>
                <c:pt idx="10">
                  <c:v>639.71600341796875</c:v>
                </c:pt>
                <c:pt idx="11">
                  <c:v>645.5589599609375</c:v>
                </c:pt>
                <c:pt idx="12">
                  <c:v>650.3880615234375</c:v>
                </c:pt>
                <c:pt idx="13">
                  <c:v>653.84619140625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18-4A82-A533-A74D573FE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9760"/>
        <c:axId val="91271552"/>
      </c:scatterChart>
      <c:valAx>
        <c:axId val="9126156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267840"/>
        <c:crosses val="autoZero"/>
        <c:crossBetween val="midCat"/>
        <c:majorUnit val="20"/>
        <c:minorUnit val="20"/>
      </c:valAx>
      <c:valAx>
        <c:axId val="91267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261568"/>
        <c:crosses val="autoZero"/>
        <c:crossBetween val="midCat"/>
      </c:valAx>
      <c:valAx>
        <c:axId val="9126976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91271552"/>
        <c:crosses val="autoZero"/>
        <c:crossBetween val="midCat"/>
      </c:valAx>
      <c:valAx>
        <c:axId val="91271552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26976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9290320649082366"/>
          <c:w val="0.25090132154533312"/>
          <c:h val="0.1070967935091763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653.84615384615381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17</c:v>
                </c:pt>
                <c:pt idx="1">
                  <c:v>20.188198553583167</c:v>
                </c:pt>
                <c:pt idx="2">
                  <c:v>29.071005917159766</c:v>
                </c:pt>
                <c:pt idx="3">
                  <c:v>45.423446745562124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69-436E-B4B3-0EEC21155955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653.84615384615381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7</c:v>
                </c:pt>
                <c:pt idx="1">
                  <c:v>8.3127876397107148</c:v>
                </c:pt>
                <c:pt idx="2">
                  <c:v>11.970414201183432</c:v>
                </c:pt>
                <c:pt idx="3">
                  <c:v>18.70377218934911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69-436E-B4B3-0EEC21155955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235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54.189290181907786</c:v>
                </c:pt>
                <c:pt idx="3">
                  <c:v>92.364307107896849</c:v>
                </c:pt>
                <c:pt idx="4">
                  <c:v>142.33548396175303</c:v>
                </c:pt>
                <c:pt idx="5" formatCode="0">
                  <c:v>300</c:v>
                </c:pt>
                <c:pt idx="6" formatCode="0">
                  <c:v>600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69-436E-B4B3-0EEC21155955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653.84615384615381</c:v>
                </c:pt>
                <c:pt idx="1">
                  <c:v>652.11538461538464</c:v>
                </c:pt>
                <c:pt idx="2">
                  <c:v>647.88461538461536</c:v>
                </c:pt>
                <c:pt idx="3">
                  <c:v>642.69230769230774</c:v>
                </c:pt>
                <c:pt idx="4">
                  <c:v>636.15384615384619</c:v>
                </c:pt>
                <c:pt idx="5">
                  <c:v>628.84615384615381</c:v>
                </c:pt>
                <c:pt idx="6">
                  <c:v>620.38461538461547</c:v>
                </c:pt>
                <c:pt idx="7">
                  <c:v>610.96153846153845</c:v>
                </c:pt>
                <c:pt idx="8">
                  <c:v>599.61538461538464</c:v>
                </c:pt>
                <c:pt idx="9">
                  <c:v>588.07692307692309</c:v>
                </c:pt>
                <c:pt idx="10">
                  <c:v>572.88461538461536</c:v>
                </c:pt>
                <c:pt idx="11">
                  <c:v>526.34615384615381</c:v>
                </c:pt>
                <c:pt idx="12">
                  <c:v>235</c:v>
                </c:pt>
                <c:pt idx="13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0.55900001525878906</c:v>
                </c:pt>
                <c:pt idx="2">
                  <c:v>1.125</c:v>
                </c:pt>
                <c:pt idx="3">
                  <c:v>1.7020000219345093</c:v>
                </c:pt>
                <c:pt idx="4">
                  <c:v>2.2939999103546143</c:v>
                </c:pt>
                <c:pt idx="5">
                  <c:v>2.9110000133514404</c:v>
                </c:pt>
                <c:pt idx="6">
                  <c:v>3.5610001087188721</c:v>
                </c:pt>
                <c:pt idx="7">
                  <c:v>4.2579998970031738</c:v>
                </c:pt>
                <c:pt idx="8">
                  <c:v>5.0399999618530273</c:v>
                </c:pt>
                <c:pt idx="9">
                  <c:v>5.4759998321533203</c:v>
                </c:pt>
                <c:pt idx="10">
                  <c:v>5.9070000648498535</c:v>
                </c:pt>
                <c:pt idx="11">
                  <c:v>6.249000072479248</c:v>
                </c:pt>
                <c:pt idx="12">
                  <c:v>6.6129999160766602</c:v>
                </c:pt>
                <c:pt idx="13">
                  <c:v>6.8129997253417969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69-436E-B4B3-0EEC21155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10976"/>
        <c:axId val="89712896"/>
      </c:scatterChart>
      <c:valAx>
        <c:axId val="8971097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712896"/>
        <c:crossesAt val="0.1"/>
        <c:crossBetween val="midCat"/>
        <c:majorUnit val="100"/>
      </c:valAx>
      <c:valAx>
        <c:axId val="8971289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71097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84.95001220703125</c:v>
                </c:pt>
                <c:pt idx="2">
                  <c:v>91.210098266601563</c:v>
                </c:pt>
                <c:pt idx="3">
                  <c:v>93.333198547363281</c:v>
                </c:pt>
                <c:pt idx="4">
                  <c:v>94.292060852050781</c:v>
                </c:pt>
                <c:pt idx="5">
                  <c:v>94.753044128417969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7A-4221-9F44-05792A8D7AD4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62.719051361083984</c:v>
                </c:pt>
                <c:pt idx="1">
                  <c:v>80.183479309082031</c:v>
                </c:pt>
                <c:pt idx="2">
                  <c:v>85.758766174316406</c:v>
                </c:pt>
                <c:pt idx="3">
                  <c:v>87.700119018554688</c:v>
                </c:pt>
                <c:pt idx="4">
                  <c:v>88.165855407714844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7A-4221-9F44-05792A8D7AD4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71.602259099375559</c:v>
                </c:pt>
                <c:pt idx="2">
                  <c:v>60.355559235052461</c:v>
                </c:pt>
                <c:pt idx="3">
                  <c:v>48.855818624741538</c:v>
                </c:pt>
                <c:pt idx="4">
                  <c:v>37.045909696420431</c:v>
                </c:pt>
                <c:pt idx="5">
                  <c:v>25.029434545992597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7A-4221-9F44-05792A8D7AD4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1.5307500000000001</c:v>
                </c:pt>
                <c:pt idx="1">
                  <c:v>10.970981066216339</c:v>
                </c:pt>
                <c:pt idx="2">
                  <c:v>20.436004601839389</c:v>
                </c:pt>
                <c:pt idx="3">
                  <c:v>29.956705480927855</c:v>
                </c:pt>
                <c:pt idx="4">
                  <c:v>39.536104236224297</c:v>
                </c:pt>
                <c:pt idx="5">
                  <c:v>49.179696320495658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7A-4221-9F44-05792A8D7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56640"/>
        <c:axId val="89867008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13.656332562328164</c:v>
                </c:pt>
                <c:pt idx="1">
                  <c:v>20.198917388916016</c:v>
                </c:pt>
                <c:pt idx="2">
                  <c:v>29.430198669433594</c:v>
                </c:pt>
                <c:pt idx="3">
                  <c:v>40.336444854736328</c:v>
                </c:pt>
                <c:pt idx="4">
                  <c:v>52.056598663330078</c:v>
                </c:pt>
                <c:pt idx="5">
                  <c:v>64.412109375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7A-4221-9F44-05792A8D7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68928"/>
        <c:axId val="89891200"/>
      </c:scatterChart>
      <c:valAx>
        <c:axId val="898566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867008"/>
        <c:crossesAt val="0"/>
        <c:crossBetween val="midCat"/>
        <c:majorUnit val="25"/>
        <c:minorUnit val="12.5"/>
      </c:valAx>
      <c:valAx>
        <c:axId val="8986700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856640"/>
        <c:crosses val="autoZero"/>
        <c:crossBetween val="midCat"/>
        <c:majorUnit val="10"/>
        <c:minorUnit val="5"/>
      </c:valAx>
      <c:valAx>
        <c:axId val="898689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89891200"/>
        <c:crosses val="autoZero"/>
        <c:crossBetween val="midCat"/>
      </c:valAx>
      <c:valAx>
        <c:axId val="89891200"/>
        <c:scaling>
          <c:orientation val="minMax"/>
          <c:max val="7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868928"/>
        <c:crosses val="max"/>
        <c:crossBetween val="midCat"/>
        <c:majorUnit val="7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84.95001220703125</c:v>
                </c:pt>
                <c:pt idx="2">
                  <c:v>91.210098266601563</c:v>
                </c:pt>
                <c:pt idx="3">
                  <c:v>93.333198547363281</c:v>
                </c:pt>
                <c:pt idx="4">
                  <c:v>94.292060852050781</c:v>
                </c:pt>
                <c:pt idx="5">
                  <c:v>94.753044128417969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B5-4F0F-A567-CBF2B201C21B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62.719051361083984</c:v>
                </c:pt>
                <c:pt idx="1">
                  <c:v>80.183479309082031</c:v>
                </c:pt>
                <c:pt idx="2">
                  <c:v>85.758766174316406</c:v>
                </c:pt>
                <c:pt idx="3">
                  <c:v>87.700119018554688</c:v>
                </c:pt>
                <c:pt idx="4">
                  <c:v>88.165855407714844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B5-4F0F-A567-CBF2B201C21B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71.602259099375559</c:v>
                </c:pt>
                <c:pt idx="2">
                  <c:v>60.355559235052461</c:v>
                </c:pt>
                <c:pt idx="3">
                  <c:v>48.855818624741538</c:v>
                </c:pt>
                <c:pt idx="4">
                  <c:v>37.045909696420431</c:v>
                </c:pt>
                <c:pt idx="5">
                  <c:v>25.029434545992597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B5-4F0F-A567-CBF2B201C21B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1.5307500000000001</c:v>
                </c:pt>
                <c:pt idx="1">
                  <c:v>10.970981066216339</c:v>
                </c:pt>
                <c:pt idx="2">
                  <c:v>20.436004601839389</c:v>
                </c:pt>
                <c:pt idx="3">
                  <c:v>29.956705480927855</c:v>
                </c:pt>
                <c:pt idx="4">
                  <c:v>39.536104236224297</c:v>
                </c:pt>
                <c:pt idx="5">
                  <c:v>49.179696320495658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B5-4F0F-A567-CBF2B201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56640"/>
        <c:axId val="89867008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23.653461843009648</c:v>
                </c:pt>
                <c:pt idx="1">
                  <c:v>34.985551175489022</c:v>
                </c:pt>
                <c:pt idx="2">
                  <c:v>50.974599372304951</c:v>
                </c:pt>
                <c:pt idx="3">
                  <c:v>69.864771885103536</c:v>
                </c:pt>
                <c:pt idx="4">
                  <c:v>90</c:v>
                </c:pt>
                <c:pt idx="5">
                  <c:v>111.56504606018359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B5-4F0F-A567-CBF2B201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68928"/>
        <c:axId val="89891200"/>
      </c:scatterChart>
      <c:valAx>
        <c:axId val="898566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867008"/>
        <c:crossesAt val="0"/>
        <c:crossBetween val="midCat"/>
        <c:majorUnit val="25"/>
        <c:minorUnit val="12.5"/>
      </c:valAx>
      <c:valAx>
        <c:axId val="8986700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856640"/>
        <c:crosses val="autoZero"/>
        <c:crossBetween val="midCat"/>
        <c:majorUnit val="10"/>
        <c:minorUnit val="5"/>
      </c:valAx>
      <c:valAx>
        <c:axId val="898689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89891200"/>
        <c:crosses val="autoZero"/>
        <c:crossBetween val="midCat"/>
      </c:valAx>
      <c:valAx>
        <c:axId val="89891200"/>
        <c:scaling>
          <c:orientation val="minMax"/>
          <c:max val="14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868928"/>
        <c:crosses val="max"/>
        <c:crossBetween val="midCat"/>
        <c:majorUnit val="14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457200</xdr:colOff>
      <xdr:row>29</xdr:row>
      <xdr:rowOff>209550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95475" y="6781800"/>
          <a:ext cx="2571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56.0</a:t>
          </a:r>
        </a:p>
      </xdr:txBody>
    </xdr:sp>
    <xdr:clientData/>
  </xdr:twoCellAnchor>
  <xdr:twoCellAnchor>
    <xdr:from>
      <xdr:col>1</xdr:col>
      <xdr:colOff>95250</xdr:colOff>
      <xdr:row>31</xdr:row>
      <xdr:rowOff>0</xdr:rowOff>
    </xdr:from>
    <xdr:to>
      <xdr:col>2</xdr:col>
      <xdr:colOff>76200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048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38275" y="6210300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14.0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1200150" y="6296025"/>
          <a:ext cx="942975" cy="1076325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438150</xdr:colOff>
      <xdr:row>42</xdr:row>
      <xdr:rowOff>180975</xdr:rowOff>
    </xdr:from>
    <xdr:to>
      <xdr:col>3</xdr:col>
      <xdr:colOff>304800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657350" y="98488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2340.0</a:t>
          </a:r>
        </a:p>
      </xdr:txBody>
    </xdr:sp>
    <xdr:clientData/>
  </xdr:twoCellAnchor>
  <xdr:twoCellAnchor>
    <xdr:from>
      <xdr:col>1</xdr:col>
      <xdr:colOff>257175</xdr:colOff>
      <xdr:row>40</xdr:row>
      <xdr:rowOff>200025</xdr:rowOff>
    </xdr:from>
    <xdr:to>
      <xdr:col>2</xdr:col>
      <xdr:colOff>247650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066800" y="9410700"/>
          <a:ext cx="4000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315.0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342900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285875" y="92678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55.0</a:t>
          </a:r>
        </a:p>
      </xdr:txBody>
    </xdr:sp>
    <xdr:clientData/>
  </xdr:twoCellAnchor>
  <xdr:twoCellAnchor>
    <xdr:from>
      <xdr:col>2</xdr:col>
      <xdr:colOff>352425</xdr:colOff>
      <xdr:row>40</xdr:row>
      <xdr:rowOff>57150</xdr:rowOff>
    </xdr:from>
    <xdr:to>
      <xdr:col>3</xdr:col>
      <xdr:colOff>180975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571625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45.0</a:t>
          </a:r>
        </a:p>
      </xdr:txBody>
    </xdr:sp>
    <xdr:clientData/>
  </xdr:twoCellAnchor>
  <xdr:twoCellAnchor>
    <xdr:from>
      <xdr:col>1</xdr:col>
      <xdr:colOff>295275</xdr:colOff>
      <xdr:row>42</xdr:row>
      <xdr:rowOff>0</xdr:rowOff>
    </xdr:from>
    <xdr:to>
      <xdr:col>2</xdr:col>
      <xdr:colOff>190500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104900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205.0</a:t>
          </a:r>
        </a:p>
      </xdr:txBody>
    </xdr:sp>
    <xdr:clientData/>
  </xdr:twoCellAnchor>
  <xdr:twoCellAnchor>
    <xdr:from>
      <xdr:col>3</xdr:col>
      <xdr:colOff>133350</xdr:colOff>
      <xdr:row>32</xdr:row>
      <xdr:rowOff>85725</xdr:rowOff>
    </xdr:from>
    <xdr:to>
      <xdr:col>3</xdr:col>
      <xdr:colOff>381000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828800" y="7467600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0.80</a:t>
          </a:r>
        </a:p>
      </xdr:txBody>
    </xdr:sp>
    <xdr:clientData/>
  </xdr:twoCellAnchor>
  <xdr:twoCellAnchor>
    <xdr:from>
      <xdr:col>3</xdr:col>
      <xdr:colOff>209550</xdr:colOff>
      <xdr:row>35</xdr:row>
      <xdr:rowOff>47625</xdr:rowOff>
    </xdr:from>
    <xdr:to>
      <xdr:col>3</xdr:col>
      <xdr:colOff>485775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905000" y="8115300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43.30</a:t>
          </a:r>
        </a:p>
      </xdr:txBody>
    </xdr:sp>
    <xdr:clientData/>
  </xdr:twoCellAnchor>
  <xdr:twoCellAnchor>
    <xdr:from>
      <xdr:col>2</xdr:col>
      <xdr:colOff>409575</xdr:colOff>
      <xdr:row>33</xdr:row>
      <xdr:rowOff>142875</xdr:rowOff>
    </xdr:from>
    <xdr:to>
      <xdr:col>3</xdr:col>
      <xdr:colOff>171450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1628775" y="7753350"/>
          <a:ext cx="2381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1.5</a:t>
          </a:r>
        </a:p>
      </xdr:txBody>
    </xdr:sp>
    <xdr:clientData/>
  </xdr:twoCellAnchor>
  <xdr:twoCellAnchor>
    <xdr:from>
      <xdr:col>2</xdr:col>
      <xdr:colOff>390525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1609725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142875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1162050" y="7858125"/>
          <a:ext cx="2000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3.0</a:t>
          </a:r>
        </a:p>
      </xdr:txBody>
    </xdr:sp>
    <xdr:clientData/>
  </xdr:twoCellAnchor>
  <xdr:twoCellAnchor>
    <xdr:from>
      <xdr:col>2</xdr:col>
      <xdr:colOff>171450</xdr:colOff>
      <xdr:row>35</xdr:row>
      <xdr:rowOff>85725</xdr:rowOff>
    </xdr:from>
    <xdr:to>
      <xdr:col>2</xdr:col>
      <xdr:colOff>466725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390650" y="815340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16.68</a:t>
          </a:r>
        </a:p>
      </xdr:txBody>
    </xdr:sp>
    <xdr:clientData/>
  </xdr:twoCellAnchor>
  <xdr:twoCellAnchor>
    <xdr:from>
      <xdr:col>3</xdr:col>
      <xdr:colOff>57150</xdr:colOff>
      <xdr:row>36</xdr:row>
      <xdr:rowOff>19050</xdr:rowOff>
    </xdr:from>
    <xdr:to>
      <xdr:col>3</xdr:col>
      <xdr:colOff>352425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1752600" y="831532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30.00</a:t>
          </a:r>
        </a:p>
      </xdr:txBody>
    </xdr:sp>
    <xdr:clientData/>
  </xdr:twoCellAnchor>
  <xdr:twoCellAnchor>
    <xdr:from>
      <xdr:col>2</xdr:col>
      <xdr:colOff>190500</xdr:colOff>
      <xdr:row>36</xdr:row>
      <xdr:rowOff>152400</xdr:rowOff>
    </xdr:from>
    <xdr:to>
      <xdr:col>2</xdr:col>
      <xdr:colOff>419100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1409700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11.12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971550" y="9077325"/>
          <a:ext cx="1266825" cy="885825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>
          <a:grpSpLocks/>
        </xdr:cNvGrpSpPr>
      </xdr:nvGrpSpPr>
      <xdr:grpSpPr bwMode="auto">
        <a:xfrm>
          <a:off x="1190625" y="7562850"/>
          <a:ext cx="828675" cy="1114425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00000000-0008-0000-0100-00006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00000000-0008-0000-0100-00006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00000000-0008-0000-0100-00006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00000000-0008-0000-0100-00006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00000000-0008-0000-0100-00006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3596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3592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3584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3572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3568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3564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85725</xdr:rowOff>
    </xdr:from>
    <xdr:to>
      <xdr:col>5</xdr:col>
      <xdr:colOff>769200</xdr:colOff>
      <xdr:row>17</xdr:row>
      <xdr:rowOff>38100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5924549" y="39814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5943599" y="56292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5943599" y="521970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</a:t>
          </a:r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778725</xdr:colOff>
      <xdr:row>20</xdr:row>
      <xdr:rowOff>152400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5934074" y="48101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778725</xdr:colOff>
      <xdr:row>18</xdr:row>
      <xdr:rowOff>219075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5934074" y="44005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495300</xdr:colOff>
      <xdr:row>19</xdr:row>
      <xdr:rowOff>114300</xdr:rowOff>
    </xdr:from>
    <xdr:to>
      <xdr:col>3</xdr:col>
      <xdr:colOff>828675</xdr:colOff>
      <xdr:row>20</xdr:row>
      <xdr:rowOff>47625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3838575" y="47244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876300</xdr:colOff>
      <xdr:row>23</xdr:row>
      <xdr:rowOff>9525</xdr:rowOff>
    </xdr:from>
    <xdr:to>
      <xdr:col>3</xdr:col>
      <xdr:colOff>104775</xdr:colOff>
      <xdr:row>23</xdr:row>
      <xdr:rowOff>152400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3105150" y="55721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2</xdr:col>
      <xdr:colOff>152400</xdr:colOff>
      <xdr:row>29</xdr:row>
      <xdr:rowOff>28575</xdr:rowOff>
    </xdr:from>
    <xdr:to>
      <xdr:col>2</xdr:col>
      <xdr:colOff>590550</xdr:colOff>
      <xdr:row>29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23812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523875</xdr:colOff>
      <xdr:row>31</xdr:row>
      <xdr:rowOff>180975</xdr:rowOff>
    </xdr:from>
    <xdr:to>
      <xdr:col>2</xdr:col>
      <xdr:colOff>1028700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2752725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3596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3592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3584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3572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3568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3564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85725</xdr:rowOff>
    </xdr:from>
    <xdr:to>
      <xdr:col>5</xdr:col>
      <xdr:colOff>769200</xdr:colOff>
      <xdr:row>17</xdr:row>
      <xdr:rowOff>38100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5924549" y="39814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5943599" y="56292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5943599" y="521970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</a:t>
          </a:r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778725</xdr:colOff>
      <xdr:row>20</xdr:row>
      <xdr:rowOff>152400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5934074" y="48101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778725</xdr:colOff>
      <xdr:row>18</xdr:row>
      <xdr:rowOff>219075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5934074" y="44005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495300</xdr:colOff>
      <xdr:row>19</xdr:row>
      <xdr:rowOff>114300</xdr:rowOff>
    </xdr:from>
    <xdr:to>
      <xdr:col>3</xdr:col>
      <xdr:colOff>828675</xdr:colOff>
      <xdr:row>20</xdr:row>
      <xdr:rowOff>47625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3838575" y="47244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876300</xdr:colOff>
      <xdr:row>23</xdr:row>
      <xdr:rowOff>9525</xdr:rowOff>
    </xdr:from>
    <xdr:to>
      <xdr:col>3</xdr:col>
      <xdr:colOff>104775</xdr:colOff>
      <xdr:row>23</xdr:row>
      <xdr:rowOff>152400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3105150" y="55721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2</xdr:col>
      <xdr:colOff>495300</xdr:colOff>
      <xdr:row>29</xdr:row>
      <xdr:rowOff>0</xdr:rowOff>
    </xdr:from>
    <xdr:to>
      <xdr:col>2</xdr:col>
      <xdr:colOff>933450</xdr:colOff>
      <xdr:row>29</xdr:row>
      <xdr:rowOff>152400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2724150" y="69913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523875</xdr:colOff>
      <xdr:row>31</xdr:row>
      <xdr:rowOff>180975</xdr:rowOff>
    </xdr:from>
    <xdr:to>
      <xdr:col>2</xdr:col>
      <xdr:colOff>1028700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2752725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RIC\PERFORMA\BY%20PROJECTS\816%20k\81694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 Data Sheet"/>
      <sheetName val="STCurve"/>
      <sheetName val="Thermdam"/>
      <sheetName val="Rev. 1"/>
      <sheetName val="PERFORMANCE"/>
    </sheetNames>
    <sheetDataSet>
      <sheetData sheetId="0"/>
      <sheetData sheetId="1"/>
      <sheetData sheetId="2">
        <row r="43">
          <cell r="D43" t="str">
            <v>JERRY R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O113"/>
  <sheetViews>
    <sheetView zoomScale="95" zoomScaleNormal="95" workbookViewId="0">
      <selection activeCell="T37" sqref="T37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215</v>
      </c>
    </row>
    <row r="2" spans="1:10" ht="18.75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216</v>
      </c>
    </row>
    <row r="3" spans="1:10" ht="15" customHeight="1" thickBot="1">
      <c r="A3" s="47" t="s">
        <v>1</v>
      </c>
      <c r="B3" s="94" t="s">
        <v>214</v>
      </c>
      <c r="C3" s="1"/>
      <c r="D3" s="47"/>
      <c r="E3" s="1"/>
      <c r="F3" s="1"/>
      <c r="G3" s="47" t="s">
        <v>2</v>
      </c>
      <c r="H3" s="169">
        <v>43350</v>
      </c>
      <c r="I3" s="47" t="s">
        <v>3</v>
      </c>
      <c r="J3" s="170">
        <v>0.33887731481481481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400</v>
      </c>
      <c r="C5" s="138">
        <v>3600</v>
      </c>
      <c r="D5" s="48" t="s">
        <v>193</v>
      </c>
      <c r="E5" s="156">
        <v>4000</v>
      </c>
      <c r="F5" s="138">
        <v>60</v>
      </c>
      <c r="G5" s="48">
        <v>105</v>
      </c>
      <c r="H5" s="76" t="s">
        <v>249</v>
      </c>
      <c r="I5" s="75" t="s">
        <v>254</v>
      </c>
      <c r="J5" s="48">
        <v>5011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 t="s">
        <v>265</v>
      </c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23.935923809523807</v>
      </c>
      <c r="J7" s="104" t="s">
        <v>19</v>
      </c>
    </row>
    <row r="8" spans="1:10" ht="15" customHeight="1">
      <c r="A8" s="9" t="s">
        <v>20</v>
      </c>
      <c r="B8" s="67">
        <v>2.5</v>
      </c>
      <c r="C8" s="50"/>
      <c r="D8" s="5"/>
      <c r="E8" s="49"/>
      <c r="F8" s="3"/>
      <c r="G8" s="15"/>
      <c r="H8" s="9" t="s">
        <v>21</v>
      </c>
      <c r="I8" s="66">
        <v>29.105907352941177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199</v>
      </c>
      <c r="F9" s="105" t="s">
        <v>25</v>
      </c>
      <c r="G9" s="29"/>
      <c r="H9" s="9" t="s">
        <v>26</v>
      </c>
      <c r="I9" s="67">
        <v>26.520915581232494</v>
      </c>
      <c r="J9" s="102">
        <v>706.83909299733068</v>
      </c>
    </row>
    <row r="10" spans="1:10" ht="15" customHeight="1">
      <c r="A10" s="9" t="s">
        <v>27</v>
      </c>
      <c r="B10" s="67">
        <v>500</v>
      </c>
      <c r="C10" s="71">
        <v>500</v>
      </c>
      <c r="D10" s="5"/>
      <c r="E10" s="49"/>
      <c r="F10" s="114" t="s">
        <v>209</v>
      </c>
      <c r="G10" s="112" t="s">
        <v>210</v>
      </c>
      <c r="H10" s="9" t="s">
        <v>28</v>
      </c>
      <c r="I10" s="66">
        <v>14.249203859215459</v>
      </c>
      <c r="J10" s="101" t="s">
        <v>29</v>
      </c>
    </row>
    <row r="11" spans="1:10" ht="15" customHeight="1" thickBot="1">
      <c r="A11" s="9" t="s">
        <v>30</v>
      </c>
      <c r="B11" s="67">
        <v>550</v>
      </c>
      <c r="C11" s="71">
        <v>315</v>
      </c>
      <c r="D11" s="9" t="s">
        <v>31</v>
      </c>
      <c r="E11" s="66">
        <v>0.61898571428571425</v>
      </c>
      <c r="F11" s="115"/>
      <c r="G11" s="111" t="s">
        <v>211</v>
      </c>
      <c r="H11" s="9" t="s">
        <v>32</v>
      </c>
      <c r="I11" s="66">
        <v>29.105907352941177</v>
      </c>
      <c r="J11" s="102">
        <v>15500.083896394943</v>
      </c>
    </row>
    <row r="12" spans="1:10" ht="15" customHeight="1">
      <c r="A12" s="9" t="s">
        <v>33</v>
      </c>
      <c r="B12" s="67">
        <v>320</v>
      </c>
      <c r="C12" s="71">
        <v>135</v>
      </c>
      <c r="D12" s="9" t="s">
        <v>34</v>
      </c>
      <c r="E12" s="151" t="s">
        <v>175</v>
      </c>
      <c r="F12" s="121"/>
      <c r="G12" s="113" t="s">
        <v>205</v>
      </c>
      <c r="H12" s="9" t="s">
        <v>35</v>
      </c>
      <c r="I12" s="66">
        <v>1.2045253251459203</v>
      </c>
      <c r="J12" s="101" t="s">
        <v>36</v>
      </c>
    </row>
    <row r="13" spans="1:10" ht="15" customHeight="1" thickBot="1">
      <c r="A13" s="9" t="s">
        <v>37</v>
      </c>
      <c r="B13" s="67">
        <v>59</v>
      </c>
      <c r="C13" s="71">
        <v>46.700000762939453</v>
      </c>
      <c r="D13" s="9" t="s">
        <v>38</v>
      </c>
      <c r="E13" s="68">
        <v>18</v>
      </c>
      <c r="F13" s="121"/>
      <c r="G13" s="113" t="s">
        <v>206</v>
      </c>
      <c r="H13" s="9" t="s">
        <v>40</v>
      </c>
      <c r="I13" s="66">
        <v>1</v>
      </c>
      <c r="J13" s="102">
        <v>50.697895050048828</v>
      </c>
    </row>
    <row r="14" spans="1:10" ht="15" customHeight="1" thickBot="1">
      <c r="A14" s="160" t="s">
        <v>41</v>
      </c>
      <c r="B14" s="131">
        <v>465</v>
      </c>
      <c r="C14" s="132">
        <v>465</v>
      </c>
      <c r="D14" s="9" t="s">
        <v>42</v>
      </c>
      <c r="E14" s="49" t="s">
        <v>200</v>
      </c>
      <c r="F14" s="49"/>
      <c r="G14" s="113"/>
      <c r="H14" s="47" t="s">
        <v>43</v>
      </c>
      <c r="I14" s="66">
        <v>1.2045253251459203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175</v>
      </c>
      <c r="F15" s="49"/>
      <c r="G15" s="113"/>
      <c r="H15" s="9" t="s">
        <v>47</v>
      </c>
      <c r="I15" s="66">
        <v>0.82618353059296434</v>
      </c>
      <c r="J15" s="102">
        <v>18.329117063492063</v>
      </c>
    </row>
    <row r="16" spans="1:10" ht="15" customHeight="1">
      <c r="A16" s="9" t="s">
        <v>48</v>
      </c>
      <c r="B16" s="49">
        <v>42</v>
      </c>
      <c r="C16" s="50">
        <v>34</v>
      </c>
      <c r="D16" s="9" t="s">
        <v>49</v>
      </c>
      <c r="E16" s="49">
        <v>1</v>
      </c>
      <c r="F16" s="49"/>
      <c r="G16" s="113"/>
      <c r="H16" s="9" t="s">
        <v>50</v>
      </c>
      <c r="I16" s="66">
        <v>0.9556462151235352</v>
      </c>
      <c r="J16" s="103" t="s">
        <v>51</v>
      </c>
    </row>
    <row r="17" spans="1:14" ht="15" customHeight="1" thickBot="1">
      <c r="A17" s="9" t="s">
        <v>52</v>
      </c>
      <c r="B17" s="49" t="s">
        <v>194</v>
      </c>
      <c r="C17" s="50" t="s">
        <v>195</v>
      </c>
      <c r="D17" s="47" t="s">
        <v>53</v>
      </c>
      <c r="E17" s="49" t="s">
        <v>201</v>
      </c>
      <c r="F17" s="49"/>
      <c r="G17" s="113"/>
      <c r="H17" s="9" t="s">
        <v>54</v>
      </c>
      <c r="I17" s="66">
        <v>0.78953916400856583</v>
      </c>
      <c r="J17" s="102">
        <v>381.25209545402282</v>
      </c>
    </row>
    <row r="18" spans="1:14" ht="15" customHeight="1">
      <c r="A18" s="9" t="s">
        <v>55</v>
      </c>
      <c r="B18" s="49" t="s">
        <v>175</v>
      </c>
      <c r="C18" s="71">
        <v>0</v>
      </c>
      <c r="D18" s="9" t="s">
        <v>56</v>
      </c>
      <c r="E18" s="135">
        <v>1097</v>
      </c>
      <c r="F18" s="68">
        <v>545</v>
      </c>
      <c r="G18" s="72"/>
      <c r="H18" s="12" t="s">
        <v>57</v>
      </c>
      <c r="I18" s="129" t="s">
        <v>212</v>
      </c>
      <c r="J18" s="130"/>
    </row>
    <row r="19" spans="1:14" ht="15" customHeight="1">
      <c r="A19" s="9" t="s">
        <v>58</v>
      </c>
      <c r="B19" s="67">
        <v>56</v>
      </c>
      <c r="C19" s="71">
        <v>43.299999237060547</v>
      </c>
      <c r="D19" s="9" t="s">
        <v>59</v>
      </c>
      <c r="E19" s="68">
        <v>252</v>
      </c>
      <c r="F19" s="49"/>
      <c r="G19" s="50"/>
      <c r="H19" s="141"/>
      <c r="I19" s="3" t="s">
        <v>60</v>
      </c>
      <c r="J19" s="30" t="s">
        <v>61</v>
      </c>
    </row>
    <row r="20" spans="1:14" ht="15" customHeight="1">
      <c r="A20" s="9" t="s">
        <v>62</v>
      </c>
      <c r="B20" s="67" t="s">
        <v>196</v>
      </c>
      <c r="C20" s="71"/>
      <c r="D20" s="9" t="s">
        <v>167</v>
      </c>
      <c r="E20" s="159">
        <v>0.23260443479656806</v>
      </c>
      <c r="F20" s="49"/>
      <c r="G20" s="50"/>
      <c r="H20" s="9" t="s">
        <v>63</v>
      </c>
      <c r="I20" s="66">
        <v>17.757232666015625</v>
      </c>
      <c r="J20" s="70">
        <v>17.757232666015625</v>
      </c>
    </row>
    <row r="21" spans="1:14" ht="15" customHeight="1">
      <c r="A21" s="9" t="s">
        <v>64</v>
      </c>
      <c r="B21" s="67">
        <v>14</v>
      </c>
      <c r="C21" s="71">
        <v>0</v>
      </c>
      <c r="D21" s="9" t="s">
        <v>202</v>
      </c>
      <c r="E21" s="65">
        <v>0.31029157411958685</v>
      </c>
      <c r="F21" s="65">
        <v>0.18340273201465607</v>
      </c>
      <c r="G21" s="69">
        <v>8.2660027162239552E-2</v>
      </c>
      <c r="H21" s="9" t="s">
        <v>65</v>
      </c>
      <c r="I21" s="66">
        <v>61.295112609863281</v>
      </c>
      <c r="J21" s="70">
        <v>37.178459167480469</v>
      </c>
    </row>
    <row r="22" spans="1:14" ht="15" customHeight="1">
      <c r="A22" s="9" t="s">
        <v>66</v>
      </c>
      <c r="B22" s="67">
        <v>2.8299999237060547</v>
      </c>
      <c r="C22" s="71">
        <v>0.80000001192092896</v>
      </c>
      <c r="D22" s="9" t="s">
        <v>67</v>
      </c>
      <c r="E22" s="49" t="s">
        <v>203</v>
      </c>
      <c r="F22" s="49" t="s">
        <v>204</v>
      </c>
      <c r="G22" s="50" t="s">
        <v>204</v>
      </c>
      <c r="H22" s="9" t="s">
        <v>68</v>
      </c>
      <c r="I22" s="66">
        <v>5.6205906867980957</v>
      </c>
      <c r="J22" s="70">
        <v>5.5190763473510742</v>
      </c>
    </row>
    <row r="23" spans="1:14" ht="15" customHeight="1">
      <c r="A23" s="9" t="s">
        <v>69</v>
      </c>
      <c r="B23" s="67">
        <v>12.728445053100586</v>
      </c>
      <c r="C23" s="71">
        <v>10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15.630327712350796</v>
      </c>
      <c r="J23" s="15" t="s">
        <v>213</v>
      </c>
    </row>
    <row r="24" spans="1:14" ht="15" customHeight="1">
      <c r="A24" s="9" t="s">
        <v>72</v>
      </c>
      <c r="B24" s="67">
        <v>0</v>
      </c>
      <c r="C24" s="71">
        <v>1.5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7.4034846193423682</v>
      </c>
      <c r="J24" s="70">
        <v>7.3476532634005274</v>
      </c>
    </row>
    <row r="25" spans="1:14" ht="15" customHeight="1">
      <c r="A25" s="9" t="s">
        <v>75</v>
      </c>
      <c r="B25" s="49" t="s">
        <v>175</v>
      </c>
      <c r="C25" s="71">
        <v>1.5</v>
      </c>
      <c r="D25" s="107" t="s">
        <v>76</v>
      </c>
      <c r="E25" s="51"/>
      <c r="F25" s="51"/>
      <c r="G25" s="58"/>
      <c r="H25" s="9" t="s">
        <v>77</v>
      </c>
      <c r="I25" s="66">
        <v>0.57635432481765747</v>
      </c>
      <c r="J25" s="70">
        <v>2.0101706981658936</v>
      </c>
    </row>
    <row r="26" spans="1:14" ht="15" customHeight="1">
      <c r="A26" s="9" t="s">
        <v>78</v>
      </c>
      <c r="B26" s="51" t="s">
        <v>197</v>
      </c>
      <c r="C26" s="58" t="s">
        <v>198</v>
      </c>
      <c r="D26" s="9" t="s">
        <v>79</v>
      </c>
      <c r="E26" s="67">
        <v>152.63970750559537</v>
      </c>
      <c r="F26" s="67">
        <v>20.52956874183478</v>
      </c>
      <c r="G26" s="71">
        <v>10.634464821240249</v>
      </c>
      <c r="H26" s="9" t="s">
        <v>80</v>
      </c>
      <c r="I26" s="66">
        <v>9.944279670715332</v>
      </c>
      <c r="J26" s="70">
        <v>7.6959352493286133</v>
      </c>
    </row>
    <row r="27" spans="1:14" ht="15" customHeight="1" thickBot="1">
      <c r="A27" s="9" t="s">
        <v>81</v>
      </c>
      <c r="B27" s="49" t="s">
        <v>175</v>
      </c>
      <c r="C27" s="50" t="s">
        <v>175</v>
      </c>
      <c r="D27" s="10" t="s">
        <v>82</v>
      </c>
      <c r="E27" s="78" t="s">
        <v>175</v>
      </c>
      <c r="F27" s="78" t="s">
        <v>175</v>
      </c>
      <c r="G27" s="80" t="s">
        <v>175</v>
      </c>
      <c r="H27" s="10" t="s">
        <v>83</v>
      </c>
      <c r="I27" s="77">
        <v>9.960968017578125</v>
      </c>
      <c r="J27" s="79">
        <v>7.9541311264038086</v>
      </c>
    </row>
    <row r="28" spans="1:14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</row>
    <row r="29" spans="1:14" ht="15" customHeight="1">
      <c r="A29" s="6"/>
      <c r="B29" s="33" t="s">
        <v>87</v>
      </c>
      <c r="C29" s="73">
        <v>42.463138048449601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50" t="str">
        <f>RIGHT(F$41,SEARCH("/",F$41,1)-1)</f>
        <v xml:space="preserve"> 3571.6</v>
      </c>
      <c r="N29" t="s">
        <v>187</v>
      </c>
    </row>
    <row r="30" spans="1:14" ht="15" customHeight="1" thickBot="1">
      <c r="A30" s="7"/>
      <c r="B30" s="61" t="s">
        <v>94</v>
      </c>
      <c r="C30" s="74">
        <v>42.489458555759391</v>
      </c>
      <c r="D30" s="9" t="s">
        <v>95</v>
      </c>
      <c r="E30" s="163">
        <v>43.196862500000002</v>
      </c>
      <c r="F30" s="163">
        <v>548.70000000000005</v>
      </c>
      <c r="G30" s="163">
        <v>15.881762120430867</v>
      </c>
      <c r="H30" s="164">
        <v>499.17645327599695</v>
      </c>
      <c r="I30" s="68">
        <v>42319.055130150002</v>
      </c>
      <c r="J30" s="72">
        <v>3176.5505654999047</v>
      </c>
      <c r="M30" s="150" t="str">
        <f>RIGHT(E$41,SEARCH("/",E$41,1)-1)</f>
        <v xml:space="preserve"> 3576.4</v>
      </c>
      <c r="N30" t="s">
        <v>188</v>
      </c>
    </row>
    <row r="31" spans="1:14" ht="15" customHeight="1">
      <c r="A31" s="22" t="s">
        <v>96</v>
      </c>
      <c r="B31" s="142"/>
      <c r="C31" s="26"/>
      <c r="D31" s="9" t="s">
        <v>97</v>
      </c>
      <c r="E31" s="163">
        <v>5.6000000000000005</v>
      </c>
      <c r="F31" s="163">
        <v>1242.9326594352722</v>
      </c>
      <c r="G31" s="163">
        <v>7.0110981551001963</v>
      </c>
      <c r="H31" s="164">
        <v>4.4317954931627046</v>
      </c>
      <c r="I31" s="68">
        <v>13920.84578567505</v>
      </c>
      <c r="J31" s="72">
        <v>277.84523737576581</v>
      </c>
      <c r="M31" s="150" t="str">
        <f>RIGHT(D$41,SEARCH("/",D$41,1)-1)</f>
        <v xml:space="preserve"> 3581.1</v>
      </c>
      <c r="N31" t="s">
        <v>189</v>
      </c>
    </row>
    <row r="32" spans="1:14" ht="15" customHeight="1">
      <c r="A32" s="5" t="s">
        <v>98</v>
      </c>
      <c r="B32" s="66" t="s">
        <v>256</v>
      </c>
      <c r="C32" s="108"/>
      <c r="D32" s="9" t="s">
        <v>99</v>
      </c>
      <c r="E32" s="163">
        <v>17.938479019842148</v>
      </c>
      <c r="F32" s="163">
        <v>800.49750709533691</v>
      </c>
      <c r="G32" s="163">
        <v>10.886133683415164</v>
      </c>
      <c r="H32" s="164">
        <v>55.457238001312717</v>
      </c>
      <c r="I32" s="8" t="s">
        <v>100</v>
      </c>
      <c r="J32" s="72">
        <v>3454.3958028756706</v>
      </c>
      <c r="M32" s="150" t="str">
        <f>RIGHT(C$41,SEARCH("/",C$41,1)-1)</f>
        <v xml:space="preserve"> 3585.7</v>
      </c>
      <c r="N32" t="s">
        <v>190</v>
      </c>
    </row>
    <row r="33" spans="1:15" ht="15" customHeight="1">
      <c r="A33" s="5" t="s">
        <v>101</v>
      </c>
      <c r="B33" s="66" t="s">
        <v>257</v>
      </c>
      <c r="C33" s="109" t="s">
        <v>102</v>
      </c>
      <c r="D33" s="9" t="s">
        <v>97</v>
      </c>
      <c r="E33" s="163">
        <v>4.3299999237060547</v>
      </c>
      <c r="F33" s="163">
        <v>790.5</v>
      </c>
      <c r="G33" s="163">
        <v>11.023811354181426</v>
      </c>
      <c r="H33" s="164">
        <v>13.889665883452532</v>
      </c>
      <c r="I33" s="8" t="s">
        <v>103</v>
      </c>
      <c r="J33" s="71" t="s">
        <v>224</v>
      </c>
      <c r="M33" s="150" t="str">
        <f>RIGHT(B$41,SEARCH("/",B$41,1)-1)</f>
        <v xml:space="preserve"> 3590.2</v>
      </c>
      <c r="N33" t="s">
        <v>191</v>
      </c>
    </row>
    <row r="34" spans="1:15" ht="15" customHeight="1" thickBot="1">
      <c r="A34" s="16" t="s">
        <v>104</v>
      </c>
      <c r="B34" s="77" t="s">
        <v>258</v>
      </c>
      <c r="C34" s="158">
        <v>8.7143228754804163</v>
      </c>
      <c r="D34" s="10" t="s">
        <v>20</v>
      </c>
      <c r="E34" s="165">
        <v>0.25</v>
      </c>
      <c r="F34" s="166">
        <v>2086.5248305970931</v>
      </c>
      <c r="G34" s="166">
        <v>4.1764769571357903</v>
      </c>
      <c r="H34" s="167">
        <v>830.88439236497095</v>
      </c>
      <c r="I34" s="8" t="s">
        <v>105</v>
      </c>
      <c r="J34" s="71">
        <v>6.0500001907348633</v>
      </c>
    </row>
    <row r="35" spans="1:15" ht="15" customHeight="1">
      <c r="A35" s="12" t="s">
        <v>106</v>
      </c>
      <c r="B35" s="13"/>
      <c r="C35" s="13"/>
      <c r="D35" s="133" t="s">
        <v>226</v>
      </c>
      <c r="E35" s="143" t="s">
        <v>225</v>
      </c>
      <c r="F35" s="14"/>
      <c r="G35" s="25" t="s">
        <v>107</v>
      </c>
      <c r="H35" s="83" t="s">
        <v>219</v>
      </c>
      <c r="I35" s="9" t="s">
        <v>108</v>
      </c>
      <c r="J35" s="72" t="s">
        <v>223</v>
      </c>
    </row>
    <row r="36" spans="1:15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217</v>
      </c>
      <c r="I36" s="9" t="s">
        <v>111</v>
      </c>
      <c r="J36" s="72" t="s">
        <v>222</v>
      </c>
    </row>
    <row r="37" spans="1:15" ht="15" customHeight="1" thickBot="1">
      <c r="A37" s="9" t="s">
        <v>112</v>
      </c>
      <c r="B37" s="171" t="s">
        <v>238</v>
      </c>
      <c r="C37" s="171" t="s">
        <v>239</v>
      </c>
      <c r="D37" s="171" t="s">
        <v>240</v>
      </c>
      <c r="E37" s="171" t="s">
        <v>241</v>
      </c>
      <c r="F37" s="172" t="s">
        <v>242</v>
      </c>
      <c r="G37" s="9" t="s">
        <v>113</v>
      </c>
      <c r="H37" s="72" t="s">
        <v>218</v>
      </c>
      <c r="I37" s="10" t="s">
        <v>114</v>
      </c>
      <c r="J37" s="81" t="s">
        <v>221</v>
      </c>
      <c r="O37" s="148"/>
    </row>
    <row r="38" spans="1:15" ht="15" customHeight="1" thickBot="1">
      <c r="A38" s="9" t="s">
        <v>115</v>
      </c>
      <c r="B38" s="173" t="s">
        <v>228</v>
      </c>
      <c r="C38" s="173" t="s">
        <v>229</v>
      </c>
      <c r="D38" s="173" t="s">
        <v>230</v>
      </c>
      <c r="E38" s="173" t="s">
        <v>231</v>
      </c>
      <c r="F38" s="174" t="s">
        <v>232</v>
      </c>
      <c r="G38" s="16" t="s">
        <v>116</v>
      </c>
      <c r="H38" s="81" t="s">
        <v>220</v>
      </c>
      <c r="I38" s="134" t="s">
        <v>227</v>
      </c>
      <c r="J38" s="82">
        <v>4545.39990234375</v>
      </c>
      <c r="L38" t="str">
        <f>LEFT(E38,SEARCH("/",E38,1)-1)</f>
        <v xml:space="preserve">0.949 </v>
      </c>
      <c r="M38" t="str">
        <f>RIGHT(E38,SEARCH("/",E38,1)-1)</f>
        <v xml:space="preserve"> 0.943</v>
      </c>
      <c r="N38" s="149">
        <f>M38/L38</f>
        <v>0.9936775553213909</v>
      </c>
      <c r="O38" s="148" t="s">
        <v>178</v>
      </c>
    </row>
    <row r="39" spans="1:15" ht="15" customHeight="1">
      <c r="A39" s="9" t="s">
        <v>117</v>
      </c>
      <c r="B39" s="173" t="s">
        <v>233</v>
      </c>
      <c r="C39" s="173" t="s">
        <v>234</v>
      </c>
      <c r="D39" s="173" t="s">
        <v>235</v>
      </c>
      <c r="E39" s="173" t="s">
        <v>236</v>
      </c>
      <c r="F39" s="174" t="s">
        <v>237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0.8953 </v>
      </c>
      <c r="M39" t="str">
        <f>RIGHT(E39,SEARCH("/",E39,1)-1)</f>
        <v xml:space="preserve"> 0.8770</v>
      </c>
      <c r="N39" s="149">
        <f>M39/L39</f>
        <v>0.97955992404780523</v>
      </c>
      <c r="O39" s="148" t="s">
        <v>179</v>
      </c>
    </row>
    <row r="40" spans="1:15" ht="15" customHeight="1">
      <c r="A40" s="9" t="s">
        <v>119</v>
      </c>
      <c r="B40" s="175" t="s">
        <v>251</v>
      </c>
      <c r="C40" s="175" t="s">
        <v>252</v>
      </c>
      <c r="D40" s="175" t="s">
        <v>253</v>
      </c>
      <c r="E40" s="175" t="s">
        <v>254</v>
      </c>
      <c r="F40" s="176" t="s">
        <v>255</v>
      </c>
      <c r="G40" s="34" t="s">
        <v>121</v>
      </c>
      <c r="H40" s="89" t="s">
        <v>259</v>
      </c>
      <c r="I40" s="53"/>
      <c r="J40" s="54"/>
      <c r="L40" t="str">
        <f>LEFT(E37,SEARCH("/",E37,1)-1)</f>
        <v xml:space="preserve">50.70 </v>
      </c>
      <c r="M40" t="str">
        <f>RIGHT(E37,SEARCH("/",E37,1)-1)</f>
        <v xml:space="preserve"> 52.06</v>
      </c>
      <c r="N40" s="149">
        <f>M40/L40</f>
        <v>1.0268244575936885</v>
      </c>
      <c r="O40" s="148" t="s">
        <v>177</v>
      </c>
    </row>
    <row r="41" spans="1:15" ht="15" customHeight="1">
      <c r="A41" s="9" t="s">
        <v>5</v>
      </c>
      <c r="B41" s="177" t="s">
        <v>246</v>
      </c>
      <c r="C41" s="177" t="s">
        <v>247</v>
      </c>
      <c r="D41" s="177" t="s">
        <v>248</v>
      </c>
      <c r="E41" s="177" t="s">
        <v>249</v>
      </c>
      <c r="F41" s="178" t="s">
        <v>250</v>
      </c>
      <c r="G41" s="35" t="s">
        <v>122</v>
      </c>
      <c r="H41" s="90" t="s">
        <v>260</v>
      </c>
      <c r="I41" s="55"/>
      <c r="J41" s="56"/>
      <c r="L41" t="str">
        <f>LEFT(E41,SEARCH("/",E41,1)-1)</f>
        <v xml:space="preserve">3581.3 </v>
      </c>
      <c r="M41">
        <v>3575</v>
      </c>
      <c r="N41" s="149">
        <f>M41/L41</f>
        <v>0.99824086225672237</v>
      </c>
      <c r="O41" s="148" t="s">
        <v>5</v>
      </c>
    </row>
    <row r="42" spans="1:15" ht="15" customHeight="1">
      <c r="A42" s="9" t="s">
        <v>123</v>
      </c>
      <c r="B42" s="173">
        <v>17.531960048717927</v>
      </c>
      <c r="C42" s="173">
        <v>15.346607152010384</v>
      </c>
      <c r="D42" s="173">
        <v>14.228330168287881</v>
      </c>
      <c r="E42" s="173">
        <v>13.577180829850665</v>
      </c>
      <c r="F42" s="174">
        <v>13.15115139906705</v>
      </c>
      <c r="G42" s="34" t="s">
        <v>124</v>
      </c>
      <c r="H42" s="89" t="s">
        <v>261</v>
      </c>
      <c r="I42" s="53"/>
      <c r="J42" s="95">
        <v>0.25272786820987719</v>
      </c>
    </row>
    <row r="43" spans="1:15" ht="15" customHeight="1" thickBot="1">
      <c r="A43" s="10" t="s">
        <v>125</v>
      </c>
      <c r="B43" s="179">
        <v>25.885065462625462</v>
      </c>
      <c r="C43" s="180"/>
      <c r="D43" s="181" t="s">
        <v>264</v>
      </c>
      <c r="E43" s="181"/>
      <c r="F43" s="182"/>
      <c r="G43" s="35" t="s">
        <v>122</v>
      </c>
      <c r="H43" s="90" t="s">
        <v>262</v>
      </c>
      <c r="I43" s="55"/>
      <c r="J43" s="56"/>
    </row>
    <row r="44" spans="1:15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735.91300721030041</v>
      </c>
      <c r="I44" s="88">
        <v>2.6742341788941991E-2</v>
      </c>
      <c r="J44" s="95">
        <v>0.63955427837032663</v>
      </c>
    </row>
    <row r="45" spans="1:15" ht="15" customHeight="1">
      <c r="A45" s="9" t="s">
        <v>129</v>
      </c>
      <c r="B45" s="66">
        <v>0.2936389148235321</v>
      </c>
      <c r="C45" s="161" t="s">
        <v>130</v>
      </c>
      <c r="D45" s="70">
        <v>6.7747700959444046E-3</v>
      </c>
      <c r="E45" s="9" t="s">
        <v>131</v>
      </c>
      <c r="F45" s="72">
        <v>194.84017865555791</v>
      </c>
      <c r="G45" s="36" t="s">
        <v>122</v>
      </c>
      <c r="H45" s="84" t="s">
        <v>263</v>
      </c>
      <c r="I45" s="57"/>
      <c r="J45" s="58"/>
    </row>
    <row r="46" spans="1:15" ht="15" customHeight="1">
      <c r="A46" s="9" t="s">
        <v>132</v>
      </c>
      <c r="B46" s="66">
        <v>0.19451303780078888</v>
      </c>
      <c r="C46" s="161" t="s">
        <v>133</v>
      </c>
      <c r="D46" s="70">
        <v>5.2042659372091293E-3</v>
      </c>
      <c r="E46" s="9" t="s">
        <v>134</v>
      </c>
      <c r="F46" s="72">
        <v>358.83229666990115</v>
      </c>
      <c r="G46" s="35" t="s">
        <v>135</v>
      </c>
      <c r="H46" s="92">
        <v>161.63803251178373</v>
      </c>
      <c r="I46" s="55"/>
      <c r="J46" s="56"/>
      <c r="L46" s="144" t="s">
        <v>180</v>
      </c>
      <c r="M46" s="146">
        <f>B5^0.95</f>
        <v>296.45377964277901</v>
      </c>
    </row>
    <row r="47" spans="1:15" ht="15" customHeight="1">
      <c r="A47" s="9" t="s">
        <v>136</v>
      </c>
      <c r="B47" s="66">
        <v>0.48815196752548218</v>
      </c>
      <c r="C47" s="161" t="s">
        <v>137</v>
      </c>
      <c r="D47" s="70">
        <v>1.8431635573506355E-2</v>
      </c>
      <c r="E47" s="9" t="s">
        <v>138</v>
      </c>
      <c r="F47" s="72">
        <v>151.07680978843771</v>
      </c>
      <c r="G47" s="62" t="s">
        <v>139</v>
      </c>
      <c r="H47" s="91">
        <v>716.50404765587848</v>
      </c>
      <c r="I47" s="88">
        <v>2.6015640527949063E-2</v>
      </c>
      <c r="J47" s="93">
        <v>0.64878994534178525</v>
      </c>
      <c r="L47" s="144" t="s">
        <v>181</v>
      </c>
      <c r="M47" s="146">
        <f>B5^1.5</f>
        <v>8000</v>
      </c>
    </row>
    <row r="48" spans="1:15" ht="15" customHeight="1">
      <c r="A48" s="9" t="s">
        <v>140</v>
      </c>
      <c r="B48" s="66">
        <v>1.9145328551530838E-2</v>
      </c>
      <c r="C48" s="161" t="s">
        <v>100</v>
      </c>
      <c r="D48" s="70">
        <v>4.9556002020835876E-2</v>
      </c>
      <c r="E48" s="9" t="s">
        <v>141</v>
      </c>
      <c r="F48" s="72">
        <v>4.3471815328983752</v>
      </c>
      <c r="G48" s="63" t="s">
        <v>122</v>
      </c>
      <c r="H48" s="84">
        <v>240.11530238316135</v>
      </c>
      <c r="I48" s="57"/>
      <c r="J48" s="58"/>
      <c r="L48" s="144" t="s">
        <v>182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2" t="s">
        <v>142</v>
      </c>
      <c r="D49" s="79">
        <v>0.95044398307800293</v>
      </c>
      <c r="E49" s="10" t="s">
        <v>143</v>
      </c>
      <c r="F49" s="81">
        <v>10.042414221781936</v>
      </c>
      <c r="G49" s="64" t="s">
        <v>135</v>
      </c>
      <c r="H49" s="92">
        <v>159.39738511553333</v>
      </c>
      <c r="I49" s="55"/>
      <c r="J49" s="59"/>
      <c r="L49" s="144" t="s">
        <v>183</v>
      </c>
      <c r="M49" s="145">
        <f>IF(A5="",0,(7200/(1000*A5))^1.8)</f>
        <v>10.031006258647469</v>
      </c>
    </row>
    <row r="50" spans="1:13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27</v>
      </c>
    </row>
    <row r="51" spans="1:13" ht="15" customHeight="1">
      <c r="A51" s="9" t="s">
        <v>146</v>
      </c>
      <c r="B51" s="49">
        <v>34</v>
      </c>
      <c r="C51" s="8" t="s">
        <v>147</v>
      </c>
      <c r="D51" s="67">
        <v>3</v>
      </c>
      <c r="E51" s="8" t="s">
        <v>148</v>
      </c>
      <c r="F51" s="71">
        <v>10</v>
      </c>
      <c r="G51" s="8" t="s">
        <v>149</v>
      </c>
      <c r="H51" s="65">
        <v>3.6233714526841349E-2</v>
      </c>
      <c r="I51" s="43" t="s">
        <v>150</v>
      </c>
      <c r="J51" s="37"/>
      <c r="L51" s="144" t="s">
        <v>185</v>
      </c>
      <c r="M51" s="147">
        <v>6.8500000000000005E-2</v>
      </c>
    </row>
    <row r="52" spans="1:13" ht="15" customHeight="1">
      <c r="A52" s="9" t="s">
        <v>58</v>
      </c>
      <c r="B52" s="67">
        <v>43.299999237060547</v>
      </c>
      <c r="C52" s="8" t="s">
        <v>151</v>
      </c>
      <c r="D52" s="67">
        <v>9.4999992251396179</v>
      </c>
      <c r="E52" s="8" t="s">
        <v>152</v>
      </c>
      <c r="F52" s="71">
        <v>0</v>
      </c>
      <c r="G52" s="8" t="s">
        <v>169</v>
      </c>
      <c r="H52" s="67">
        <v>49612.5</v>
      </c>
      <c r="I52" s="96" t="s">
        <v>243</v>
      </c>
      <c r="J52" s="60"/>
      <c r="L52" s="144" t="s">
        <v>192</v>
      </c>
      <c r="M52" s="168">
        <f>F5</f>
        <v>60</v>
      </c>
    </row>
    <row r="53" spans="1:13" ht="15" customHeight="1">
      <c r="A53" s="9" t="s">
        <v>64</v>
      </c>
      <c r="B53" s="67">
        <v>0</v>
      </c>
      <c r="C53" s="8" t="s">
        <v>153</v>
      </c>
      <c r="D53" s="67">
        <v>16.681331634521484</v>
      </c>
      <c r="E53" s="8" t="s">
        <v>154</v>
      </c>
      <c r="F53" s="71">
        <v>0</v>
      </c>
      <c r="G53" s="8" t="s">
        <v>170</v>
      </c>
      <c r="H53" s="66">
        <v>19.691201249999999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315.36345100644382</v>
      </c>
    </row>
    <row r="54" spans="1:13" ht="15" customHeight="1">
      <c r="A54" s="9" t="s">
        <v>66</v>
      </c>
      <c r="B54" s="67">
        <v>0.80000001192092896</v>
      </c>
      <c r="C54" s="8" t="s">
        <v>156</v>
      </c>
      <c r="D54" s="67">
        <v>11.121518047604644</v>
      </c>
      <c r="E54" s="8" t="s">
        <v>154</v>
      </c>
      <c r="F54" s="71">
        <v>10</v>
      </c>
      <c r="G54" s="8" t="s">
        <v>171</v>
      </c>
      <c r="H54" s="68">
        <v>151250</v>
      </c>
      <c r="I54" s="97" t="s">
        <v>244</v>
      </c>
      <c r="J54" s="98" t="s">
        <v>207</v>
      </c>
    </row>
    <row r="55" spans="1:13" ht="15" customHeight="1">
      <c r="A55" s="9" t="s">
        <v>157</v>
      </c>
      <c r="B55" s="67">
        <v>3</v>
      </c>
      <c r="C55" s="8" t="s">
        <v>158</v>
      </c>
      <c r="D55" s="67">
        <v>30</v>
      </c>
      <c r="E55" s="8" t="s">
        <v>159</v>
      </c>
      <c r="F55" s="71">
        <v>0</v>
      </c>
      <c r="G55" s="8" t="s">
        <v>160</v>
      </c>
      <c r="H55" s="67">
        <v>1</v>
      </c>
      <c r="I55" s="42" t="s">
        <v>161</v>
      </c>
      <c r="J55" s="37"/>
    </row>
    <row r="56" spans="1:13" ht="15" customHeight="1" thickBot="1">
      <c r="A56" s="10" t="s">
        <v>162</v>
      </c>
      <c r="B56" s="78">
        <v>1.5</v>
      </c>
      <c r="C56" s="20" t="s">
        <v>163</v>
      </c>
      <c r="D56" s="78">
        <v>25.403669586032311</v>
      </c>
      <c r="E56" s="20" t="s">
        <v>164</v>
      </c>
      <c r="F56" s="80">
        <v>0</v>
      </c>
      <c r="G56" s="20" t="s">
        <v>165</v>
      </c>
      <c r="H56" s="77">
        <v>0.67847857142857138</v>
      </c>
      <c r="I56" s="99" t="s">
        <v>245</v>
      </c>
      <c r="J56" s="59" t="s">
        <v>208</v>
      </c>
    </row>
    <row r="57" spans="1:13" ht="15" customHeight="1">
      <c r="A57" s="22" t="s">
        <v>392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166</v>
      </c>
      <c r="C58" s="15" t="s">
        <v>390</v>
      </c>
      <c r="D58" s="3" t="s">
        <v>119</v>
      </c>
      <c r="E58" s="3" t="s">
        <v>166</v>
      </c>
      <c r="F58" s="15" t="s">
        <v>391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0.25576719641685486</v>
      </c>
      <c r="D59" s="125">
        <v>0.69999998807907104</v>
      </c>
      <c r="E59" s="84">
        <v>153.77377818629304</v>
      </c>
      <c r="F59" s="85">
        <v>639.71600341796875</v>
      </c>
      <c r="G59" s="119"/>
      <c r="H59" s="31"/>
      <c r="I59" s="31"/>
      <c r="J59" s="44"/>
    </row>
    <row r="60" spans="1:13" ht="15" customHeight="1">
      <c r="A60" s="127">
        <v>9.9999997764825821E-3</v>
      </c>
      <c r="B60" s="84">
        <v>139.28409642250509</v>
      </c>
      <c r="C60" s="85">
        <v>173.28054809570313</v>
      </c>
      <c r="D60" s="125">
        <v>0.80000001192092896</v>
      </c>
      <c r="E60" s="84">
        <v>158.87231401933832</v>
      </c>
      <c r="F60" s="85">
        <v>645.5589599609375</v>
      </c>
      <c r="G60" s="119"/>
      <c r="H60" s="31"/>
      <c r="I60" s="31"/>
      <c r="J60" s="44"/>
    </row>
    <row r="61" spans="1:13" ht="15" customHeight="1">
      <c r="A61" s="127">
        <v>5.000000074505806E-2</v>
      </c>
      <c r="B61" s="84">
        <v>235</v>
      </c>
      <c r="C61" s="85">
        <v>489.89398193359375</v>
      </c>
      <c r="D61" s="125">
        <v>0.89999997615814209</v>
      </c>
      <c r="E61" s="84">
        <v>168.23105766876694</v>
      </c>
      <c r="F61" s="85">
        <v>650.3880615234375</v>
      </c>
      <c r="G61" s="119"/>
      <c r="H61" s="31"/>
      <c r="I61" s="31"/>
      <c r="J61" s="44"/>
    </row>
    <row r="62" spans="1:13" ht="15" customHeight="1">
      <c r="A62" s="123">
        <v>0.10000000149011612</v>
      </c>
      <c r="B62" s="84">
        <v>177.8055944184859</v>
      </c>
      <c r="C62" s="85">
        <v>562.69683837890625</v>
      </c>
      <c r="D62" s="126">
        <v>1</v>
      </c>
      <c r="E62" s="84">
        <v>185</v>
      </c>
      <c r="F62" s="85">
        <v>653.84619140625</v>
      </c>
      <c r="G62" s="119"/>
      <c r="H62" s="31"/>
      <c r="I62" s="31"/>
      <c r="J62" s="44"/>
    </row>
    <row r="63" spans="1:13" ht="15" customHeight="1" thickBot="1">
      <c r="A63" s="123">
        <v>0.15000000596046448</v>
      </c>
      <c r="B63" s="84">
        <v>156.69783865626175</v>
      </c>
      <c r="C63" s="85">
        <v>583.0435791015625</v>
      </c>
      <c r="D63" s="373"/>
      <c r="E63" s="86"/>
      <c r="F63" s="374"/>
      <c r="G63" s="119"/>
      <c r="H63" s="31"/>
      <c r="I63" s="31"/>
      <c r="J63" s="44"/>
    </row>
    <row r="64" spans="1:13" ht="15" customHeight="1">
      <c r="A64" s="123">
        <v>0.20000000298023224</v>
      </c>
      <c r="B64" s="84">
        <v>151.90871094099472</v>
      </c>
      <c r="C64" s="85">
        <v>593.174072265625</v>
      </c>
      <c r="D64" s="375" t="s">
        <v>400</v>
      </c>
      <c r="E64" s="376"/>
      <c r="F64" s="376"/>
      <c r="G64" s="119"/>
      <c r="H64" s="31"/>
      <c r="I64" s="31"/>
      <c r="J64" s="44"/>
    </row>
    <row r="65" spans="1:10" ht="15" customHeight="1">
      <c r="A65" s="123">
        <v>0.30000001192092896</v>
      </c>
      <c r="B65" s="84">
        <v>151.32391837877557</v>
      </c>
      <c r="C65" s="85">
        <v>605.94244384765625</v>
      </c>
      <c r="D65" s="377" t="s">
        <v>394</v>
      </c>
      <c r="E65" s="379" t="s">
        <v>398</v>
      </c>
      <c r="F65" s="379"/>
      <c r="G65" s="119"/>
      <c r="H65" s="31"/>
      <c r="I65" s="31"/>
      <c r="J65" s="44"/>
    </row>
    <row r="66" spans="1:10" ht="15" customHeight="1">
      <c r="A66" s="123">
        <v>0.40000000596046448</v>
      </c>
      <c r="B66" s="84">
        <v>150.73165618240199</v>
      </c>
      <c r="C66" s="85">
        <v>616.10247802734375</v>
      </c>
      <c r="D66" s="377" t="s">
        <v>395</v>
      </c>
      <c r="E66" s="379" t="s">
        <v>399</v>
      </c>
      <c r="F66" s="379"/>
      <c r="G66" s="119"/>
      <c r="H66" s="31"/>
      <c r="I66" s="31"/>
      <c r="J66" s="44"/>
    </row>
    <row r="67" spans="1:10" ht="15" customHeight="1">
      <c r="A67" s="123">
        <v>0.5</v>
      </c>
      <c r="B67" s="84">
        <v>150</v>
      </c>
      <c r="C67" s="85">
        <v>624.82232666015625</v>
      </c>
      <c r="D67" s="377" t="s">
        <v>396</v>
      </c>
      <c r="E67" s="379" t="s">
        <v>401</v>
      </c>
      <c r="F67" s="379"/>
      <c r="G67" s="119"/>
      <c r="H67" s="31"/>
      <c r="I67" s="31"/>
      <c r="J67" s="44"/>
    </row>
    <row r="68" spans="1:10" ht="15" customHeight="1" thickBot="1">
      <c r="A68" s="124">
        <v>0.60000002384185791</v>
      </c>
      <c r="B68" s="86">
        <v>151.12655140284895</v>
      </c>
      <c r="C68" s="87">
        <v>632.78021240234375</v>
      </c>
      <c r="D68" s="378" t="s">
        <v>397</v>
      </c>
      <c r="E68" s="380" t="s">
        <v>402</v>
      </c>
      <c r="F68" s="380"/>
      <c r="G68" s="120"/>
      <c r="H68" s="45"/>
      <c r="I68" s="45"/>
      <c r="J68" s="46"/>
    </row>
    <row r="69" spans="1:10" ht="15" customHeight="1">
      <c r="A69" s="153" t="s">
        <v>266</v>
      </c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2" t="s">
        <v>393</v>
      </c>
      <c r="B99" s="372"/>
      <c r="C99" s="372"/>
      <c r="D99" s="372"/>
      <c r="E99" s="372"/>
      <c r="F99" s="372"/>
      <c r="G99" s="372"/>
      <c r="H99" s="372"/>
      <c r="I99" s="372"/>
    </row>
    <row r="100" spans="1:9">
      <c r="A100" s="372">
        <v>100</v>
      </c>
      <c r="B100" s="372"/>
      <c r="C100" s="372"/>
      <c r="D100" s="372"/>
      <c r="E100" s="372"/>
      <c r="F100" s="372"/>
      <c r="G100" s="372"/>
      <c r="H100" s="372"/>
      <c r="I100" s="372"/>
    </row>
    <row r="101" spans="1:9">
      <c r="A101" s="372">
        <v>98</v>
      </c>
      <c r="B101" s="372"/>
      <c r="C101" s="372"/>
      <c r="D101" s="372"/>
      <c r="E101" s="372"/>
      <c r="F101" s="372"/>
      <c r="G101" s="372"/>
      <c r="H101" s="372"/>
      <c r="I101" s="372"/>
    </row>
    <row r="102" spans="1:9">
      <c r="A102" s="372">
        <v>87</v>
      </c>
      <c r="B102" s="372"/>
      <c r="C102" s="372"/>
      <c r="D102" s="372"/>
      <c r="E102" s="372"/>
      <c r="F102" s="372"/>
      <c r="G102" s="372"/>
      <c r="H102" s="372"/>
      <c r="I102" s="372"/>
    </row>
    <row r="103" spans="1:9">
      <c r="A103" s="372">
        <v>74</v>
      </c>
      <c r="B103" s="372"/>
      <c r="C103" s="372"/>
      <c r="D103" s="372"/>
      <c r="E103" s="372"/>
      <c r="F103" s="372"/>
      <c r="G103" s="372"/>
      <c r="H103" s="372"/>
      <c r="I103" s="372"/>
    </row>
    <row r="104" spans="1:9">
      <c r="A104" s="372">
        <v>61</v>
      </c>
      <c r="B104" s="372"/>
      <c r="C104" s="372"/>
      <c r="D104" s="372"/>
      <c r="E104" s="372"/>
      <c r="F104" s="372"/>
      <c r="G104" s="372"/>
      <c r="H104" s="372"/>
      <c r="I104" s="372"/>
    </row>
    <row r="105" spans="1:9">
      <c r="A105" s="372">
        <v>50</v>
      </c>
      <c r="B105" s="372"/>
      <c r="C105" s="372"/>
      <c r="D105" s="372"/>
      <c r="E105" s="372"/>
      <c r="F105" s="372"/>
      <c r="G105" s="372"/>
      <c r="H105" s="372"/>
      <c r="I105" s="372"/>
    </row>
    <row r="106" spans="1:9">
      <c r="A106" s="372">
        <v>33</v>
      </c>
      <c r="B106" s="372"/>
      <c r="C106" s="372"/>
      <c r="D106" s="372"/>
      <c r="E106" s="372"/>
      <c r="F106" s="372"/>
      <c r="G106" s="372"/>
      <c r="H106" s="372"/>
      <c r="I106" s="372"/>
    </row>
    <row r="107" spans="1:9">
      <c r="A107" s="372">
        <v>22</v>
      </c>
      <c r="B107" s="372"/>
      <c r="C107" s="372"/>
      <c r="D107" s="372"/>
      <c r="E107" s="372"/>
      <c r="F107" s="372"/>
      <c r="G107" s="372"/>
      <c r="H107" s="372"/>
      <c r="I107" s="372"/>
    </row>
    <row r="108" spans="1:9">
      <c r="A108" s="372">
        <v>14</v>
      </c>
      <c r="B108" s="372"/>
      <c r="C108" s="372"/>
      <c r="D108" s="372"/>
      <c r="E108" s="372"/>
      <c r="F108" s="372"/>
      <c r="G108" s="372"/>
      <c r="H108" s="372"/>
      <c r="I108" s="372"/>
    </row>
    <row r="109" spans="1:9">
      <c r="A109" s="372">
        <v>7.9999995231628418</v>
      </c>
      <c r="B109" s="372"/>
      <c r="C109" s="372"/>
      <c r="D109" s="372"/>
      <c r="E109" s="372"/>
      <c r="F109" s="372"/>
      <c r="G109" s="372"/>
      <c r="H109" s="372"/>
      <c r="I109" s="372"/>
    </row>
    <row r="110" spans="1:9">
      <c r="A110" s="372">
        <v>5.9999995231628418</v>
      </c>
      <c r="B110" s="372"/>
      <c r="C110" s="372"/>
      <c r="D110" s="372"/>
      <c r="E110" s="372"/>
      <c r="F110" s="372"/>
      <c r="G110" s="372"/>
      <c r="H110" s="372"/>
      <c r="I110" s="372"/>
    </row>
    <row r="111" spans="1:9">
      <c r="A111" s="372">
        <v>8.0000009536743164</v>
      </c>
      <c r="B111" s="372"/>
      <c r="C111" s="372"/>
      <c r="D111" s="372"/>
      <c r="E111" s="372"/>
      <c r="F111" s="372"/>
      <c r="G111" s="372"/>
      <c r="H111" s="372"/>
      <c r="I111" s="372"/>
    </row>
    <row r="112" spans="1:9">
      <c r="A112" s="372">
        <v>14.999996185302734</v>
      </c>
      <c r="B112" s="372"/>
      <c r="C112" s="372"/>
      <c r="D112" s="372"/>
      <c r="E112" s="372"/>
      <c r="F112" s="372"/>
      <c r="G112" s="372"/>
      <c r="H112" s="372"/>
      <c r="I112" s="372"/>
    </row>
    <row r="113" spans="1:9">
      <c r="A113" s="372">
        <v>30</v>
      </c>
      <c r="B113" s="372"/>
      <c r="C113" s="372"/>
      <c r="D113" s="372"/>
      <c r="E113" s="372"/>
      <c r="F113" s="372"/>
      <c r="G113" s="372"/>
      <c r="H113" s="372"/>
      <c r="I113" s="372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Z53"/>
  <sheetViews>
    <sheetView tabSelected="1" workbookViewId="0">
      <selection activeCell="M7" sqref="M7:M11"/>
    </sheetView>
  </sheetViews>
  <sheetFormatPr defaultColWidth="9.140625" defaultRowHeight="15.75"/>
  <cols>
    <col min="1" max="1" width="12.140625" style="313" customWidth="1"/>
    <col min="2" max="2" width="6.140625" style="313" customWidth="1"/>
    <col min="3" max="3" width="7.140625" style="313" customWidth="1"/>
    <col min="4" max="4" width="12.85546875" style="313" customWidth="1"/>
    <col min="5" max="5" width="12.5703125" style="313" customWidth="1"/>
    <col min="6" max="6" width="9.42578125" style="313" customWidth="1"/>
    <col min="7" max="7" width="5.7109375" style="313" customWidth="1"/>
    <col min="8" max="8" width="7.85546875" style="313" customWidth="1"/>
    <col min="9" max="9" width="6.5703125" style="313" customWidth="1"/>
    <col min="10" max="11" width="12" style="313" customWidth="1"/>
    <col min="12" max="26" width="9.140625" style="183"/>
    <col min="27" max="16384" width="9.140625" style="184"/>
  </cols>
  <sheetData>
    <row r="1" spans="1:26" ht="20.25" customHeight="1">
      <c r="A1" s="687" t="s">
        <v>267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</row>
    <row r="2" spans="1:26" ht="20.25" customHeight="1">
      <c r="A2" s="688" t="s">
        <v>268</v>
      </c>
      <c r="B2" s="688"/>
      <c r="C2" s="688"/>
      <c r="D2" s="688"/>
      <c r="E2" s="688"/>
      <c r="F2" s="688"/>
      <c r="G2" s="688"/>
      <c r="H2" s="688"/>
      <c r="I2" s="688"/>
      <c r="J2" s="688"/>
      <c r="K2" s="688"/>
    </row>
    <row r="3" spans="1:26" ht="18.75" customHeight="1" thickBot="1">
      <c r="A3" s="185" t="s">
        <v>1</v>
      </c>
      <c r="B3" s="186" t="s">
        <v>377</v>
      </c>
      <c r="C3" s="187"/>
      <c r="D3" s="187"/>
      <c r="E3" s="187"/>
      <c r="F3" s="188"/>
      <c r="G3" s="187"/>
      <c r="H3" s="187"/>
      <c r="I3" s="185" t="s">
        <v>269</v>
      </c>
      <c r="J3" s="695" t="s">
        <v>383</v>
      </c>
      <c r="K3" s="695"/>
    </row>
    <row r="4" spans="1:26" s="197" customFormat="1" ht="18.399999999999999" customHeight="1" thickBot="1">
      <c r="A4" s="189" t="s">
        <v>735</v>
      </c>
      <c r="B4" s="190"/>
      <c r="C4" s="191"/>
      <c r="D4" s="191"/>
      <c r="E4" s="191"/>
      <c r="F4" s="191"/>
      <c r="G4" s="191"/>
      <c r="H4" s="191"/>
      <c r="I4" s="191"/>
      <c r="J4" s="191"/>
      <c r="K4" s="192"/>
      <c r="L4" s="193"/>
      <c r="M4" s="193"/>
      <c r="N4" s="193" t="s">
        <v>833</v>
      </c>
      <c r="O4" s="193"/>
      <c r="P4" s="193"/>
      <c r="Q4" s="194" t="s">
        <v>270</v>
      </c>
      <c r="R4" s="195"/>
      <c r="S4" s="193"/>
      <c r="T4" s="194" t="s">
        <v>271</v>
      </c>
      <c r="U4" s="196"/>
      <c r="V4" s="193"/>
      <c r="W4" s="193"/>
      <c r="X4" s="193"/>
      <c r="Y4" s="193"/>
      <c r="Z4" s="193"/>
    </row>
    <row r="5" spans="1:26" s="197" customFormat="1" ht="18.399999999999999" customHeight="1">
      <c r="A5" s="689" t="s">
        <v>272</v>
      </c>
      <c r="B5" s="690"/>
      <c r="C5" s="690"/>
      <c r="D5" s="198"/>
      <c r="E5" s="199"/>
      <c r="F5" s="200" t="s">
        <v>273</v>
      </c>
      <c r="G5" s="187"/>
      <c r="H5" s="187"/>
      <c r="I5" s="201"/>
      <c r="J5" s="202" t="s">
        <v>274</v>
      </c>
      <c r="K5" s="203" t="s">
        <v>275</v>
      </c>
      <c r="L5" s="193"/>
      <c r="M5" s="193" t="s">
        <v>831</v>
      </c>
      <c r="N5" s="193" t="s">
        <v>832</v>
      </c>
      <c r="O5" s="193"/>
      <c r="P5" s="193"/>
      <c r="Q5" s="204" t="s">
        <v>276</v>
      </c>
      <c r="R5" s="205"/>
      <c r="S5" s="193"/>
      <c r="T5" s="204" t="s">
        <v>277</v>
      </c>
      <c r="U5" s="206"/>
      <c r="V5" s="193"/>
      <c r="W5" s="193"/>
      <c r="X5" s="193"/>
      <c r="Y5" s="193"/>
      <c r="Z5" s="193"/>
    </row>
    <row r="6" spans="1:26" s="197" customFormat="1" ht="18.399999999999999" customHeight="1">
      <c r="A6" s="691" t="s">
        <v>67</v>
      </c>
      <c r="B6" s="692"/>
      <c r="C6" s="692"/>
      <c r="D6" s="693" t="s">
        <v>281</v>
      </c>
      <c r="E6" s="694"/>
      <c r="F6" s="352" t="s">
        <v>279</v>
      </c>
      <c r="G6" s="353"/>
      <c r="H6" s="353"/>
      <c r="I6" s="353"/>
      <c r="J6" s="353"/>
      <c r="K6" s="357"/>
      <c r="L6" s="193"/>
      <c r="M6" s="193" t="s">
        <v>830</v>
      </c>
      <c r="N6" s="193" t="s">
        <v>830</v>
      </c>
      <c r="O6" s="193"/>
      <c r="P6" s="193"/>
      <c r="Q6" s="204" t="s">
        <v>280</v>
      </c>
      <c r="R6" s="205"/>
      <c r="S6" s="193"/>
      <c r="T6" s="204" t="s">
        <v>281</v>
      </c>
      <c r="U6" s="206"/>
      <c r="V6" s="193"/>
      <c r="W6" s="193"/>
      <c r="X6" s="193"/>
      <c r="Y6" s="193"/>
      <c r="Z6" s="193"/>
    </row>
    <row r="7" spans="1:26" s="197" customFormat="1" ht="18.399999999999999" customHeight="1">
      <c r="A7" s="699" t="s">
        <v>20</v>
      </c>
      <c r="B7" s="700"/>
      <c r="C7" s="700"/>
      <c r="D7" s="701">
        <v>2.5</v>
      </c>
      <c r="E7" s="702"/>
      <c r="F7" s="207" t="s">
        <v>282</v>
      </c>
      <c r="G7" s="208"/>
      <c r="H7" s="209"/>
      <c r="I7" s="210"/>
      <c r="J7" s="211">
        <v>12.7</v>
      </c>
      <c r="K7" s="354">
        <v>13.4</v>
      </c>
      <c r="L7" s="193"/>
      <c r="M7" s="193">
        <v>22</v>
      </c>
      <c r="N7" s="193">
        <v>23.212598425196852</v>
      </c>
      <c r="O7" s="193"/>
      <c r="P7" s="193"/>
      <c r="Q7" s="204" t="s">
        <v>283</v>
      </c>
      <c r="R7" s="205"/>
      <c r="S7" s="193"/>
      <c r="T7" s="204" t="s">
        <v>278</v>
      </c>
      <c r="U7" s="206"/>
      <c r="V7" s="193"/>
      <c r="W7" s="193"/>
      <c r="X7" s="193"/>
      <c r="Y7" s="193"/>
      <c r="Z7" s="193"/>
    </row>
    <row r="8" spans="1:26" s="197" customFormat="1" ht="18.399999999999999" customHeight="1">
      <c r="A8" s="699" t="s">
        <v>284</v>
      </c>
      <c r="B8" s="700"/>
      <c r="C8" s="700"/>
      <c r="D8" s="703">
        <v>500</v>
      </c>
      <c r="E8" s="704"/>
      <c r="F8" s="213" t="s">
        <v>285</v>
      </c>
      <c r="G8" s="214"/>
      <c r="H8" s="215"/>
      <c r="I8" s="216"/>
      <c r="J8" s="217">
        <v>8503</v>
      </c>
      <c r="K8" s="355">
        <v>11039</v>
      </c>
      <c r="L8" s="193"/>
      <c r="M8" s="193">
        <v>8470</v>
      </c>
      <c r="N8" s="193">
        <v>10996.157826649418</v>
      </c>
      <c r="O8" s="193"/>
      <c r="P8" s="193"/>
      <c r="Q8" s="204" t="s">
        <v>286</v>
      </c>
      <c r="R8" s="205"/>
      <c r="S8" s="193"/>
      <c r="T8" s="204" t="s">
        <v>287</v>
      </c>
      <c r="U8" s="206"/>
      <c r="V8" s="193"/>
      <c r="W8" s="193"/>
      <c r="X8" s="193"/>
      <c r="Y8" s="193"/>
      <c r="Z8" s="193"/>
    </row>
    <row r="9" spans="1:26" s="197" customFormat="1" ht="18.399999999999999" customHeight="1">
      <c r="A9" s="705" t="s">
        <v>288</v>
      </c>
      <c r="B9" s="706"/>
      <c r="C9" s="707"/>
      <c r="D9" s="703">
        <v>9</v>
      </c>
      <c r="E9" s="704"/>
      <c r="F9" s="207" t="s">
        <v>289</v>
      </c>
      <c r="G9" s="208"/>
      <c r="H9" s="219">
        <v>3</v>
      </c>
      <c r="I9" s="220" t="s">
        <v>290</v>
      </c>
      <c r="J9" s="221">
        <v>82</v>
      </c>
      <c r="K9" s="355">
        <v>76.3</v>
      </c>
      <c r="L9" s="193"/>
      <c r="M9" s="193">
        <v>99</v>
      </c>
      <c r="N9" s="193">
        <v>92.118292682926821</v>
      </c>
      <c r="O9" s="193"/>
      <c r="P9" s="193"/>
      <c r="Q9" s="204" t="s">
        <v>291</v>
      </c>
      <c r="R9" s="205"/>
      <c r="S9" s="193"/>
      <c r="T9" s="204" t="s">
        <v>292</v>
      </c>
      <c r="U9" s="206"/>
      <c r="V9" s="193"/>
      <c r="W9" s="193"/>
      <c r="X9" s="193"/>
      <c r="Y9" s="193"/>
      <c r="Z9" s="193"/>
    </row>
    <row r="10" spans="1:26" s="197" customFormat="1" ht="18.399999999999999" customHeight="1" thickBot="1">
      <c r="A10" s="705" t="s">
        <v>293</v>
      </c>
      <c r="B10" s="706"/>
      <c r="C10" s="707"/>
      <c r="D10" s="708" t="s">
        <v>200</v>
      </c>
      <c r="E10" s="709"/>
      <c r="F10" s="207" t="s">
        <v>294</v>
      </c>
      <c r="G10" s="208"/>
      <c r="H10" s="219">
        <v>3</v>
      </c>
      <c r="I10" s="220" t="s">
        <v>290</v>
      </c>
      <c r="J10" s="221">
        <v>1150</v>
      </c>
      <c r="K10" s="355">
        <v>1150</v>
      </c>
      <c r="L10" s="193"/>
      <c r="M10" s="193">
        <v>460</v>
      </c>
      <c r="N10" s="193">
        <v>460</v>
      </c>
      <c r="O10" s="193"/>
      <c r="P10" s="193"/>
      <c r="Q10" s="204" t="s">
        <v>295</v>
      </c>
      <c r="R10" s="205"/>
      <c r="S10" s="193"/>
      <c r="T10" s="222" t="s">
        <v>296</v>
      </c>
      <c r="U10" s="223"/>
      <c r="V10" s="193"/>
      <c r="W10" s="193"/>
      <c r="X10" s="193"/>
      <c r="Y10" s="193"/>
      <c r="Z10" s="193"/>
    </row>
    <row r="11" spans="1:26" s="197" customFormat="1" ht="18.399999999999999" customHeight="1" thickBot="1">
      <c r="A11" s="705" t="s">
        <v>297</v>
      </c>
      <c r="B11" s="706"/>
      <c r="C11" s="707"/>
      <c r="D11" s="710" t="s">
        <v>175</v>
      </c>
      <c r="E11" s="711"/>
      <c r="F11" s="224" t="s">
        <v>298</v>
      </c>
      <c r="G11" s="225"/>
      <c r="H11" s="226">
        <v>3</v>
      </c>
      <c r="I11" s="220" t="s">
        <v>290</v>
      </c>
      <c r="J11" s="227">
        <v>15500</v>
      </c>
      <c r="K11" s="356">
        <v>39513</v>
      </c>
      <c r="L11" s="193"/>
      <c r="M11" s="193">
        <v>15611</v>
      </c>
      <c r="N11" s="193">
        <v>39795.964064516127</v>
      </c>
      <c r="O11" s="193"/>
      <c r="P11" s="193"/>
      <c r="Q11" s="222" t="s">
        <v>299</v>
      </c>
      <c r="R11" s="229"/>
      <c r="S11" s="193"/>
      <c r="T11" s="193"/>
      <c r="U11" s="193"/>
      <c r="V11" s="193"/>
      <c r="W11" s="193"/>
      <c r="X11" s="193"/>
      <c r="Y11" s="193"/>
      <c r="Z11" s="193"/>
    </row>
    <row r="12" spans="1:26" s="197" customFormat="1" ht="18.399999999999999" customHeight="1">
      <c r="A12" s="230" t="s">
        <v>300</v>
      </c>
      <c r="C12" s="231"/>
      <c r="D12" s="712" t="s">
        <v>175</v>
      </c>
      <c r="E12" s="713"/>
      <c r="F12" s="696" t="s">
        <v>301</v>
      </c>
      <c r="G12" s="697"/>
      <c r="H12" s="697"/>
      <c r="I12" s="697"/>
      <c r="J12" s="697"/>
      <c r="K12" s="698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 spans="1:26" s="197" customFormat="1" ht="18.399999999999999" customHeight="1">
      <c r="A13" s="705" t="s">
        <v>53</v>
      </c>
      <c r="B13" s="706"/>
      <c r="C13" s="707"/>
      <c r="D13" s="714" t="s">
        <v>736</v>
      </c>
      <c r="E13" s="715"/>
      <c r="F13" s="232"/>
      <c r="G13" s="233" t="s">
        <v>302</v>
      </c>
      <c r="H13" s="234"/>
      <c r="I13" s="235" t="s">
        <v>303</v>
      </c>
      <c r="J13" s="236" t="s">
        <v>379</v>
      </c>
      <c r="K13" s="237" t="s">
        <v>175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s="197" customFormat="1" ht="18.399999999999999" customHeight="1">
      <c r="A14" s="705" t="s">
        <v>56</v>
      </c>
      <c r="B14" s="706"/>
      <c r="C14" s="707"/>
      <c r="D14" s="712">
        <v>1097</v>
      </c>
      <c r="E14" s="713"/>
      <c r="F14" s="232"/>
      <c r="G14" s="238" t="s">
        <v>10</v>
      </c>
      <c r="H14" s="239"/>
      <c r="I14" s="239"/>
      <c r="J14" s="221" t="s">
        <v>175</v>
      </c>
      <c r="K14" s="218" t="s">
        <v>175</v>
      </c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spans="1:26" s="197" customFormat="1" ht="18.399999999999999" customHeight="1">
      <c r="A15" s="716" t="s">
        <v>304</v>
      </c>
      <c r="B15" s="717"/>
      <c r="C15" s="718"/>
      <c r="D15" s="719">
        <v>12.536800384521484</v>
      </c>
      <c r="E15" s="720"/>
      <c r="F15" s="232"/>
      <c r="G15" s="238" t="s">
        <v>305</v>
      </c>
      <c r="H15" s="239"/>
      <c r="I15" s="239"/>
      <c r="J15" s="221" t="s">
        <v>175</v>
      </c>
      <c r="K15" s="218" t="s">
        <v>175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spans="1:26" s="197" customFormat="1" ht="18.399999999999999" customHeight="1">
      <c r="A16" s="742" t="s">
        <v>306</v>
      </c>
      <c r="B16" s="743"/>
      <c r="C16" s="744"/>
      <c r="D16" s="719">
        <v>3.236799955368042</v>
      </c>
      <c r="E16" s="720"/>
      <c r="F16" s="240"/>
      <c r="G16" s="241" t="s">
        <v>17</v>
      </c>
      <c r="H16" s="242"/>
      <c r="I16" s="242"/>
      <c r="J16" s="227" t="s">
        <v>175</v>
      </c>
      <c r="K16" s="228" t="s">
        <v>175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s="197" customFormat="1" ht="18.399999999999999" customHeight="1">
      <c r="A17" s="243" t="s">
        <v>307</v>
      </c>
      <c r="B17" s="244"/>
      <c r="C17" s="245"/>
      <c r="D17" s="710" t="s">
        <v>378</v>
      </c>
      <c r="E17" s="711"/>
      <c r="F17" s="696" t="s">
        <v>308</v>
      </c>
      <c r="G17" s="697"/>
      <c r="H17" s="697"/>
      <c r="I17" s="697"/>
      <c r="J17" s="697"/>
      <c r="K17" s="698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s="197" customFormat="1" ht="18.399999999999999" customHeight="1">
      <c r="A18" s="246" t="s">
        <v>309</v>
      </c>
      <c r="B18" s="247"/>
      <c r="C18" s="245"/>
      <c r="D18" s="708" t="s">
        <v>175</v>
      </c>
      <c r="E18" s="709"/>
      <c r="F18" s="745"/>
      <c r="G18" s="746"/>
      <c r="H18" s="248" t="s">
        <v>310</v>
      </c>
      <c r="I18" s="249"/>
      <c r="J18" s="217" t="s">
        <v>737</v>
      </c>
      <c r="K18" s="218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spans="1:26" s="197" customFormat="1" ht="18.399999999999999" customHeight="1">
      <c r="A19" s="755" t="s">
        <v>311</v>
      </c>
      <c r="B19" s="756"/>
      <c r="C19" s="757"/>
      <c r="D19" s="758" t="s">
        <v>175</v>
      </c>
      <c r="E19" s="711"/>
      <c r="F19" s="747"/>
      <c r="G19" s="748"/>
      <c r="H19" s="248" t="s">
        <v>5</v>
      </c>
      <c r="I19" s="210"/>
      <c r="J19" s="217">
        <v>3575</v>
      </c>
      <c r="K19" s="218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 s="197" customFormat="1" ht="18.399999999999999" customHeight="1" thickBot="1">
      <c r="A20" s="250" t="s">
        <v>312</v>
      </c>
      <c r="C20" s="251"/>
      <c r="D20" s="759" t="s">
        <v>199</v>
      </c>
      <c r="E20" s="704"/>
      <c r="F20" s="747"/>
      <c r="G20" s="748"/>
      <c r="H20" s="248" t="s">
        <v>313</v>
      </c>
      <c r="I20" s="210"/>
      <c r="J20" s="221" t="s">
        <v>381</v>
      </c>
      <c r="K20" s="218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s="197" customFormat="1" ht="18.399999999999999" customHeight="1" thickBot="1">
      <c r="A21" s="716" t="s">
        <v>314</v>
      </c>
      <c r="B21" s="717"/>
      <c r="C21" s="718"/>
      <c r="D21" s="703" t="s">
        <v>175</v>
      </c>
      <c r="E21" s="704"/>
      <c r="F21" s="747"/>
      <c r="G21" s="748"/>
      <c r="H21" s="252" t="s">
        <v>315</v>
      </c>
      <c r="I21" s="210"/>
      <c r="J21" s="221">
        <v>1.1499999999999999</v>
      </c>
      <c r="K21" s="218"/>
      <c r="L21" s="193"/>
      <c r="M21" s="193"/>
      <c r="N21" s="193"/>
      <c r="O21" s="193"/>
      <c r="P21" s="193"/>
      <c r="Q21" s="194" t="s">
        <v>316</v>
      </c>
      <c r="R21" s="196"/>
      <c r="S21" s="193"/>
      <c r="T21" s="193"/>
      <c r="U21" s="193"/>
      <c r="V21" s="193"/>
      <c r="W21" s="193"/>
      <c r="X21" s="193"/>
      <c r="Y21" s="193"/>
      <c r="Z21" s="193"/>
    </row>
    <row r="22" spans="1:26" s="197" customFormat="1" ht="18.399999999999999" customHeight="1">
      <c r="A22" s="246" t="s">
        <v>317</v>
      </c>
      <c r="B22" s="253"/>
      <c r="C22" s="253"/>
      <c r="D22" s="725">
        <v>0.23260000348091125</v>
      </c>
      <c r="E22" s="726"/>
      <c r="F22" s="747"/>
      <c r="G22" s="748"/>
      <c r="H22" s="248" t="s">
        <v>274</v>
      </c>
      <c r="I22" s="210"/>
      <c r="J22" s="221" t="s">
        <v>318</v>
      </c>
      <c r="K22" s="218"/>
      <c r="L22" s="193"/>
      <c r="M22" s="193"/>
      <c r="N22" s="193"/>
      <c r="O22" s="193"/>
      <c r="P22" s="193"/>
      <c r="Q22" s="204" t="s">
        <v>319</v>
      </c>
      <c r="R22" s="206"/>
      <c r="S22" s="193"/>
      <c r="T22" s="193"/>
      <c r="U22" s="193"/>
      <c r="V22" s="193"/>
      <c r="W22" s="193"/>
      <c r="X22" s="193"/>
      <c r="Y22" s="193"/>
      <c r="Z22" s="193"/>
    </row>
    <row r="23" spans="1:26" s="197" customFormat="1" ht="18.399999999999999" customHeight="1">
      <c r="A23" s="254" t="s">
        <v>320</v>
      </c>
      <c r="B23" s="255" t="s">
        <v>321</v>
      </c>
      <c r="C23" s="256"/>
      <c r="D23" s="714">
        <v>335.8</v>
      </c>
      <c r="E23" s="715"/>
      <c r="F23" s="747"/>
      <c r="G23" s="748"/>
      <c r="H23" s="257" t="s">
        <v>322</v>
      </c>
      <c r="I23" s="258"/>
      <c r="J23" s="259" t="s">
        <v>175</v>
      </c>
      <c r="K23" s="260"/>
      <c r="L23" s="193"/>
      <c r="Q23" s="204" t="s">
        <v>323</v>
      </c>
      <c r="R23" s="206"/>
      <c r="S23" s="193"/>
      <c r="T23" s="193"/>
      <c r="U23" s="193"/>
      <c r="V23" s="193"/>
      <c r="W23" s="193"/>
      <c r="X23" s="193"/>
      <c r="Y23" s="193"/>
      <c r="Z23" s="193"/>
    </row>
    <row r="24" spans="1:26" s="197" customFormat="1" ht="18.399999999999999" customHeight="1" thickBot="1">
      <c r="A24" s="261" t="s">
        <v>324</v>
      </c>
      <c r="B24" s="262" t="s">
        <v>325</v>
      </c>
      <c r="C24" s="263"/>
      <c r="D24" s="751" t="s">
        <v>175</v>
      </c>
      <c r="E24" s="752"/>
      <c r="F24" s="747"/>
      <c r="G24" s="748"/>
      <c r="H24" s="248" t="s">
        <v>326</v>
      </c>
      <c r="I24" s="231"/>
      <c r="J24" s="264" t="s">
        <v>175</v>
      </c>
      <c r="K24" s="265"/>
      <c r="Q24" s="266" t="s">
        <v>175</v>
      </c>
      <c r="R24" s="267"/>
      <c r="S24" s="193"/>
      <c r="T24" s="193"/>
      <c r="U24" s="193"/>
      <c r="V24" s="193"/>
      <c r="W24" s="193"/>
      <c r="X24" s="193"/>
      <c r="Y24" s="193"/>
      <c r="Z24" s="193"/>
    </row>
    <row r="25" spans="1:26" s="197" customFormat="1" ht="18.399999999999999" customHeight="1">
      <c r="A25" s="268" t="s">
        <v>327</v>
      </c>
      <c r="B25" s="269"/>
      <c r="C25" s="269"/>
      <c r="D25" s="270"/>
      <c r="E25" s="270" t="s">
        <v>328</v>
      </c>
      <c r="F25" s="747"/>
      <c r="G25" s="748"/>
      <c r="H25" s="248" t="s">
        <v>329</v>
      </c>
      <c r="I25" s="231"/>
      <c r="J25" s="271" t="s">
        <v>175</v>
      </c>
      <c r="K25" s="265"/>
      <c r="R25" s="193"/>
      <c r="S25" s="193"/>
      <c r="T25" s="193"/>
      <c r="U25" s="193"/>
      <c r="V25" s="193"/>
      <c r="W25" s="193"/>
      <c r="X25" s="193"/>
      <c r="Y25" s="193"/>
      <c r="Z25" s="193"/>
    </row>
    <row r="26" spans="1:26" s="197" customFormat="1" ht="18.399999999999999" customHeight="1">
      <c r="A26" s="272" t="s">
        <v>330</v>
      </c>
      <c r="B26" s="273"/>
      <c r="C26" s="274"/>
      <c r="D26" s="275" t="s">
        <v>380</v>
      </c>
      <c r="E26" s="275" t="s">
        <v>382</v>
      </c>
      <c r="F26" s="749"/>
      <c r="G26" s="750"/>
      <c r="H26" s="753"/>
      <c r="I26" s="754"/>
      <c r="J26" s="276"/>
      <c r="K26" s="277"/>
      <c r="R26" s="193"/>
      <c r="S26" s="193"/>
      <c r="T26" s="193"/>
      <c r="U26" s="193"/>
      <c r="V26" s="193"/>
      <c r="W26" s="193"/>
      <c r="X26" s="193"/>
      <c r="Y26" s="193"/>
      <c r="Z26" s="193"/>
    </row>
    <row r="27" spans="1:26" s="197" customFormat="1" ht="18.399999999999999" customHeight="1">
      <c r="A27" s="733" t="s">
        <v>331</v>
      </c>
      <c r="B27" s="734"/>
      <c r="C27" s="734"/>
      <c r="D27" s="734"/>
      <c r="E27" s="734"/>
      <c r="F27" s="739" t="s">
        <v>332</v>
      </c>
      <c r="G27" s="740"/>
      <c r="H27" s="740"/>
      <c r="I27" s="740"/>
      <c r="J27" s="740"/>
      <c r="K27" s="741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 s="197" customFormat="1" ht="18.399999999999999" customHeight="1">
      <c r="A28" s="727"/>
      <c r="B28" s="728"/>
      <c r="C28" s="728"/>
      <c r="D28" s="728"/>
      <c r="E28" s="729"/>
      <c r="F28" s="278"/>
      <c r="G28" s="279"/>
      <c r="H28" s="238" t="s">
        <v>333</v>
      </c>
      <c r="I28" s="280">
        <v>334</v>
      </c>
      <c r="J28" s="217" t="s">
        <v>738</v>
      </c>
      <c r="K28" s="212" t="s">
        <v>175</v>
      </c>
      <c r="M28" s="281" t="e">
        <f>J28/J18</f>
        <v>#VALUE!</v>
      </c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 s="197" customFormat="1" ht="18.399999999999999" customHeight="1">
      <c r="A29" s="727"/>
      <c r="B29" s="728"/>
      <c r="C29" s="728"/>
      <c r="D29" s="728"/>
      <c r="E29" s="729"/>
      <c r="F29" s="282"/>
      <c r="G29" s="283"/>
      <c r="H29" s="238" t="s">
        <v>334</v>
      </c>
      <c r="I29" s="284">
        <v>70</v>
      </c>
      <c r="J29" s="217">
        <v>185</v>
      </c>
      <c r="K29" s="212" t="s">
        <v>175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spans="1:26" s="197" customFormat="1" ht="18.399999999999999" customHeight="1">
      <c r="A30" s="727"/>
      <c r="B30" s="728"/>
      <c r="C30" s="728"/>
      <c r="D30" s="728"/>
      <c r="E30" s="729"/>
      <c r="F30" s="282"/>
      <c r="G30" s="283"/>
      <c r="H30" s="238" t="s">
        <v>335</v>
      </c>
      <c r="I30" s="284">
        <v>175</v>
      </c>
      <c r="J30" s="217">
        <v>237</v>
      </c>
      <c r="K30" s="212" t="s">
        <v>175</v>
      </c>
      <c r="L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spans="1:26" s="197" customFormat="1" ht="18.399999999999999" customHeight="1">
      <c r="A31" s="727"/>
      <c r="B31" s="728"/>
      <c r="C31" s="728"/>
      <c r="D31" s="728"/>
      <c r="E31" s="729"/>
      <c r="F31" s="282"/>
      <c r="G31" s="283"/>
      <c r="H31" s="238" t="s">
        <v>336</v>
      </c>
      <c r="I31" s="239"/>
      <c r="J31" s="285">
        <v>0.66</v>
      </c>
      <c r="K31" s="212" t="s">
        <v>175</v>
      </c>
      <c r="L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spans="1:26" s="197" customFormat="1" ht="18.399999999999999" customHeight="1">
      <c r="A32" s="730"/>
      <c r="B32" s="731"/>
      <c r="C32" s="731"/>
      <c r="D32" s="731"/>
      <c r="E32" s="732"/>
      <c r="F32" s="282"/>
      <c r="G32" s="286" t="s">
        <v>337</v>
      </c>
      <c r="H32" s="238" t="s">
        <v>338</v>
      </c>
      <c r="I32" s="287"/>
      <c r="J32" s="211">
        <v>94.3</v>
      </c>
      <c r="K32" s="212" t="s">
        <v>175</v>
      </c>
      <c r="L32" s="193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 s="197" customFormat="1" ht="18.399999999999999" customHeight="1">
      <c r="A33" s="733" t="s">
        <v>339</v>
      </c>
      <c r="B33" s="734"/>
      <c r="C33" s="734"/>
      <c r="D33" s="734"/>
      <c r="E33" s="735"/>
      <c r="F33" s="288"/>
      <c r="G33" s="289"/>
      <c r="H33" s="290" t="s">
        <v>340</v>
      </c>
      <c r="I33" s="291"/>
      <c r="J33" s="292">
        <v>87.7</v>
      </c>
      <c r="K33" s="293" t="s">
        <v>175</v>
      </c>
      <c r="L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 s="197" customFormat="1" ht="18.399999999999999" customHeight="1">
      <c r="A34" s="727"/>
      <c r="B34" s="728"/>
      <c r="C34" s="728"/>
      <c r="D34" s="728"/>
      <c r="E34" s="729"/>
      <c r="F34" s="213" t="s">
        <v>341</v>
      </c>
      <c r="G34" s="294"/>
      <c r="H34" s="295" t="s">
        <v>14</v>
      </c>
      <c r="I34" s="296"/>
      <c r="J34" s="297">
        <v>2615</v>
      </c>
      <c r="K34" s="298" t="s">
        <v>175</v>
      </c>
      <c r="L34" s="299"/>
      <c r="R34" s="193"/>
      <c r="S34" s="193"/>
      <c r="T34" s="193"/>
      <c r="U34" s="193"/>
      <c r="V34" s="193"/>
      <c r="W34" s="193"/>
      <c r="X34" s="193"/>
      <c r="Y34" s="193"/>
      <c r="Z34" s="193"/>
    </row>
    <row r="35" spans="1:26" s="197" customFormat="1" ht="18.399999999999999" customHeight="1">
      <c r="A35" s="727"/>
      <c r="B35" s="728"/>
      <c r="C35" s="728"/>
      <c r="D35" s="728"/>
      <c r="E35" s="729"/>
      <c r="F35" s="232"/>
      <c r="G35" s="300"/>
      <c r="H35" s="301" t="s">
        <v>15</v>
      </c>
      <c r="I35" s="302"/>
      <c r="J35" s="217">
        <v>2091</v>
      </c>
      <c r="K35" s="212" t="s">
        <v>175</v>
      </c>
      <c r="R35" s="193"/>
      <c r="S35" s="193"/>
      <c r="T35" s="193"/>
      <c r="U35" s="193"/>
      <c r="V35" s="193"/>
      <c r="W35" s="193"/>
      <c r="X35" s="193"/>
      <c r="Y35" s="193"/>
      <c r="Z35" s="193"/>
    </row>
    <row r="36" spans="1:26" s="197" customFormat="1" ht="18.399999999999999" customHeight="1">
      <c r="A36" s="727"/>
      <c r="B36" s="728"/>
      <c r="C36" s="728"/>
      <c r="D36" s="728"/>
      <c r="E36" s="729"/>
      <c r="F36" s="232"/>
      <c r="G36" s="300"/>
      <c r="H36" s="301" t="s">
        <v>342</v>
      </c>
      <c r="I36" s="302"/>
      <c r="J36" s="217">
        <v>2805</v>
      </c>
      <c r="K36" s="212" t="s">
        <v>175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spans="1:26" s="197" customFormat="1" ht="18.399999999999999" customHeight="1">
      <c r="A37" s="727"/>
      <c r="B37" s="728"/>
      <c r="C37" s="728"/>
      <c r="D37" s="728"/>
      <c r="E37" s="729"/>
      <c r="F37" s="282"/>
      <c r="G37" s="300"/>
      <c r="H37" s="301" t="s">
        <v>343</v>
      </c>
      <c r="I37" s="302"/>
      <c r="J37" s="217">
        <v>5885</v>
      </c>
      <c r="K37" s="212" t="s">
        <v>175</v>
      </c>
      <c r="R37" s="193"/>
      <c r="S37" s="193"/>
      <c r="T37" s="193"/>
      <c r="U37" s="193"/>
      <c r="V37" s="193"/>
      <c r="W37" s="193"/>
      <c r="X37" s="193"/>
      <c r="Y37" s="193"/>
      <c r="Z37" s="193"/>
    </row>
    <row r="38" spans="1:26" s="197" customFormat="1" ht="18.399999999999999" customHeight="1">
      <c r="A38" s="730"/>
      <c r="B38" s="731"/>
      <c r="C38" s="731"/>
      <c r="D38" s="731"/>
      <c r="E38" s="732"/>
      <c r="F38" s="240"/>
      <c r="G38" s="303"/>
      <c r="H38" s="304" t="s">
        <v>344</v>
      </c>
      <c r="I38" s="305"/>
      <c r="J38" s="306">
        <v>4545</v>
      </c>
      <c r="K38" s="307" t="s">
        <v>175</v>
      </c>
      <c r="R38" s="193"/>
      <c r="S38" s="193"/>
      <c r="T38" s="193"/>
      <c r="U38" s="193"/>
      <c r="V38" s="193"/>
      <c r="W38" s="193"/>
      <c r="X38" s="193"/>
      <c r="Y38" s="193"/>
      <c r="Z38" s="193"/>
    </row>
    <row r="39" spans="1:26" s="197" customFormat="1" ht="18.399999999999999" customHeight="1">
      <c r="A39" s="733" t="s">
        <v>345</v>
      </c>
      <c r="B39" s="734"/>
      <c r="C39" s="734"/>
      <c r="D39" s="734"/>
      <c r="E39" s="734"/>
      <c r="F39" s="308" t="s">
        <v>346</v>
      </c>
      <c r="G39" s="358" t="s">
        <v>384</v>
      </c>
      <c r="H39" s="358"/>
      <c r="I39" s="358"/>
      <c r="J39" s="358"/>
      <c r="K39" s="359"/>
      <c r="R39" s="193"/>
      <c r="S39" s="193"/>
      <c r="T39" s="193"/>
      <c r="U39" s="193"/>
      <c r="V39" s="193"/>
      <c r="W39" s="193"/>
      <c r="X39" s="193"/>
      <c r="Y39" s="193"/>
      <c r="Z39" s="193"/>
    </row>
    <row r="40" spans="1:26" s="197" customFormat="1" ht="18.399999999999999" customHeight="1">
      <c r="A40" s="727"/>
      <c r="B40" s="728"/>
      <c r="C40" s="728"/>
      <c r="D40" s="728"/>
      <c r="E40" s="729"/>
      <c r="F40" s="309"/>
      <c r="G40" s="360" t="s">
        <v>745</v>
      </c>
      <c r="H40" s="360"/>
      <c r="I40" s="360"/>
      <c r="J40" s="360"/>
      <c r="K40" s="361"/>
      <c r="R40" s="193"/>
      <c r="S40" s="193"/>
      <c r="T40" s="193"/>
      <c r="U40" s="193"/>
      <c r="V40" s="193"/>
      <c r="W40" s="193"/>
      <c r="X40" s="193"/>
      <c r="Y40" s="193"/>
      <c r="Z40" s="193"/>
    </row>
    <row r="41" spans="1:26" s="197" customFormat="1" ht="18.399999999999999" customHeight="1">
      <c r="A41" s="727"/>
      <c r="B41" s="728"/>
      <c r="C41" s="728"/>
      <c r="D41" s="728"/>
      <c r="E41" s="729"/>
      <c r="F41" s="309"/>
      <c r="G41" s="362" t="s">
        <v>746</v>
      </c>
      <c r="H41" s="362"/>
      <c r="I41" s="362"/>
      <c r="J41" s="362"/>
      <c r="K41" s="363"/>
      <c r="L41" s="310"/>
      <c r="R41" s="193"/>
      <c r="S41" s="193"/>
      <c r="T41" s="193"/>
      <c r="U41" s="193"/>
      <c r="V41" s="193"/>
      <c r="W41" s="193"/>
      <c r="X41" s="193"/>
      <c r="Y41" s="193"/>
      <c r="Z41" s="193"/>
    </row>
    <row r="42" spans="1:26" s="197" customFormat="1" ht="18.399999999999999" customHeight="1">
      <c r="A42" s="727"/>
      <c r="B42" s="728"/>
      <c r="C42" s="728"/>
      <c r="D42" s="728"/>
      <c r="E42" s="729"/>
      <c r="F42" s="309"/>
      <c r="G42" s="362"/>
      <c r="H42" s="362"/>
      <c r="I42" s="362"/>
      <c r="J42" s="362"/>
      <c r="K42" s="36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spans="1:26" s="197" customFormat="1" ht="18.399999999999999" customHeight="1">
      <c r="A43" s="727"/>
      <c r="B43" s="728"/>
      <c r="C43" s="728"/>
      <c r="D43" s="728"/>
      <c r="E43" s="729"/>
      <c r="F43" s="309"/>
      <c r="G43" s="362" t="s">
        <v>734</v>
      </c>
      <c r="H43" s="362"/>
      <c r="I43" s="362"/>
      <c r="J43" s="362"/>
      <c r="K43" s="36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 s="197" customFormat="1" ht="17.100000000000001" customHeight="1" thickBot="1">
      <c r="A44" s="736"/>
      <c r="B44" s="737"/>
      <c r="C44" s="737"/>
      <c r="D44" s="737"/>
      <c r="E44" s="738"/>
      <c r="F44" s="309"/>
      <c r="G44" s="362" t="s">
        <v>385</v>
      </c>
      <c r="H44" s="362"/>
      <c r="I44" s="362"/>
      <c r="J44" s="362"/>
      <c r="K44" s="36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spans="1:26" s="197" customFormat="1" ht="17.100000000000001" customHeight="1">
      <c r="A45" s="366" t="s">
        <v>347</v>
      </c>
      <c r="B45" s="723" t="s">
        <v>388</v>
      </c>
      <c r="C45" s="724"/>
      <c r="D45" s="367" t="s">
        <v>348</v>
      </c>
      <c r="E45" s="368" t="s">
        <v>389</v>
      </c>
      <c r="F45" s="311"/>
      <c r="G45" s="362" t="s">
        <v>386</v>
      </c>
      <c r="H45" s="362"/>
      <c r="I45" s="362"/>
      <c r="J45" s="362"/>
      <c r="K45" s="36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spans="1:26" s="197" customFormat="1" ht="17.100000000000001" customHeight="1" thickBot="1">
      <c r="A46" s="369" t="s">
        <v>349</v>
      </c>
      <c r="B46" s="721">
        <v>39258</v>
      </c>
      <c r="C46" s="722"/>
      <c r="D46" s="370" t="s">
        <v>349</v>
      </c>
      <c r="E46" s="371">
        <v>39195</v>
      </c>
      <c r="F46" s="312"/>
      <c r="G46" s="364" t="s">
        <v>387</v>
      </c>
      <c r="H46" s="364"/>
      <c r="I46" s="364"/>
      <c r="J46" s="364"/>
      <c r="K46" s="365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spans="1:26" s="197" customFormat="1" ht="17.100000000000001" customHeight="1">
      <c r="F47" s="31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</row>
    <row r="48" spans="1:26" s="197" customFormat="1" ht="17.100000000000001" customHeight="1">
      <c r="F48" s="193"/>
      <c r="G48" s="193"/>
      <c r="H48" s="193"/>
      <c r="I48" s="193"/>
      <c r="J48" s="193"/>
      <c r="K48" s="193"/>
    </row>
    <row r="49" spans="2:26" ht="17.100000000000001" customHeight="1">
      <c r="F49" s="183"/>
      <c r="G49" s="183"/>
      <c r="H49" s="183"/>
      <c r="I49" s="183"/>
      <c r="J49" s="183"/>
      <c r="K49" s="183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2:26">
      <c r="F50" s="183"/>
      <c r="G50" s="183"/>
      <c r="H50" s="183"/>
      <c r="I50" s="183"/>
      <c r="J50" s="183"/>
      <c r="K50" s="183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2:26">
      <c r="F51" s="183"/>
      <c r="G51" s="183"/>
      <c r="H51" s="183"/>
      <c r="I51" s="183"/>
      <c r="J51" s="183"/>
      <c r="K51" s="183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2:26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2:26">
      <c r="F53" s="183"/>
      <c r="G53" s="183"/>
      <c r="H53" s="183"/>
      <c r="I53" s="183"/>
      <c r="J53" s="183"/>
      <c r="K53" s="183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</sheetData>
  <mergeCells count="48">
    <mergeCell ref="F27:K27"/>
    <mergeCell ref="A16:C16"/>
    <mergeCell ref="F17:K17"/>
    <mergeCell ref="D18:E18"/>
    <mergeCell ref="F18:G26"/>
    <mergeCell ref="A21:C21"/>
    <mergeCell ref="D16:E16"/>
    <mergeCell ref="D17:E17"/>
    <mergeCell ref="D21:E21"/>
    <mergeCell ref="D24:E24"/>
    <mergeCell ref="H26:I26"/>
    <mergeCell ref="A19:C19"/>
    <mergeCell ref="D19:E19"/>
    <mergeCell ref="D20:E20"/>
    <mergeCell ref="B46:C46"/>
    <mergeCell ref="B45:C45"/>
    <mergeCell ref="D22:E22"/>
    <mergeCell ref="D23:E23"/>
    <mergeCell ref="A28:E32"/>
    <mergeCell ref="A33:E33"/>
    <mergeCell ref="A34:E38"/>
    <mergeCell ref="A39:E39"/>
    <mergeCell ref="A40:E44"/>
    <mergeCell ref="A27:E27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A5:C5"/>
    <mergeCell ref="A6:C6"/>
    <mergeCell ref="D6:E6"/>
    <mergeCell ref="J3:K3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N79"/>
  <sheetViews>
    <sheetView topLeftCell="A40" zoomScale="75" zoomScaleNormal="75" workbookViewId="0"/>
  </sheetViews>
  <sheetFormatPr defaultColWidth="9.140625" defaultRowHeight="12.75"/>
  <cols>
    <col min="1" max="1" width="9.140625" style="319" customWidth="1"/>
    <col min="2" max="2" width="18.140625" style="319" customWidth="1"/>
    <col min="3" max="3" width="21.5703125" style="319" customWidth="1"/>
    <col min="4" max="4" width="21.28515625" style="319" bestFit="1" customWidth="1"/>
    <col min="5" max="5" width="6.85546875" style="319" bestFit="1" customWidth="1"/>
    <col min="6" max="6" width="29.85546875" style="319" customWidth="1"/>
    <col min="7" max="7" width="43.7109375" style="319" customWidth="1"/>
    <col min="8" max="8" width="17.140625" style="319" customWidth="1"/>
    <col min="9" max="9" width="7.85546875" style="319" customWidth="1"/>
    <col min="10" max="10" width="2.28515625" style="319" bestFit="1" customWidth="1"/>
    <col min="11" max="12" width="2.28515625" style="319" customWidth="1"/>
    <col min="13" max="13" width="2.5703125" style="319" bestFit="1" customWidth="1"/>
    <col min="14" max="14" width="2.28515625" style="319" bestFit="1" customWidth="1"/>
    <col min="15" max="16384" width="9.140625" style="319"/>
  </cols>
  <sheetData>
    <row r="1" spans="2:14" ht="12.75" customHeight="1">
      <c r="B1" s="314"/>
      <c r="C1" s="315"/>
      <c r="D1" s="315"/>
      <c r="E1" s="315"/>
      <c r="F1" s="315"/>
      <c r="G1" s="315"/>
      <c r="H1" s="316"/>
      <c r="I1" s="317"/>
      <c r="J1" s="318" t="s">
        <v>350</v>
      </c>
      <c r="K1" s="318" t="s">
        <v>351</v>
      </c>
      <c r="L1" s="318" t="s">
        <v>352</v>
      </c>
      <c r="M1" s="318" t="s">
        <v>351</v>
      </c>
      <c r="N1" s="318"/>
    </row>
    <row r="2" spans="2:14" ht="12.75" customHeight="1">
      <c r="B2" s="768" t="s">
        <v>353</v>
      </c>
      <c r="C2" s="769"/>
      <c r="D2" s="769"/>
      <c r="E2" s="769"/>
      <c r="F2" s="769"/>
      <c r="G2" s="769"/>
      <c r="H2" s="320"/>
      <c r="I2" s="321"/>
      <c r="J2" s="322" t="s">
        <v>354</v>
      </c>
      <c r="K2" s="322" t="s">
        <v>355</v>
      </c>
      <c r="L2" s="322" t="s">
        <v>356</v>
      </c>
      <c r="M2" s="322" t="s">
        <v>357</v>
      </c>
      <c r="N2" s="322" t="s">
        <v>358</v>
      </c>
    </row>
    <row r="3" spans="2:14" ht="12.75" customHeight="1">
      <c r="B3" s="768"/>
      <c r="C3" s="769"/>
      <c r="D3" s="769"/>
      <c r="E3" s="769"/>
      <c r="F3" s="769"/>
      <c r="G3" s="769"/>
      <c r="H3" s="320"/>
      <c r="I3" s="321"/>
      <c r="J3" s="322" t="s">
        <v>359</v>
      </c>
      <c r="K3" s="322"/>
      <c r="L3" s="322" t="s">
        <v>360</v>
      </c>
      <c r="M3" s="322" t="s">
        <v>350</v>
      </c>
      <c r="N3" s="322"/>
    </row>
    <row r="4" spans="2:14" ht="12.75" customHeight="1">
      <c r="B4" s="768"/>
      <c r="C4" s="769"/>
      <c r="D4" s="769"/>
      <c r="E4" s="769"/>
      <c r="F4" s="769"/>
      <c r="G4" s="769"/>
      <c r="H4" s="320"/>
      <c r="I4" s="321"/>
      <c r="J4" s="322" t="s">
        <v>361</v>
      </c>
      <c r="K4" s="322"/>
      <c r="L4" s="322" t="s">
        <v>356</v>
      </c>
      <c r="M4" s="322" t="s">
        <v>354</v>
      </c>
      <c r="N4" s="322"/>
    </row>
    <row r="5" spans="2:14" ht="12.75" customHeight="1">
      <c r="B5" s="323"/>
      <c r="C5" s="324"/>
      <c r="D5" s="324"/>
      <c r="E5" s="324"/>
      <c r="F5" s="324"/>
      <c r="G5" s="324"/>
      <c r="H5" s="320"/>
      <c r="I5" s="321"/>
      <c r="J5" s="322"/>
      <c r="K5" s="322" t="s">
        <v>362</v>
      </c>
      <c r="L5" s="322" t="s">
        <v>351</v>
      </c>
      <c r="M5" s="322"/>
      <c r="N5" s="322" t="s">
        <v>356</v>
      </c>
    </row>
    <row r="6" spans="2:14" ht="12" customHeight="1">
      <c r="B6" s="325"/>
      <c r="C6" s="326"/>
      <c r="D6" s="326"/>
      <c r="F6" s="326"/>
      <c r="H6" s="327"/>
      <c r="I6" s="321"/>
      <c r="J6" s="322" t="s">
        <v>355</v>
      </c>
      <c r="K6" s="322" t="s">
        <v>363</v>
      </c>
      <c r="L6" s="322"/>
      <c r="M6" s="322" t="s">
        <v>351</v>
      </c>
      <c r="N6" s="322" t="s">
        <v>364</v>
      </c>
    </row>
    <row r="7" spans="2:14" ht="12.75" customHeight="1">
      <c r="B7" s="325"/>
      <c r="D7" s="328"/>
      <c r="H7" s="327"/>
      <c r="I7" s="321"/>
      <c r="J7" s="322" t="s">
        <v>184</v>
      </c>
      <c r="K7" s="322" t="s">
        <v>359</v>
      </c>
      <c r="L7" s="322" t="s">
        <v>359</v>
      </c>
      <c r="M7" s="322" t="s">
        <v>354</v>
      </c>
      <c r="N7" s="322" t="s">
        <v>365</v>
      </c>
    </row>
    <row r="8" spans="2:14" ht="12.75" customHeight="1">
      <c r="B8" s="325"/>
      <c r="G8" s="328"/>
      <c r="H8" s="329"/>
      <c r="I8" s="322" t="s">
        <v>365</v>
      </c>
      <c r="J8" s="322" t="s">
        <v>351</v>
      </c>
      <c r="K8" s="322" t="s">
        <v>366</v>
      </c>
      <c r="L8" s="322" t="s">
        <v>354</v>
      </c>
      <c r="M8" s="322" t="s">
        <v>365</v>
      </c>
      <c r="N8" s="322" t="s">
        <v>363</v>
      </c>
    </row>
    <row r="9" spans="2:14">
      <c r="B9" s="322" t="s">
        <v>367</v>
      </c>
      <c r="C9" s="329" t="s">
        <v>368</v>
      </c>
      <c r="D9" s="329" t="s">
        <v>369</v>
      </c>
      <c r="E9" s="329" t="s">
        <v>370</v>
      </c>
      <c r="F9" s="322" t="s">
        <v>371</v>
      </c>
      <c r="G9" s="322" t="s">
        <v>372</v>
      </c>
      <c r="H9" s="322" t="s">
        <v>373</v>
      </c>
      <c r="I9" s="322" t="s">
        <v>361</v>
      </c>
      <c r="J9" s="322" t="s">
        <v>184</v>
      </c>
      <c r="K9" s="322" t="s">
        <v>354</v>
      </c>
      <c r="L9" s="322" t="s">
        <v>366</v>
      </c>
      <c r="M9" s="322" t="s">
        <v>351</v>
      </c>
      <c r="N9" s="322" t="s">
        <v>352</v>
      </c>
    </row>
    <row r="10" spans="2:14" ht="15" customHeight="1">
      <c r="B10" s="330"/>
      <c r="C10" s="331"/>
      <c r="D10" s="331"/>
      <c r="E10" s="331"/>
      <c r="F10" s="332"/>
      <c r="G10" s="333"/>
      <c r="H10" s="333"/>
      <c r="I10" s="334"/>
      <c r="J10" s="335"/>
      <c r="K10" s="335"/>
      <c r="L10" s="335"/>
      <c r="M10" s="335"/>
      <c r="N10" s="336"/>
    </row>
    <row r="11" spans="2:14" ht="15" customHeight="1">
      <c r="B11" s="330"/>
      <c r="C11" s="332"/>
      <c r="D11" s="332"/>
      <c r="E11" s="332"/>
      <c r="F11" s="332"/>
      <c r="G11" s="332"/>
      <c r="H11" s="332"/>
      <c r="I11" s="337"/>
      <c r="J11" s="335"/>
      <c r="K11" s="335"/>
      <c r="L11" s="335"/>
      <c r="M11" s="335"/>
      <c r="N11" s="336"/>
    </row>
    <row r="12" spans="2:14" ht="15" customHeight="1">
      <c r="B12" s="330"/>
      <c r="C12" s="332"/>
      <c r="D12" s="332"/>
      <c r="E12" s="332"/>
      <c r="F12" s="332"/>
      <c r="G12" s="332"/>
      <c r="H12" s="332"/>
      <c r="I12" s="337"/>
      <c r="J12" s="338"/>
      <c r="K12" s="335"/>
      <c r="L12" s="335"/>
      <c r="M12" s="335"/>
      <c r="N12" s="336"/>
    </row>
    <row r="13" spans="2:14" ht="15" customHeight="1">
      <c r="B13" s="330"/>
      <c r="C13" s="332"/>
      <c r="D13" s="332"/>
      <c r="E13" s="332"/>
      <c r="F13" s="332"/>
      <c r="G13" s="332"/>
      <c r="H13" s="332"/>
      <c r="I13" s="337"/>
      <c r="J13" s="335"/>
      <c r="K13" s="335"/>
      <c r="L13" s="335"/>
      <c r="M13" s="335"/>
      <c r="N13" s="336"/>
    </row>
    <row r="14" spans="2:14" ht="15" customHeight="1">
      <c r="B14" s="330"/>
      <c r="C14" s="332"/>
      <c r="D14" s="332"/>
      <c r="E14" s="332"/>
      <c r="F14" s="332"/>
      <c r="G14" s="332"/>
      <c r="H14" s="332"/>
      <c r="I14" s="337"/>
      <c r="J14" s="335"/>
      <c r="K14" s="335"/>
      <c r="L14" s="335"/>
      <c r="M14" s="335"/>
      <c r="N14" s="336"/>
    </row>
    <row r="15" spans="2:14" ht="15" customHeight="1">
      <c r="B15" s="330"/>
      <c r="C15" s="332"/>
      <c r="D15" s="332"/>
      <c r="E15" s="332"/>
      <c r="F15" s="332"/>
      <c r="G15" s="332"/>
      <c r="H15" s="332"/>
      <c r="I15" s="337"/>
      <c r="J15" s="335"/>
      <c r="K15" s="335"/>
      <c r="L15" s="335"/>
      <c r="M15" s="335"/>
      <c r="N15" s="336"/>
    </row>
    <row r="16" spans="2:14" ht="15" customHeight="1">
      <c r="B16" s="330"/>
      <c r="C16" s="332"/>
      <c r="D16" s="332"/>
      <c r="E16" s="332"/>
      <c r="F16" s="332"/>
      <c r="G16" s="332"/>
      <c r="H16" s="332"/>
      <c r="I16" s="337"/>
      <c r="J16" s="335"/>
      <c r="K16" s="335"/>
      <c r="L16" s="335"/>
      <c r="M16" s="335"/>
      <c r="N16" s="336"/>
    </row>
    <row r="17" spans="2:14" ht="15" customHeight="1">
      <c r="B17" s="330"/>
      <c r="C17" s="332"/>
      <c r="D17" s="332"/>
      <c r="E17" s="332"/>
      <c r="F17" s="332"/>
      <c r="G17" s="332"/>
      <c r="H17" s="332"/>
      <c r="I17" s="337"/>
      <c r="J17" s="335"/>
      <c r="K17" s="335"/>
      <c r="L17" s="335"/>
      <c r="M17" s="335"/>
      <c r="N17" s="336"/>
    </row>
    <row r="18" spans="2:14" ht="15" customHeight="1">
      <c r="B18" s="330"/>
      <c r="C18" s="332"/>
      <c r="D18" s="332"/>
      <c r="E18" s="332"/>
      <c r="F18" s="332"/>
      <c r="G18" s="332"/>
      <c r="H18" s="332"/>
      <c r="I18" s="337"/>
      <c r="J18" s="335"/>
      <c r="K18" s="335"/>
      <c r="L18" s="335"/>
      <c r="M18" s="335"/>
      <c r="N18" s="336"/>
    </row>
    <row r="19" spans="2:14" ht="15" customHeight="1">
      <c r="B19" s="330"/>
      <c r="C19" s="332"/>
      <c r="D19" s="332"/>
      <c r="E19" s="332"/>
      <c r="F19" s="332"/>
      <c r="G19" s="332"/>
      <c r="H19" s="332"/>
      <c r="I19" s="337"/>
      <c r="J19" s="335"/>
      <c r="K19" s="335"/>
      <c r="L19" s="335"/>
      <c r="M19" s="335"/>
      <c r="N19" s="336"/>
    </row>
    <row r="20" spans="2:14" ht="15" customHeight="1">
      <c r="B20" s="330"/>
      <c r="C20" s="332"/>
      <c r="D20" s="332"/>
      <c r="E20" s="332"/>
      <c r="F20" s="332"/>
      <c r="G20" s="332"/>
      <c r="H20" s="332"/>
      <c r="I20" s="337"/>
      <c r="J20" s="335"/>
      <c r="K20" s="335"/>
      <c r="L20" s="335"/>
      <c r="M20" s="335"/>
      <c r="N20" s="336"/>
    </row>
    <row r="21" spans="2:14" ht="15" customHeight="1">
      <c r="B21" s="330"/>
      <c r="C21" s="332"/>
      <c r="D21" s="332"/>
      <c r="E21" s="332"/>
      <c r="F21" s="332"/>
      <c r="G21" s="332"/>
      <c r="H21" s="332"/>
      <c r="I21" s="337"/>
      <c r="J21" s="335"/>
      <c r="K21" s="335"/>
      <c r="L21" s="335"/>
      <c r="M21" s="335"/>
      <c r="N21" s="336"/>
    </row>
    <row r="22" spans="2:14" ht="15" customHeight="1">
      <c r="B22" s="330"/>
      <c r="C22" s="332"/>
      <c r="D22" s="332"/>
      <c r="E22" s="332"/>
      <c r="F22" s="332"/>
      <c r="G22" s="332"/>
      <c r="H22" s="332"/>
      <c r="I22" s="337"/>
      <c r="J22" s="335"/>
      <c r="K22" s="335"/>
      <c r="L22" s="335"/>
      <c r="M22" s="335"/>
      <c r="N22" s="336"/>
    </row>
    <row r="23" spans="2:14" ht="15" customHeight="1">
      <c r="B23" s="330"/>
      <c r="C23" s="332"/>
      <c r="D23" s="332"/>
      <c r="E23" s="332"/>
      <c r="F23" s="332"/>
      <c r="G23" s="332"/>
      <c r="H23" s="332"/>
      <c r="I23" s="337"/>
      <c r="J23" s="335"/>
      <c r="K23" s="335"/>
      <c r="L23" s="335"/>
      <c r="M23" s="335"/>
      <c r="N23" s="336"/>
    </row>
    <row r="24" spans="2:14" ht="15" customHeight="1">
      <c r="B24" s="330"/>
      <c r="C24" s="332"/>
      <c r="D24" s="332"/>
      <c r="E24" s="332"/>
      <c r="F24" s="332"/>
      <c r="G24" s="332"/>
      <c r="H24" s="332"/>
      <c r="I24" s="337"/>
      <c r="J24" s="335"/>
      <c r="K24" s="335"/>
      <c r="L24" s="335"/>
      <c r="M24" s="335"/>
      <c r="N24" s="336"/>
    </row>
    <row r="25" spans="2:14" ht="15" customHeight="1">
      <c r="B25" s="330"/>
      <c r="C25" s="332"/>
      <c r="D25" s="332"/>
      <c r="E25" s="332"/>
      <c r="F25" s="332"/>
      <c r="G25" s="332"/>
      <c r="H25" s="332"/>
      <c r="I25" s="337"/>
      <c r="J25" s="335"/>
      <c r="K25" s="335"/>
      <c r="L25" s="335"/>
      <c r="M25" s="335"/>
      <c r="N25" s="336"/>
    </row>
    <row r="26" spans="2:14" ht="15" customHeight="1">
      <c r="B26" s="330"/>
      <c r="C26" s="332"/>
      <c r="D26" s="332"/>
      <c r="E26" s="332"/>
      <c r="F26" s="332"/>
      <c r="G26" s="332"/>
      <c r="H26" s="332"/>
      <c r="I26" s="337"/>
      <c r="J26" s="335"/>
      <c r="K26" s="335"/>
      <c r="L26" s="335"/>
      <c r="M26" s="335"/>
      <c r="N26" s="336"/>
    </row>
    <row r="27" spans="2:14" ht="15" customHeight="1">
      <c r="B27" s="330"/>
      <c r="C27" s="332"/>
      <c r="D27" s="332"/>
      <c r="E27" s="332"/>
      <c r="F27" s="332"/>
      <c r="G27" s="332"/>
      <c r="H27" s="332"/>
      <c r="I27" s="337"/>
      <c r="J27" s="335"/>
      <c r="K27" s="335"/>
      <c r="L27" s="335"/>
      <c r="M27" s="335"/>
      <c r="N27" s="336"/>
    </row>
    <row r="28" spans="2:14" ht="15" customHeight="1">
      <c r="B28" s="330"/>
      <c r="C28" s="332"/>
      <c r="D28" s="332"/>
      <c r="E28" s="332"/>
      <c r="F28" s="332"/>
      <c r="G28" s="332"/>
      <c r="H28" s="332"/>
      <c r="I28" s="337"/>
      <c r="J28" s="335"/>
      <c r="K28" s="335"/>
      <c r="L28" s="335"/>
      <c r="M28" s="335"/>
      <c r="N28" s="336"/>
    </row>
    <row r="29" spans="2:14" ht="15" customHeight="1">
      <c r="B29" s="330"/>
      <c r="C29" s="332"/>
      <c r="D29" s="332"/>
      <c r="E29" s="332"/>
      <c r="F29" s="332"/>
      <c r="G29" s="332"/>
      <c r="H29" s="332"/>
      <c r="I29" s="337"/>
      <c r="J29" s="335"/>
      <c r="K29" s="335"/>
      <c r="L29" s="335"/>
      <c r="M29" s="335"/>
      <c r="N29" s="336"/>
    </row>
    <row r="30" spans="2:14" ht="15" customHeight="1">
      <c r="B30" s="330"/>
      <c r="C30" s="332"/>
      <c r="D30" s="332"/>
      <c r="E30" s="332"/>
      <c r="F30" s="332"/>
      <c r="G30" s="332"/>
      <c r="H30" s="332"/>
      <c r="I30" s="337"/>
      <c r="J30" s="335"/>
      <c r="K30" s="335"/>
      <c r="L30" s="335"/>
      <c r="M30" s="335"/>
      <c r="N30" s="336"/>
    </row>
    <row r="31" spans="2:14" ht="15" customHeight="1">
      <c r="B31" s="330"/>
      <c r="C31" s="332"/>
      <c r="D31" s="332"/>
      <c r="E31" s="332"/>
      <c r="F31" s="332"/>
      <c r="G31" s="332"/>
      <c r="H31" s="332"/>
      <c r="I31" s="337"/>
      <c r="J31" s="335"/>
      <c r="K31" s="335"/>
      <c r="L31" s="335"/>
      <c r="M31" s="335"/>
      <c r="N31" s="336"/>
    </row>
    <row r="32" spans="2:14" ht="15" customHeight="1">
      <c r="B32" s="330"/>
      <c r="C32" s="332"/>
      <c r="D32" s="332"/>
      <c r="E32" s="332"/>
      <c r="F32" s="332"/>
      <c r="G32" s="332"/>
      <c r="H32" s="332"/>
      <c r="I32" s="337"/>
      <c r="J32" s="335"/>
      <c r="K32" s="335"/>
      <c r="L32" s="335"/>
      <c r="M32" s="335"/>
      <c r="N32" s="336"/>
    </row>
    <row r="33" spans="2:14" ht="15" customHeight="1">
      <c r="B33" s="330"/>
      <c r="C33" s="332"/>
      <c r="D33" s="332"/>
      <c r="E33" s="332"/>
      <c r="F33" s="332"/>
      <c r="G33" s="332"/>
      <c r="H33" s="332"/>
      <c r="I33" s="337"/>
      <c r="J33" s="335"/>
      <c r="K33" s="335"/>
      <c r="L33" s="335"/>
      <c r="M33" s="335"/>
      <c r="N33" s="336"/>
    </row>
    <row r="34" spans="2:14" ht="15" customHeight="1">
      <c r="B34" s="330"/>
      <c r="C34" s="332"/>
      <c r="D34" s="332"/>
      <c r="E34" s="332"/>
      <c r="F34" s="332"/>
      <c r="G34" s="332"/>
      <c r="H34" s="332"/>
      <c r="I34" s="337"/>
      <c r="J34" s="335"/>
      <c r="K34" s="335"/>
      <c r="L34" s="335"/>
      <c r="M34" s="335"/>
      <c r="N34" s="336"/>
    </row>
    <row r="35" spans="2:14" ht="15" customHeight="1">
      <c r="B35" s="330"/>
      <c r="C35" s="332"/>
      <c r="D35" s="332"/>
      <c r="E35" s="332"/>
      <c r="F35" s="332"/>
      <c r="G35" s="332"/>
      <c r="H35" s="332"/>
      <c r="I35" s="337"/>
      <c r="J35" s="335"/>
      <c r="K35" s="335"/>
      <c r="L35" s="335"/>
      <c r="M35" s="335"/>
      <c r="N35" s="336"/>
    </row>
    <row r="36" spans="2:14" ht="15" customHeight="1">
      <c r="B36" s="330"/>
      <c r="C36" s="332"/>
      <c r="D36" s="332"/>
      <c r="E36" s="332"/>
      <c r="F36" s="332"/>
      <c r="G36" s="332"/>
      <c r="H36" s="332"/>
      <c r="I36" s="337"/>
      <c r="J36" s="335"/>
      <c r="K36" s="335"/>
      <c r="L36" s="335"/>
      <c r="M36" s="335"/>
      <c r="N36" s="336"/>
    </row>
    <row r="37" spans="2:14" ht="15" customHeight="1">
      <c r="B37" s="330"/>
      <c r="C37" s="332"/>
      <c r="D37" s="332"/>
      <c r="E37" s="332"/>
      <c r="F37" s="332"/>
      <c r="G37" s="332"/>
      <c r="H37" s="332"/>
      <c r="I37" s="337"/>
      <c r="J37" s="335"/>
      <c r="K37" s="335"/>
      <c r="L37" s="335"/>
      <c r="M37" s="335"/>
      <c r="N37" s="336"/>
    </row>
    <row r="38" spans="2:14" ht="15" customHeight="1">
      <c r="B38" s="330"/>
      <c r="C38" s="332"/>
      <c r="D38" s="332"/>
      <c r="E38" s="332"/>
      <c r="F38" s="332"/>
      <c r="G38" s="332"/>
      <c r="H38" s="332"/>
      <c r="I38" s="337"/>
      <c r="J38" s="335"/>
      <c r="K38" s="335"/>
      <c r="L38" s="335"/>
      <c r="M38" s="335"/>
      <c r="N38" s="336"/>
    </row>
    <row r="39" spans="2:14" ht="15" customHeight="1">
      <c r="B39" s="330"/>
      <c r="C39" s="332"/>
      <c r="D39" s="332"/>
      <c r="E39" s="332"/>
      <c r="F39" s="332"/>
      <c r="G39" s="332"/>
      <c r="H39" s="332"/>
      <c r="I39" s="337"/>
      <c r="J39" s="335"/>
      <c r="K39" s="335"/>
      <c r="L39" s="335"/>
      <c r="M39" s="335"/>
      <c r="N39" s="336"/>
    </row>
    <row r="40" spans="2:14" ht="15" customHeight="1">
      <c r="B40" s="330"/>
      <c r="C40" s="332"/>
      <c r="D40" s="332"/>
      <c r="E40" s="332"/>
      <c r="F40" s="332"/>
      <c r="G40" s="332"/>
      <c r="H40" s="332"/>
      <c r="I40" s="337"/>
      <c r="J40" s="335"/>
      <c r="K40" s="335"/>
      <c r="L40" s="335"/>
      <c r="M40" s="335"/>
      <c r="N40" s="336"/>
    </row>
    <row r="41" spans="2:14" ht="15" customHeight="1">
      <c r="B41" s="330"/>
      <c r="C41" s="332"/>
      <c r="D41" s="332"/>
      <c r="E41" s="332"/>
      <c r="F41" s="332"/>
      <c r="G41" s="332"/>
      <c r="H41" s="332"/>
      <c r="I41" s="337"/>
      <c r="J41" s="335"/>
      <c r="K41" s="335"/>
      <c r="L41" s="335"/>
      <c r="M41" s="335"/>
      <c r="N41" s="336"/>
    </row>
    <row r="42" spans="2:14" ht="15" customHeight="1">
      <c r="B42" s="330"/>
      <c r="C42" s="332"/>
      <c r="D42" s="332"/>
      <c r="E42" s="332"/>
      <c r="F42" s="332"/>
      <c r="G42" s="332"/>
      <c r="H42" s="332"/>
      <c r="I42" s="337"/>
      <c r="J42" s="335"/>
      <c r="K42" s="335"/>
      <c r="L42" s="335"/>
      <c r="M42" s="335"/>
      <c r="N42" s="336"/>
    </row>
    <row r="43" spans="2:14" ht="15" customHeight="1">
      <c r="B43" s="330"/>
      <c r="C43" s="332"/>
      <c r="D43" s="332"/>
      <c r="E43" s="332"/>
      <c r="F43" s="332"/>
      <c r="G43" s="332"/>
      <c r="H43" s="332"/>
      <c r="I43" s="337"/>
      <c r="J43" s="335"/>
      <c r="K43" s="335"/>
      <c r="L43" s="335"/>
      <c r="M43" s="335"/>
      <c r="N43" s="336"/>
    </row>
    <row r="44" spans="2:14" ht="15" customHeight="1">
      <c r="B44" s="330"/>
      <c r="C44" s="332"/>
      <c r="D44" s="332"/>
      <c r="E44" s="332"/>
      <c r="F44" s="332"/>
      <c r="G44" s="332"/>
      <c r="H44" s="332"/>
      <c r="I44" s="337"/>
      <c r="J44" s="335"/>
      <c r="K44" s="335"/>
      <c r="L44" s="335"/>
      <c r="M44" s="335"/>
      <c r="N44" s="336"/>
    </row>
    <row r="45" spans="2:14" ht="15" customHeight="1">
      <c r="B45" s="330"/>
      <c r="C45" s="332"/>
      <c r="D45" s="332"/>
      <c r="E45" s="332"/>
      <c r="F45" s="332"/>
      <c r="G45" s="332"/>
      <c r="H45" s="332"/>
      <c r="I45" s="337"/>
      <c r="J45" s="335"/>
      <c r="K45" s="335"/>
      <c r="L45" s="335"/>
      <c r="M45" s="335"/>
      <c r="N45" s="336"/>
    </row>
    <row r="46" spans="2:14" ht="15" customHeight="1">
      <c r="B46" s="330"/>
      <c r="C46" s="332"/>
      <c r="D46" s="332"/>
      <c r="E46" s="332"/>
      <c r="F46" s="332"/>
      <c r="G46" s="332"/>
      <c r="H46" s="332"/>
      <c r="I46" s="337"/>
      <c r="J46" s="335"/>
      <c r="K46" s="335"/>
      <c r="L46" s="335"/>
      <c r="M46" s="335"/>
      <c r="N46" s="336"/>
    </row>
    <row r="47" spans="2:14" ht="15" customHeight="1">
      <c r="B47" s="330"/>
      <c r="C47" s="332"/>
      <c r="D47" s="332"/>
      <c r="E47" s="332"/>
      <c r="F47" s="332"/>
      <c r="G47" s="332"/>
      <c r="H47" s="332"/>
      <c r="I47" s="337"/>
      <c r="J47" s="335"/>
      <c r="K47" s="335"/>
      <c r="L47" s="335"/>
      <c r="M47" s="335"/>
      <c r="N47" s="336"/>
    </row>
    <row r="48" spans="2:14" ht="15" customHeight="1">
      <c r="B48" s="330"/>
      <c r="C48" s="332"/>
      <c r="D48" s="332"/>
      <c r="E48" s="332"/>
      <c r="F48" s="332"/>
      <c r="G48" s="332"/>
      <c r="H48" s="332"/>
      <c r="I48" s="337"/>
      <c r="J48" s="335"/>
      <c r="K48" s="335"/>
      <c r="L48" s="335"/>
      <c r="M48" s="335"/>
      <c r="N48" s="336"/>
    </row>
    <row r="49" spans="2:14" ht="15" customHeight="1">
      <c r="B49" s="330"/>
      <c r="C49" s="332"/>
      <c r="D49" s="332"/>
      <c r="E49" s="332"/>
      <c r="F49" s="332"/>
      <c r="G49" s="332"/>
      <c r="H49" s="332"/>
      <c r="I49" s="337"/>
      <c r="J49" s="335"/>
      <c r="K49" s="335"/>
      <c r="L49" s="335"/>
      <c r="M49" s="335"/>
      <c r="N49" s="336"/>
    </row>
    <row r="50" spans="2:14" ht="15" customHeight="1">
      <c r="B50" s="330"/>
      <c r="C50" s="332"/>
      <c r="D50" s="332"/>
      <c r="E50" s="332"/>
      <c r="F50" s="332"/>
      <c r="G50" s="332"/>
      <c r="H50" s="332"/>
      <c r="I50" s="337"/>
      <c r="J50" s="335"/>
      <c r="K50" s="335"/>
      <c r="L50" s="335"/>
      <c r="M50" s="335"/>
      <c r="N50" s="336"/>
    </row>
    <row r="51" spans="2:14" ht="15" customHeight="1">
      <c r="B51" s="330"/>
      <c r="C51" s="332"/>
      <c r="D51" s="332"/>
      <c r="E51" s="332"/>
      <c r="F51" s="332"/>
      <c r="G51" s="332"/>
      <c r="H51" s="332"/>
      <c r="I51" s="337"/>
      <c r="J51" s="335"/>
      <c r="K51" s="335"/>
      <c r="L51" s="335"/>
      <c r="M51" s="335"/>
      <c r="N51" s="336"/>
    </row>
    <row r="52" spans="2:14" ht="15" customHeight="1" thickBot="1">
      <c r="B52" s="339"/>
      <c r="C52" s="340"/>
      <c r="D52" s="340"/>
      <c r="E52" s="340"/>
      <c r="F52" s="340"/>
      <c r="G52" s="340"/>
      <c r="H52" s="340"/>
      <c r="I52" s="341"/>
      <c r="J52" s="342"/>
      <c r="K52" s="342"/>
      <c r="L52" s="342"/>
      <c r="M52" s="342"/>
      <c r="N52" s="343"/>
    </row>
    <row r="53" spans="2:14" ht="20.25" customHeight="1" thickBot="1">
      <c r="B53" s="770" t="s">
        <v>374</v>
      </c>
      <c r="C53" s="770"/>
      <c r="D53" s="770"/>
      <c r="E53" s="770"/>
      <c r="F53" s="770"/>
      <c r="G53" s="770"/>
      <c r="H53" s="770"/>
      <c r="I53" s="770"/>
      <c r="J53" s="770"/>
      <c r="K53" s="770"/>
      <c r="L53" s="770"/>
      <c r="M53" s="770"/>
      <c r="N53" s="770"/>
    </row>
    <row r="54" spans="2:14" ht="15" customHeight="1" thickBot="1">
      <c r="B54" s="344" t="s">
        <v>375</v>
      </c>
      <c r="C54" s="771" t="s">
        <v>372</v>
      </c>
      <c r="D54" s="772"/>
      <c r="E54" s="772"/>
      <c r="F54" s="772"/>
      <c r="G54" s="772"/>
      <c r="H54" s="345"/>
      <c r="I54" s="771" t="s">
        <v>367</v>
      </c>
      <c r="J54" s="772"/>
      <c r="K54" s="773"/>
      <c r="L54" s="771" t="s">
        <v>376</v>
      </c>
      <c r="M54" s="772"/>
      <c r="N54" s="774"/>
    </row>
    <row r="55" spans="2:14" ht="15" customHeight="1">
      <c r="B55" s="346"/>
      <c r="C55" s="760"/>
      <c r="D55" s="761"/>
      <c r="E55" s="761"/>
      <c r="F55" s="761"/>
      <c r="G55" s="761"/>
      <c r="H55" s="347"/>
      <c r="I55" s="762"/>
      <c r="J55" s="763"/>
      <c r="K55" s="764"/>
      <c r="L55" s="765"/>
      <c r="M55" s="766"/>
      <c r="N55" s="767"/>
    </row>
    <row r="56" spans="2:14" ht="15" customHeight="1">
      <c r="B56" s="348"/>
      <c r="C56" s="775"/>
      <c r="D56" s="776"/>
      <c r="E56" s="776"/>
      <c r="F56" s="776"/>
      <c r="G56" s="776"/>
      <c r="H56" s="349"/>
      <c r="I56" s="777"/>
      <c r="J56" s="778"/>
      <c r="K56" s="779"/>
      <c r="L56" s="780"/>
      <c r="M56" s="781"/>
      <c r="N56" s="782"/>
    </row>
    <row r="57" spans="2:14" ht="15" customHeight="1">
      <c r="B57" s="348"/>
      <c r="C57" s="775"/>
      <c r="D57" s="776"/>
      <c r="E57" s="776"/>
      <c r="F57" s="776"/>
      <c r="G57" s="776"/>
      <c r="H57" s="349"/>
      <c r="I57" s="777"/>
      <c r="J57" s="778"/>
      <c r="K57" s="779"/>
      <c r="L57" s="780"/>
      <c r="M57" s="781"/>
      <c r="N57" s="782"/>
    </row>
    <row r="58" spans="2:14" ht="15" customHeight="1">
      <c r="B58" s="348"/>
      <c r="C58" s="775"/>
      <c r="D58" s="776"/>
      <c r="E58" s="776"/>
      <c r="F58" s="776"/>
      <c r="G58" s="776"/>
      <c r="H58" s="349"/>
      <c r="I58" s="777"/>
      <c r="J58" s="778"/>
      <c r="K58" s="779"/>
      <c r="L58" s="780"/>
      <c r="M58" s="781"/>
      <c r="N58" s="782"/>
    </row>
    <row r="59" spans="2:14" ht="15" customHeight="1">
      <c r="B59" s="348"/>
      <c r="C59" s="775"/>
      <c r="D59" s="776"/>
      <c r="E59" s="776"/>
      <c r="F59" s="776"/>
      <c r="G59" s="776"/>
      <c r="H59" s="349"/>
      <c r="I59" s="777"/>
      <c r="J59" s="778"/>
      <c r="K59" s="779"/>
      <c r="L59" s="780"/>
      <c r="M59" s="781"/>
      <c r="N59" s="782"/>
    </row>
    <row r="60" spans="2:14" ht="15" customHeight="1">
      <c r="B60" s="348"/>
      <c r="C60" s="775"/>
      <c r="D60" s="776"/>
      <c r="E60" s="776"/>
      <c r="F60" s="776"/>
      <c r="G60" s="776"/>
      <c r="H60" s="349"/>
      <c r="I60" s="777"/>
      <c r="J60" s="778"/>
      <c r="K60" s="779"/>
      <c r="L60" s="780"/>
      <c r="M60" s="781"/>
      <c r="N60" s="782"/>
    </row>
    <row r="61" spans="2:14" ht="15" customHeight="1">
      <c r="B61" s="348"/>
      <c r="C61" s="775"/>
      <c r="D61" s="776"/>
      <c r="E61" s="776"/>
      <c r="F61" s="776"/>
      <c r="G61" s="776"/>
      <c r="H61" s="349"/>
      <c r="I61" s="777"/>
      <c r="J61" s="778"/>
      <c r="K61" s="779"/>
      <c r="L61" s="780"/>
      <c r="M61" s="781"/>
      <c r="N61" s="782"/>
    </row>
    <row r="62" spans="2:14" ht="15" customHeight="1">
      <c r="B62" s="348"/>
      <c r="C62" s="775"/>
      <c r="D62" s="776"/>
      <c r="E62" s="776"/>
      <c r="F62" s="776"/>
      <c r="G62" s="776"/>
      <c r="H62" s="349"/>
      <c r="I62" s="777"/>
      <c r="J62" s="778"/>
      <c r="K62" s="779"/>
      <c r="L62" s="780"/>
      <c r="M62" s="781"/>
      <c r="N62" s="782"/>
    </row>
    <row r="63" spans="2:14" ht="15" customHeight="1">
      <c r="B63" s="348"/>
      <c r="C63" s="775"/>
      <c r="D63" s="776"/>
      <c r="E63" s="776"/>
      <c r="F63" s="776"/>
      <c r="G63" s="776"/>
      <c r="H63" s="349"/>
      <c r="I63" s="777"/>
      <c r="J63" s="778"/>
      <c r="K63" s="779"/>
      <c r="L63" s="780"/>
      <c r="M63" s="781"/>
      <c r="N63" s="782"/>
    </row>
    <row r="64" spans="2:14" ht="15" customHeight="1">
      <c r="B64" s="348"/>
      <c r="C64" s="775"/>
      <c r="D64" s="776"/>
      <c r="E64" s="776"/>
      <c r="F64" s="776"/>
      <c r="G64" s="776"/>
      <c r="H64" s="349"/>
      <c r="I64" s="777"/>
      <c r="J64" s="778"/>
      <c r="K64" s="779"/>
      <c r="L64" s="780"/>
      <c r="M64" s="781"/>
      <c r="N64" s="782"/>
    </row>
    <row r="65" spans="2:14" ht="15" customHeight="1">
      <c r="B65" s="348"/>
      <c r="C65" s="775"/>
      <c r="D65" s="776"/>
      <c r="E65" s="776"/>
      <c r="F65" s="776"/>
      <c r="G65" s="776"/>
      <c r="H65" s="349"/>
      <c r="I65" s="777"/>
      <c r="J65" s="778"/>
      <c r="K65" s="779"/>
      <c r="L65" s="780"/>
      <c r="M65" s="781"/>
      <c r="N65" s="782"/>
    </row>
    <row r="66" spans="2:14" ht="15" customHeight="1">
      <c r="B66" s="348"/>
      <c r="C66" s="775"/>
      <c r="D66" s="776"/>
      <c r="E66" s="776"/>
      <c r="F66" s="776"/>
      <c r="G66" s="776"/>
      <c r="H66" s="349"/>
      <c r="I66" s="777"/>
      <c r="J66" s="778"/>
      <c r="K66" s="779"/>
      <c r="L66" s="780"/>
      <c r="M66" s="781"/>
      <c r="N66" s="782"/>
    </row>
    <row r="67" spans="2:14" ht="15" customHeight="1">
      <c r="B67" s="348"/>
      <c r="C67" s="775"/>
      <c r="D67" s="776"/>
      <c r="E67" s="776"/>
      <c r="F67" s="776"/>
      <c r="G67" s="776"/>
      <c r="H67" s="349"/>
      <c r="I67" s="777"/>
      <c r="J67" s="778"/>
      <c r="K67" s="779"/>
      <c r="L67" s="780"/>
      <c r="M67" s="781"/>
      <c r="N67" s="782"/>
    </row>
    <row r="68" spans="2:14" ht="15" customHeight="1">
      <c r="B68" s="348"/>
      <c r="C68" s="775"/>
      <c r="D68" s="776"/>
      <c r="E68" s="776"/>
      <c r="F68" s="776"/>
      <c r="G68" s="776"/>
      <c r="H68" s="349"/>
      <c r="I68" s="777"/>
      <c r="J68" s="778"/>
      <c r="K68" s="779"/>
      <c r="L68" s="780"/>
      <c r="M68" s="781"/>
      <c r="N68" s="782"/>
    </row>
    <row r="69" spans="2:14" ht="15" customHeight="1">
      <c r="B69" s="348"/>
      <c r="C69" s="775"/>
      <c r="D69" s="776"/>
      <c r="E69" s="776"/>
      <c r="F69" s="776"/>
      <c r="G69" s="776"/>
      <c r="H69" s="349"/>
      <c r="I69" s="777"/>
      <c r="J69" s="778"/>
      <c r="K69" s="779"/>
      <c r="L69" s="780"/>
      <c r="M69" s="781"/>
      <c r="N69" s="782"/>
    </row>
    <row r="70" spans="2:14" ht="15" customHeight="1">
      <c r="B70" s="348"/>
      <c r="C70" s="775"/>
      <c r="D70" s="776"/>
      <c r="E70" s="776"/>
      <c r="F70" s="776"/>
      <c r="G70" s="776"/>
      <c r="H70" s="349"/>
      <c r="I70" s="777"/>
      <c r="J70" s="778"/>
      <c r="K70" s="779"/>
      <c r="L70" s="780"/>
      <c r="M70" s="781"/>
      <c r="N70" s="782"/>
    </row>
    <row r="71" spans="2:14" ht="15" customHeight="1">
      <c r="B71" s="348"/>
      <c r="C71" s="775"/>
      <c r="D71" s="776"/>
      <c r="E71" s="776"/>
      <c r="F71" s="776"/>
      <c r="G71" s="776"/>
      <c r="H71" s="349"/>
      <c r="I71" s="777"/>
      <c r="J71" s="778"/>
      <c r="K71" s="779"/>
      <c r="L71" s="780"/>
      <c r="M71" s="781"/>
      <c r="N71" s="782"/>
    </row>
    <row r="72" spans="2:14">
      <c r="B72" s="348"/>
      <c r="C72" s="775"/>
      <c r="D72" s="776"/>
      <c r="E72" s="776"/>
      <c r="F72" s="776"/>
      <c r="G72" s="776"/>
      <c r="H72" s="349"/>
      <c r="I72" s="777"/>
      <c r="J72" s="778"/>
      <c r="K72" s="779"/>
      <c r="L72" s="780"/>
      <c r="M72" s="781"/>
      <c r="N72" s="782"/>
    </row>
    <row r="73" spans="2:14">
      <c r="B73" s="348"/>
      <c r="C73" s="775"/>
      <c r="D73" s="776"/>
      <c r="E73" s="776"/>
      <c r="F73" s="776"/>
      <c r="G73" s="776"/>
      <c r="H73" s="349"/>
      <c r="I73" s="777"/>
      <c r="J73" s="778"/>
      <c r="K73" s="779"/>
      <c r="L73" s="780"/>
      <c r="M73" s="781"/>
      <c r="N73" s="782"/>
    </row>
    <row r="74" spans="2:14">
      <c r="B74" s="348"/>
      <c r="C74" s="775"/>
      <c r="D74" s="776"/>
      <c r="E74" s="776"/>
      <c r="F74" s="776"/>
      <c r="G74" s="776"/>
      <c r="H74" s="349"/>
      <c r="I74" s="777"/>
      <c r="J74" s="778"/>
      <c r="K74" s="779"/>
      <c r="L74" s="780"/>
      <c r="M74" s="781"/>
      <c r="N74" s="782"/>
    </row>
    <row r="75" spans="2:14">
      <c r="B75" s="348"/>
      <c r="C75" s="775"/>
      <c r="D75" s="776"/>
      <c r="E75" s="776"/>
      <c r="F75" s="776"/>
      <c r="G75" s="776"/>
      <c r="H75" s="349"/>
      <c r="I75" s="777"/>
      <c r="J75" s="778"/>
      <c r="K75" s="779"/>
      <c r="L75" s="780"/>
      <c r="M75" s="781"/>
      <c r="N75" s="782"/>
    </row>
    <row r="76" spans="2:14">
      <c r="B76" s="348"/>
      <c r="C76" s="775"/>
      <c r="D76" s="776"/>
      <c r="E76" s="776"/>
      <c r="F76" s="776"/>
      <c r="G76" s="776"/>
      <c r="H76" s="349"/>
      <c r="I76" s="777"/>
      <c r="J76" s="778"/>
      <c r="K76" s="779"/>
      <c r="L76" s="780"/>
      <c r="M76" s="781"/>
      <c r="N76" s="782"/>
    </row>
    <row r="77" spans="2:14">
      <c r="B77" s="348"/>
      <c r="C77" s="775"/>
      <c r="D77" s="776"/>
      <c r="E77" s="776"/>
      <c r="F77" s="776"/>
      <c r="G77" s="776"/>
      <c r="H77" s="349"/>
      <c r="I77" s="777"/>
      <c r="J77" s="778"/>
      <c r="K77" s="779"/>
      <c r="L77" s="780"/>
      <c r="M77" s="781"/>
      <c r="N77" s="782"/>
    </row>
    <row r="78" spans="2:14">
      <c r="B78" s="348"/>
      <c r="C78" s="775"/>
      <c r="D78" s="776"/>
      <c r="E78" s="776"/>
      <c r="F78" s="776"/>
      <c r="G78" s="776"/>
      <c r="H78" s="349"/>
      <c r="I78" s="777"/>
      <c r="J78" s="778"/>
      <c r="K78" s="779"/>
      <c r="L78" s="780"/>
      <c r="M78" s="781"/>
      <c r="N78" s="782"/>
    </row>
    <row r="79" spans="2:14" ht="13.5" thickBot="1">
      <c r="B79" s="350"/>
      <c r="C79" s="783"/>
      <c r="D79" s="784"/>
      <c r="E79" s="784"/>
      <c r="F79" s="784"/>
      <c r="G79" s="784"/>
      <c r="H79" s="351"/>
      <c r="I79" s="785"/>
      <c r="J79" s="786"/>
      <c r="K79" s="787"/>
      <c r="L79" s="788"/>
      <c r="M79" s="789"/>
      <c r="N79" s="790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L61"/>
  <sheetViews>
    <sheetView workbookViewId="0"/>
  </sheetViews>
  <sheetFormatPr defaultColWidth="9.140625" defaultRowHeight="12.75"/>
  <cols>
    <col min="1" max="1" width="19.7109375" style="382" customWidth="1"/>
    <col min="2" max="7" width="10.7109375" style="382" customWidth="1"/>
    <col min="8" max="16384" width="9.140625" style="382"/>
  </cols>
  <sheetData>
    <row r="1" spans="1:12" ht="21" customHeight="1">
      <c r="A1" s="381" t="s">
        <v>403</v>
      </c>
      <c r="B1" s="792" t="s">
        <v>442</v>
      </c>
      <c r="C1" s="792"/>
      <c r="D1" s="792"/>
      <c r="E1" s="792"/>
      <c r="F1" s="792"/>
      <c r="G1" s="792"/>
    </row>
    <row r="2" spans="1:12" ht="15" customHeight="1"/>
    <row r="3" spans="1:12" ht="20.25">
      <c r="A3" s="383" t="s">
        <v>404</v>
      </c>
    </row>
    <row r="4" spans="1:12" ht="12" customHeight="1">
      <c r="A4" s="384"/>
      <c r="B4" s="384"/>
      <c r="C4" s="384"/>
      <c r="D4" s="384" t="s">
        <v>456</v>
      </c>
      <c r="E4" s="384"/>
      <c r="F4" s="384"/>
      <c r="G4" s="384"/>
      <c r="H4" s="384"/>
      <c r="I4" s="384"/>
      <c r="J4" s="384"/>
      <c r="K4" s="384"/>
      <c r="L4" s="384"/>
    </row>
    <row r="5" spans="1:12" ht="15.6" customHeight="1">
      <c r="A5" s="385" t="s">
        <v>5</v>
      </c>
      <c r="B5" s="385" t="s">
        <v>405</v>
      </c>
      <c r="C5" s="385" t="s">
        <v>406</v>
      </c>
      <c r="D5" s="385" t="s">
        <v>407</v>
      </c>
      <c r="E5" s="385" t="s">
        <v>408</v>
      </c>
      <c r="F5" s="385" t="s">
        <v>409</v>
      </c>
      <c r="G5" s="385" t="s">
        <v>410</v>
      </c>
      <c r="H5" s="384"/>
      <c r="I5" s="384"/>
      <c r="J5" s="384"/>
      <c r="K5" s="384"/>
      <c r="L5" s="384"/>
    </row>
    <row r="6" spans="1:12" ht="15.6" customHeight="1">
      <c r="A6" s="386" t="s">
        <v>411</v>
      </c>
      <c r="B6" s="386" t="s">
        <v>166</v>
      </c>
      <c r="C6" s="386" t="s">
        <v>166</v>
      </c>
      <c r="D6" s="386" t="s">
        <v>412</v>
      </c>
      <c r="E6" s="386" t="s">
        <v>135</v>
      </c>
      <c r="F6" s="386" t="s">
        <v>413</v>
      </c>
      <c r="G6" s="386" t="s">
        <v>413</v>
      </c>
      <c r="H6" s="384"/>
      <c r="I6" s="384"/>
      <c r="J6" s="384"/>
      <c r="K6" s="384"/>
      <c r="L6" s="384"/>
    </row>
    <row r="7" spans="1:12" ht="15.95" customHeight="1">
      <c r="A7" s="387" t="s">
        <v>443</v>
      </c>
      <c r="B7" s="387" t="s">
        <v>457</v>
      </c>
      <c r="C7" s="387" t="s">
        <v>470</v>
      </c>
      <c r="D7" s="387" t="s">
        <v>482</v>
      </c>
      <c r="E7" s="387" t="s">
        <v>495</v>
      </c>
      <c r="F7" s="387" t="s">
        <v>508</v>
      </c>
      <c r="G7" s="387" t="s">
        <v>521</v>
      </c>
      <c r="H7" s="384"/>
      <c r="I7" s="384"/>
      <c r="J7" s="384"/>
      <c r="K7" s="384"/>
      <c r="L7" s="384"/>
    </row>
    <row r="8" spans="1:12" ht="15.95" customHeight="1">
      <c r="A8" s="387" t="s">
        <v>444</v>
      </c>
      <c r="B8" s="387" t="s">
        <v>458</v>
      </c>
      <c r="C8" s="387" t="s">
        <v>471</v>
      </c>
      <c r="D8" s="387" t="s">
        <v>483</v>
      </c>
      <c r="E8" s="387" t="s">
        <v>496</v>
      </c>
      <c r="F8" s="387" t="s">
        <v>509</v>
      </c>
      <c r="G8" s="387" t="s">
        <v>522</v>
      </c>
      <c r="H8" s="384"/>
      <c r="I8" s="384"/>
      <c r="J8" s="384"/>
      <c r="K8" s="384"/>
      <c r="L8" s="384"/>
    </row>
    <row r="9" spans="1:12" ht="15.95" customHeight="1">
      <c r="A9" s="387" t="s">
        <v>445</v>
      </c>
      <c r="B9" s="387" t="s">
        <v>459</v>
      </c>
      <c r="C9" s="387" t="s">
        <v>472</v>
      </c>
      <c r="D9" s="387" t="s">
        <v>484</v>
      </c>
      <c r="E9" s="387" t="s">
        <v>497</v>
      </c>
      <c r="F9" s="387" t="s">
        <v>510</v>
      </c>
      <c r="G9" s="387" t="s">
        <v>523</v>
      </c>
      <c r="H9" s="384"/>
      <c r="I9" s="384"/>
      <c r="J9" s="384"/>
      <c r="K9" s="384"/>
      <c r="L9" s="384"/>
    </row>
    <row r="10" spans="1:12" ht="15.95" customHeight="1">
      <c r="A10" s="387" t="s">
        <v>446</v>
      </c>
      <c r="B10" s="387" t="s">
        <v>460</v>
      </c>
      <c r="C10" s="387" t="s">
        <v>472</v>
      </c>
      <c r="D10" s="387" t="s">
        <v>485</v>
      </c>
      <c r="E10" s="387" t="s">
        <v>498</v>
      </c>
      <c r="F10" s="387" t="s">
        <v>511</v>
      </c>
      <c r="G10" s="387" t="s">
        <v>524</v>
      </c>
      <c r="H10" s="384"/>
      <c r="I10" s="384"/>
      <c r="J10" s="384"/>
      <c r="K10" s="384"/>
      <c r="L10" s="384"/>
    </row>
    <row r="11" spans="1:12" ht="15.95" customHeight="1">
      <c r="A11" s="387" t="s">
        <v>447</v>
      </c>
      <c r="B11" s="387" t="s">
        <v>461</v>
      </c>
      <c r="C11" s="387" t="s">
        <v>473</v>
      </c>
      <c r="D11" s="387" t="s">
        <v>486</v>
      </c>
      <c r="E11" s="387" t="s">
        <v>499</v>
      </c>
      <c r="F11" s="387" t="s">
        <v>512</v>
      </c>
      <c r="G11" s="387" t="s">
        <v>525</v>
      </c>
      <c r="H11" s="384"/>
      <c r="I11" s="384"/>
      <c r="J11" s="384"/>
      <c r="K11" s="384"/>
      <c r="L11" s="384"/>
    </row>
    <row r="12" spans="1:12" ht="15.95" customHeight="1">
      <c r="A12" s="387" t="s">
        <v>448</v>
      </c>
      <c r="B12" s="387" t="s">
        <v>462</v>
      </c>
      <c r="C12" s="387" t="s">
        <v>474</v>
      </c>
      <c r="D12" s="387" t="s">
        <v>487</v>
      </c>
      <c r="E12" s="387" t="s">
        <v>500</v>
      </c>
      <c r="F12" s="387" t="s">
        <v>513</v>
      </c>
      <c r="G12" s="387" t="s">
        <v>526</v>
      </c>
      <c r="H12" s="384"/>
      <c r="I12" s="384"/>
      <c r="J12" s="384"/>
      <c r="K12" s="384"/>
      <c r="L12" s="384"/>
    </row>
    <row r="13" spans="1:12" ht="15.95" customHeight="1">
      <c r="A13" s="387" t="s">
        <v>449</v>
      </c>
      <c r="B13" s="387" t="s">
        <v>463</v>
      </c>
      <c r="C13" s="387" t="s">
        <v>475</v>
      </c>
      <c r="D13" s="387" t="s">
        <v>488</v>
      </c>
      <c r="E13" s="387" t="s">
        <v>501</v>
      </c>
      <c r="F13" s="387" t="s">
        <v>514</v>
      </c>
      <c r="G13" s="387" t="s">
        <v>527</v>
      </c>
      <c r="H13" s="384"/>
      <c r="I13" s="384"/>
      <c r="J13" s="384"/>
      <c r="K13" s="384"/>
      <c r="L13" s="384"/>
    </row>
    <row r="14" spans="1:12" ht="15.95" customHeight="1">
      <c r="A14" s="387" t="s">
        <v>450</v>
      </c>
      <c r="B14" s="387" t="s">
        <v>464</v>
      </c>
      <c r="C14" s="387" t="s">
        <v>476</v>
      </c>
      <c r="D14" s="387" t="s">
        <v>489</v>
      </c>
      <c r="E14" s="387" t="s">
        <v>502</v>
      </c>
      <c r="F14" s="387" t="s">
        <v>515</v>
      </c>
      <c r="G14" s="387" t="s">
        <v>528</v>
      </c>
      <c r="H14" s="384"/>
      <c r="I14" s="384"/>
      <c r="J14" s="384"/>
      <c r="K14" s="384"/>
      <c r="L14" s="384"/>
    </row>
    <row r="15" spans="1:12" ht="15.95" customHeight="1">
      <c r="A15" s="387" t="s">
        <v>451</v>
      </c>
      <c r="B15" s="387" t="s">
        <v>465</v>
      </c>
      <c r="C15" s="387" t="s">
        <v>477</v>
      </c>
      <c r="D15" s="387" t="s">
        <v>490</v>
      </c>
      <c r="E15" s="387" t="s">
        <v>503</v>
      </c>
      <c r="F15" s="387" t="s">
        <v>516</v>
      </c>
      <c r="G15" s="387" t="s">
        <v>529</v>
      </c>
      <c r="H15" s="384"/>
      <c r="I15" s="384"/>
      <c r="J15" s="384"/>
      <c r="K15" s="384"/>
      <c r="L15" s="384"/>
    </row>
    <row r="16" spans="1:12" ht="15.95" customHeight="1">
      <c r="A16" s="387" t="s">
        <v>452</v>
      </c>
      <c r="B16" s="387" t="s">
        <v>466</v>
      </c>
      <c r="C16" s="387" t="s">
        <v>478</v>
      </c>
      <c r="D16" s="387" t="s">
        <v>491</v>
      </c>
      <c r="E16" s="387" t="s">
        <v>504</v>
      </c>
      <c r="F16" s="387" t="s">
        <v>517</v>
      </c>
      <c r="G16" s="387" t="s">
        <v>530</v>
      </c>
      <c r="H16" s="384"/>
      <c r="I16" s="384"/>
      <c r="J16" s="384"/>
      <c r="K16" s="384"/>
      <c r="L16" s="384"/>
    </row>
    <row r="17" spans="1:12" ht="15.95" customHeight="1">
      <c r="A17" s="387" t="s">
        <v>453</v>
      </c>
      <c r="B17" s="387" t="s">
        <v>467</v>
      </c>
      <c r="C17" s="387" t="s">
        <v>479</v>
      </c>
      <c r="D17" s="387" t="s">
        <v>492</v>
      </c>
      <c r="E17" s="387" t="s">
        <v>505</v>
      </c>
      <c r="F17" s="387" t="s">
        <v>518</v>
      </c>
      <c r="G17" s="387" t="s">
        <v>531</v>
      </c>
      <c r="H17" s="384"/>
      <c r="I17" s="384"/>
      <c r="J17" s="384"/>
      <c r="K17" s="384"/>
      <c r="L17" s="384"/>
    </row>
    <row r="18" spans="1:12" ht="15.95" customHeight="1">
      <c r="A18" s="387" t="s">
        <v>454</v>
      </c>
      <c r="B18" s="387" t="s">
        <v>468</v>
      </c>
      <c r="C18" s="387" t="s">
        <v>480</v>
      </c>
      <c r="D18" s="387" t="s">
        <v>493</v>
      </c>
      <c r="E18" s="387" t="s">
        <v>506</v>
      </c>
      <c r="F18" s="387" t="s">
        <v>519</v>
      </c>
      <c r="G18" s="387" t="s">
        <v>532</v>
      </c>
      <c r="H18" s="384"/>
      <c r="I18" s="384"/>
      <c r="J18" s="384"/>
      <c r="K18" s="384"/>
      <c r="L18" s="384"/>
    </row>
    <row r="19" spans="1:12" ht="15.95" customHeight="1">
      <c r="A19" s="387" t="s">
        <v>455</v>
      </c>
      <c r="B19" s="387" t="s">
        <v>469</v>
      </c>
      <c r="C19" s="387" t="s">
        <v>481</v>
      </c>
      <c r="D19" s="387" t="s">
        <v>494</v>
      </c>
      <c r="E19" s="387" t="s">
        <v>507</v>
      </c>
      <c r="F19" s="387" t="s">
        <v>520</v>
      </c>
      <c r="G19" s="387" t="s">
        <v>533</v>
      </c>
      <c r="H19" s="384"/>
      <c r="I19" s="384"/>
      <c r="J19" s="384"/>
      <c r="K19" s="384"/>
      <c r="L19" s="384"/>
    </row>
    <row r="20" spans="1:12" ht="15.75">
      <c r="A20" s="384"/>
      <c r="B20" s="384"/>
      <c r="C20" s="384"/>
      <c r="D20" s="384"/>
      <c r="E20" s="384"/>
      <c r="F20" s="384"/>
      <c r="G20" s="384"/>
      <c r="H20" s="384"/>
      <c r="I20" s="384"/>
      <c r="J20" s="384"/>
      <c r="K20" s="384"/>
      <c r="L20" s="384"/>
    </row>
    <row r="21" spans="1:12" ht="15.75">
      <c r="A21" s="384"/>
      <c r="B21" s="384"/>
      <c r="C21" s="384"/>
      <c r="D21" s="793" t="s">
        <v>543</v>
      </c>
      <c r="E21" s="794"/>
      <c r="F21" s="794"/>
      <c r="G21" s="795"/>
      <c r="H21" s="384"/>
      <c r="I21" s="384"/>
      <c r="J21" s="384"/>
      <c r="K21" s="384"/>
      <c r="L21" s="384"/>
    </row>
    <row r="22" spans="1:12" ht="17.25" customHeight="1">
      <c r="A22" s="384"/>
      <c r="B22" s="796" t="s">
        <v>414</v>
      </c>
      <c r="C22" s="796"/>
      <c r="D22" s="796" t="s">
        <v>415</v>
      </c>
      <c r="E22" s="796"/>
      <c r="F22" s="796" t="s">
        <v>416</v>
      </c>
      <c r="G22" s="796"/>
      <c r="H22" s="384"/>
      <c r="I22" s="384"/>
      <c r="J22" s="384"/>
      <c r="K22" s="384"/>
      <c r="L22" s="384"/>
    </row>
    <row r="23" spans="1:12" ht="15.75">
      <c r="A23" s="388" t="s">
        <v>417</v>
      </c>
      <c r="B23" s="791" t="s">
        <v>534</v>
      </c>
      <c r="C23" s="791"/>
      <c r="D23" s="791" t="s">
        <v>537</v>
      </c>
      <c r="E23" s="791"/>
      <c r="F23" s="791" t="s">
        <v>540</v>
      </c>
      <c r="G23" s="791"/>
      <c r="H23" s="384"/>
      <c r="I23" s="384"/>
      <c r="J23" s="384"/>
      <c r="K23" s="384"/>
      <c r="L23" s="384"/>
    </row>
    <row r="24" spans="1:12" ht="18" customHeight="1">
      <c r="A24" s="388" t="s">
        <v>418</v>
      </c>
      <c r="B24" s="791" t="s">
        <v>535</v>
      </c>
      <c r="C24" s="791"/>
      <c r="D24" s="791" t="s">
        <v>538</v>
      </c>
      <c r="E24" s="791"/>
      <c r="F24" s="791" t="s">
        <v>541</v>
      </c>
      <c r="G24" s="791"/>
      <c r="H24" s="384"/>
      <c r="I24" s="384"/>
      <c r="J24" s="384"/>
      <c r="K24" s="384"/>
      <c r="L24" s="384"/>
    </row>
    <row r="25" spans="1:12" ht="15.75">
      <c r="A25" s="388" t="s">
        <v>419</v>
      </c>
      <c r="B25" s="791" t="s">
        <v>536</v>
      </c>
      <c r="C25" s="791"/>
      <c r="D25" s="791" t="s">
        <v>539</v>
      </c>
      <c r="E25" s="791"/>
      <c r="F25" s="791" t="s">
        <v>542</v>
      </c>
      <c r="G25" s="791"/>
      <c r="H25" s="384"/>
      <c r="I25" s="384"/>
      <c r="J25" s="384"/>
      <c r="K25" s="384"/>
      <c r="L25" s="384"/>
    </row>
    <row r="26" spans="1:12" ht="15.75">
      <c r="A26" s="384"/>
      <c r="B26" s="384"/>
      <c r="C26" s="384"/>
      <c r="D26" s="384"/>
      <c r="E26" s="384"/>
      <c r="F26" s="384"/>
      <c r="G26" s="384"/>
      <c r="H26" s="384"/>
      <c r="I26" s="384"/>
      <c r="J26" s="384"/>
      <c r="K26" s="384"/>
      <c r="L26" s="384"/>
    </row>
    <row r="27" spans="1:12" ht="20.25">
      <c r="A27" s="383" t="s">
        <v>420</v>
      </c>
      <c r="B27" s="384"/>
      <c r="C27" s="384"/>
      <c r="D27" s="384"/>
      <c r="E27" s="384"/>
      <c r="F27" s="384"/>
      <c r="G27" s="384"/>
      <c r="H27" s="384"/>
      <c r="I27" s="384"/>
      <c r="J27" s="384"/>
      <c r="K27" s="384"/>
      <c r="L27" s="384"/>
    </row>
    <row r="28" spans="1:12" ht="15.75">
      <c r="A28" s="384"/>
      <c r="B28" s="384"/>
      <c r="C28" s="384"/>
      <c r="D28" s="384"/>
      <c r="E28" s="797" t="s">
        <v>421</v>
      </c>
      <c r="F28" s="794"/>
      <c r="G28" s="795"/>
      <c r="H28" s="384"/>
      <c r="I28" s="384"/>
      <c r="J28" s="384"/>
      <c r="K28" s="384"/>
      <c r="L28" s="384"/>
    </row>
    <row r="29" spans="1:12" ht="15.75">
      <c r="A29" s="384"/>
      <c r="B29" s="796" t="s">
        <v>422</v>
      </c>
      <c r="C29" s="796"/>
      <c r="D29" s="389" t="s">
        <v>423</v>
      </c>
      <c r="E29" s="389" t="s">
        <v>424</v>
      </c>
      <c r="F29" s="796" t="s">
        <v>425</v>
      </c>
      <c r="G29" s="796"/>
      <c r="H29" s="384"/>
      <c r="I29" s="384"/>
      <c r="J29" s="384"/>
      <c r="K29" s="384"/>
      <c r="L29" s="384"/>
    </row>
    <row r="30" spans="1:12" ht="15.75">
      <c r="A30" s="388" t="s">
        <v>426</v>
      </c>
      <c r="B30" s="791" t="s">
        <v>544</v>
      </c>
      <c r="C30" s="791"/>
      <c r="D30" s="387" t="s">
        <v>547</v>
      </c>
      <c r="E30" s="387" t="s">
        <v>427</v>
      </c>
      <c r="F30" s="791" t="s">
        <v>550</v>
      </c>
      <c r="G30" s="791"/>
      <c r="H30" s="384"/>
      <c r="I30" s="384"/>
      <c r="J30" s="384"/>
      <c r="K30" s="384"/>
      <c r="L30" s="384"/>
    </row>
    <row r="31" spans="1:12" ht="15.75">
      <c r="A31" s="388" t="s">
        <v>428</v>
      </c>
      <c r="B31" s="791" t="s">
        <v>545</v>
      </c>
      <c r="C31" s="791"/>
      <c r="D31" s="387" t="s">
        <v>548</v>
      </c>
      <c r="E31" s="387" t="s">
        <v>429</v>
      </c>
      <c r="F31" s="791" t="s">
        <v>551</v>
      </c>
      <c r="G31" s="791"/>
      <c r="H31" s="384"/>
      <c r="I31" s="384"/>
      <c r="J31" s="384"/>
      <c r="K31" s="384"/>
      <c r="L31" s="384"/>
    </row>
    <row r="32" spans="1:12" ht="15.75">
      <c r="A32" s="388" t="s">
        <v>430</v>
      </c>
      <c r="B32" s="791" t="s">
        <v>546</v>
      </c>
      <c r="C32" s="791"/>
      <c r="D32" s="387" t="s">
        <v>549</v>
      </c>
      <c r="E32" s="387" t="s">
        <v>431</v>
      </c>
      <c r="F32" s="791" t="s">
        <v>552</v>
      </c>
      <c r="G32" s="791"/>
      <c r="H32" s="384"/>
      <c r="I32" s="384"/>
      <c r="J32" s="384"/>
      <c r="K32" s="384"/>
      <c r="L32" s="384"/>
    </row>
    <row r="33" spans="1:12" ht="15.75">
      <c r="A33" s="384"/>
      <c r="B33" s="384"/>
      <c r="C33" s="384"/>
      <c r="D33" s="384"/>
      <c r="E33" s="384"/>
      <c r="F33" s="384"/>
      <c r="G33" s="384"/>
      <c r="H33" s="384"/>
      <c r="I33" s="384"/>
      <c r="J33" s="384"/>
      <c r="K33" s="384"/>
      <c r="L33" s="384"/>
    </row>
    <row r="34" spans="1:12" ht="15.75">
      <c r="A34" s="384"/>
      <c r="B34" s="384"/>
      <c r="C34" s="384"/>
      <c r="D34" s="384"/>
      <c r="E34" s="797" t="s">
        <v>432</v>
      </c>
      <c r="F34" s="794"/>
      <c r="G34" s="795"/>
      <c r="H34" s="384"/>
      <c r="I34" s="384"/>
      <c r="J34" s="384"/>
      <c r="K34" s="384"/>
      <c r="L34" s="384"/>
    </row>
    <row r="35" spans="1:12" ht="15.75">
      <c r="A35" s="384"/>
      <c r="B35" s="796" t="s">
        <v>433</v>
      </c>
      <c r="C35" s="796"/>
      <c r="D35" s="389" t="s">
        <v>424</v>
      </c>
      <c r="E35" s="389" t="s">
        <v>434</v>
      </c>
      <c r="F35" s="389" t="s">
        <v>100</v>
      </c>
      <c r="G35" s="389" t="s">
        <v>435</v>
      </c>
      <c r="H35" s="384"/>
      <c r="I35" s="384"/>
      <c r="J35" s="384"/>
      <c r="K35" s="384"/>
      <c r="L35" s="384"/>
    </row>
    <row r="36" spans="1:12" ht="15.75">
      <c r="A36" s="388" t="s">
        <v>426</v>
      </c>
      <c r="B36" s="798" t="s">
        <v>553</v>
      </c>
      <c r="C36" s="799"/>
      <c r="D36" s="390" t="s">
        <v>555</v>
      </c>
      <c r="E36" s="390" t="s">
        <v>436</v>
      </c>
      <c r="F36" s="391" t="s">
        <v>437</v>
      </c>
      <c r="G36" s="387" t="s">
        <v>558</v>
      </c>
      <c r="H36" s="384"/>
      <c r="I36" s="384"/>
      <c r="J36" s="384"/>
      <c r="K36" s="384"/>
      <c r="L36" s="384"/>
    </row>
    <row r="37" spans="1:12" ht="15.75">
      <c r="A37" s="388" t="s">
        <v>428</v>
      </c>
      <c r="B37" s="798" t="s">
        <v>554</v>
      </c>
      <c r="C37" s="799"/>
      <c r="D37" s="390" t="s">
        <v>556</v>
      </c>
      <c r="E37" s="390" t="s">
        <v>436</v>
      </c>
      <c r="F37" s="391" t="s">
        <v>438</v>
      </c>
      <c r="G37" s="392" t="s">
        <v>559</v>
      </c>
      <c r="H37" s="384"/>
      <c r="I37" s="384"/>
      <c r="J37" s="384"/>
      <c r="K37" s="384"/>
      <c r="L37" s="384"/>
    </row>
    <row r="38" spans="1:12" ht="15.75">
      <c r="A38" s="388" t="s">
        <v>430</v>
      </c>
      <c r="B38" s="798" t="s">
        <v>554</v>
      </c>
      <c r="C38" s="799"/>
      <c r="D38" s="390" t="s">
        <v>557</v>
      </c>
      <c r="E38" s="390" t="s">
        <v>436</v>
      </c>
      <c r="F38" s="391" t="s">
        <v>439</v>
      </c>
      <c r="G38" s="387" t="s">
        <v>560</v>
      </c>
      <c r="H38" s="384"/>
      <c r="I38" s="384"/>
      <c r="J38" s="384"/>
      <c r="K38" s="384"/>
      <c r="L38" s="384"/>
    </row>
    <row r="39" spans="1:12" ht="15.75">
      <c r="A39" s="384"/>
      <c r="B39" s="384"/>
      <c r="C39" s="384"/>
      <c r="D39" s="384"/>
      <c r="E39" s="384"/>
      <c r="F39" s="384"/>
      <c r="G39" s="384"/>
      <c r="H39" s="384"/>
      <c r="I39" s="384"/>
      <c r="J39" s="384"/>
      <c r="K39" s="384"/>
      <c r="L39" s="384"/>
    </row>
    <row r="40" spans="1:12" ht="15.75">
      <c r="A40" s="393" t="s">
        <v>440</v>
      </c>
      <c r="B40" s="800" t="s">
        <v>561</v>
      </c>
      <c r="C40" s="800"/>
      <c r="D40" s="801" t="s">
        <v>441</v>
      </c>
      <c r="E40" s="801"/>
      <c r="F40" s="800" t="s">
        <v>562</v>
      </c>
      <c r="G40" s="800"/>
      <c r="H40" s="384"/>
      <c r="I40" s="384"/>
      <c r="J40" s="384"/>
      <c r="K40" s="384"/>
      <c r="L40" s="384"/>
    </row>
    <row r="41" spans="1:12" ht="15.75">
      <c r="A41" s="384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</row>
    <row r="42" spans="1:12" ht="15.75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</row>
    <row r="43" spans="1:12" ht="15.75">
      <c r="A43" s="384"/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</row>
    <row r="44" spans="1:12" ht="15.75">
      <c r="A44" s="384"/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</row>
    <row r="45" spans="1:12" ht="15.75">
      <c r="A45" s="384"/>
      <c r="B45" s="384"/>
      <c r="C45" s="384"/>
      <c r="D45" s="384"/>
      <c r="E45" s="384"/>
      <c r="F45" s="384"/>
      <c r="G45" s="384"/>
      <c r="H45" s="384"/>
      <c r="I45" s="384"/>
      <c r="J45" s="384"/>
      <c r="K45" s="384"/>
      <c r="L45" s="384"/>
    </row>
    <row r="46" spans="1:12" ht="15.75">
      <c r="A46" s="384"/>
      <c r="B46" s="384"/>
      <c r="C46" s="384"/>
      <c r="D46" s="384"/>
      <c r="E46" s="384"/>
      <c r="F46" s="384"/>
      <c r="G46" s="384"/>
      <c r="H46" s="384"/>
      <c r="I46" s="384"/>
      <c r="J46" s="384"/>
      <c r="K46" s="384"/>
      <c r="L46" s="384"/>
    </row>
    <row r="47" spans="1:12" ht="15.75">
      <c r="A47" s="384"/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</row>
    <row r="48" spans="1:12" ht="15.75">
      <c r="A48" s="384"/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</row>
    <row r="49" spans="1:12" ht="15.75">
      <c r="A49" s="384"/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</row>
    <row r="50" spans="1:12" ht="15.75">
      <c r="A50" s="384"/>
      <c r="B50" s="384"/>
      <c r="C50" s="384"/>
      <c r="D50" s="384"/>
      <c r="E50" s="384"/>
      <c r="F50" s="384"/>
      <c r="G50" s="384"/>
      <c r="H50" s="384"/>
      <c r="I50" s="384"/>
      <c r="J50" s="384"/>
      <c r="K50" s="384"/>
      <c r="L50" s="384"/>
    </row>
    <row r="51" spans="1:12" ht="15.75">
      <c r="A51" s="384"/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</row>
    <row r="52" spans="1:12" ht="15.75">
      <c r="A52" s="384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</row>
    <row r="53" spans="1:12" ht="15.75">
      <c r="A53" s="384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</row>
    <row r="54" spans="1:12" ht="15.75">
      <c r="A54" s="384"/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</row>
    <row r="55" spans="1:12" ht="15.75">
      <c r="A55" s="384"/>
      <c r="B55" s="384"/>
      <c r="C55" s="384"/>
      <c r="D55" s="384"/>
      <c r="E55" s="384"/>
      <c r="F55" s="384"/>
      <c r="G55" s="384"/>
      <c r="H55" s="384"/>
      <c r="I55" s="384"/>
      <c r="J55" s="384"/>
      <c r="K55" s="384"/>
      <c r="L55" s="384"/>
    </row>
    <row r="56" spans="1:12" ht="15.75">
      <c r="A56" s="384"/>
      <c r="B56" s="384"/>
      <c r="C56" s="384"/>
      <c r="D56" s="384"/>
      <c r="E56" s="384"/>
      <c r="F56" s="384"/>
      <c r="G56" s="384"/>
      <c r="H56" s="384"/>
      <c r="I56" s="384"/>
      <c r="J56" s="384"/>
      <c r="K56" s="384"/>
      <c r="L56" s="384"/>
    </row>
    <row r="57" spans="1:12" ht="15.75">
      <c r="A57" s="384"/>
      <c r="B57" s="384"/>
      <c r="C57" s="384"/>
      <c r="D57" s="384"/>
      <c r="E57" s="384"/>
      <c r="F57" s="384"/>
      <c r="G57" s="384"/>
      <c r="H57" s="384"/>
      <c r="I57" s="384"/>
      <c r="J57" s="384"/>
      <c r="K57" s="384"/>
      <c r="L57" s="384"/>
    </row>
    <row r="58" spans="1:12" ht="15.75">
      <c r="A58" s="384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</row>
    <row r="59" spans="1:12" ht="15.75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</row>
    <row r="60" spans="1:12" ht="15.75">
      <c r="A60" s="384"/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</row>
    <row r="61" spans="1:12" ht="15.75">
      <c r="A61" s="384"/>
      <c r="B61" s="384"/>
      <c r="C61" s="384"/>
      <c r="D61" s="384"/>
      <c r="E61" s="384"/>
      <c r="F61" s="384"/>
      <c r="G61" s="384"/>
      <c r="H61" s="384"/>
      <c r="I61" s="384"/>
      <c r="J61" s="384"/>
      <c r="K61" s="384"/>
      <c r="L61" s="384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1"/>
  <sheetViews>
    <sheetView workbookViewId="0">
      <selection sqref="A1:F1"/>
    </sheetView>
  </sheetViews>
  <sheetFormatPr defaultColWidth="9.140625" defaultRowHeight="12.75"/>
  <cols>
    <col min="1" max="6" width="14.7109375" style="382" customWidth="1"/>
    <col min="7" max="16384" width="9.140625" style="382"/>
  </cols>
  <sheetData>
    <row r="1" spans="1:7" ht="20.25">
      <c r="A1" s="802" t="s">
        <v>707</v>
      </c>
      <c r="B1" s="802"/>
      <c r="C1" s="802"/>
      <c r="D1" s="802"/>
      <c r="E1" s="802"/>
      <c r="F1" s="802"/>
    </row>
    <row r="2" spans="1:7" ht="19.5" thickBot="1">
      <c r="A2" s="384"/>
      <c r="B2" s="384"/>
      <c r="C2" s="792" t="s">
        <v>719</v>
      </c>
      <c r="D2" s="792"/>
      <c r="E2" s="384"/>
      <c r="F2" s="384"/>
      <c r="G2" s="384"/>
    </row>
    <row r="3" spans="1:7" ht="19.5">
      <c r="A3" s="803" t="s">
        <v>708</v>
      </c>
      <c r="B3" s="804"/>
      <c r="C3" s="805"/>
      <c r="D3" s="803" t="s">
        <v>709</v>
      </c>
      <c r="E3" s="804"/>
      <c r="F3" s="805"/>
      <c r="G3" s="384"/>
    </row>
    <row r="4" spans="1:7" ht="15.75">
      <c r="A4" s="534" t="s">
        <v>720</v>
      </c>
      <c r="B4" s="806" t="s">
        <v>722</v>
      </c>
      <c r="C4" s="807"/>
      <c r="D4" s="808" t="s">
        <v>723</v>
      </c>
      <c r="E4" s="809"/>
      <c r="F4" s="810"/>
      <c r="G4" s="384"/>
    </row>
    <row r="5" spans="1:7" ht="16.5" thickBot="1">
      <c r="A5" s="535" t="s">
        <v>721</v>
      </c>
      <c r="B5" s="814" t="s">
        <v>721</v>
      </c>
      <c r="C5" s="815"/>
      <c r="D5" s="816" t="s">
        <v>724</v>
      </c>
      <c r="E5" s="817"/>
      <c r="F5" s="818"/>
      <c r="G5" s="384"/>
    </row>
    <row r="6" spans="1:7" ht="19.5">
      <c r="A6" s="803" t="s">
        <v>710</v>
      </c>
      <c r="B6" s="804"/>
      <c r="C6" s="804"/>
      <c r="D6" s="804"/>
      <c r="E6" s="804"/>
      <c r="F6" s="805"/>
      <c r="G6" s="384"/>
    </row>
    <row r="7" spans="1:7" ht="15.75">
      <c r="A7" s="536" t="s">
        <v>711</v>
      </c>
      <c r="B7" s="537" t="s">
        <v>725</v>
      </c>
      <c r="C7" s="538" t="s">
        <v>712</v>
      </c>
      <c r="D7" s="539" t="s">
        <v>726</v>
      </c>
      <c r="E7" s="819" t="s">
        <v>713</v>
      </c>
      <c r="F7" s="820"/>
      <c r="G7" s="384"/>
    </row>
    <row r="8" spans="1:7" ht="16.5" thickBot="1">
      <c r="A8" s="540"/>
      <c r="B8" s="541" t="s">
        <v>721</v>
      </c>
      <c r="C8" s="542"/>
      <c r="D8" s="543" t="s">
        <v>721</v>
      </c>
      <c r="E8" s="821" t="s">
        <v>727</v>
      </c>
      <c r="F8" s="818"/>
      <c r="G8" s="384"/>
    </row>
    <row r="9" spans="1:7" ht="19.5">
      <c r="A9" s="803" t="s">
        <v>714</v>
      </c>
      <c r="B9" s="804"/>
      <c r="C9" s="805"/>
      <c r="D9" s="803" t="s">
        <v>715</v>
      </c>
      <c r="E9" s="804"/>
      <c r="F9" s="805"/>
      <c r="G9" s="384"/>
    </row>
    <row r="10" spans="1:7" ht="15.75">
      <c r="A10" s="544" t="s">
        <v>716</v>
      </c>
      <c r="B10" s="822" t="s">
        <v>728</v>
      </c>
      <c r="C10" s="807"/>
      <c r="D10" s="823" t="s">
        <v>730</v>
      </c>
      <c r="E10" s="824"/>
      <c r="F10" s="545" t="s">
        <v>731</v>
      </c>
      <c r="G10" s="384"/>
    </row>
    <row r="11" spans="1:7" ht="16.5" thickBot="1">
      <c r="A11" s="546" t="s">
        <v>717</v>
      </c>
      <c r="B11" s="817" t="s">
        <v>729</v>
      </c>
      <c r="C11" s="818"/>
      <c r="D11" s="825"/>
      <c r="E11" s="826"/>
      <c r="F11" s="547" t="s">
        <v>721</v>
      </c>
      <c r="G11" s="384"/>
    </row>
    <row r="12" spans="1:7" ht="19.5">
      <c r="A12" s="803" t="s">
        <v>718</v>
      </c>
      <c r="B12" s="804"/>
      <c r="C12" s="804"/>
      <c r="D12" s="804"/>
      <c r="E12" s="804"/>
      <c r="F12" s="805"/>
      <c r="G12" s="384"/>
    </row>
    <row r="13" spans="1:7" ht="16.5" thickBot="1">
      <c r="A13" s="811" t="s">
        <v>732</v>
      </c>
      <c r="B13" s="812"/>
      <c r="C13" s="813" t="s">
        <v>733</v>
      </c>
      <c r="D13" s="813"/>
      <c r="E13" s="813"/>
      <c r="F13" s="548"/>
      <c r="G13" s="384"/>
    </row>
    <row r="14" spans="1:7" ht="18.95" customHeight="1">
      <c r="A14" s="549"/>
      <c r="B14" s="549"/>
      <c r="C14" s="549"/>
      <c r="D14" s="549"/>
      <c r="E14" s="549"/>
      <c r="F14" s="549"/>
      <c r="G14" s="384"/>
    </row>
    <row r="15" spans="1:7" ht="15.75">
      <c r="G15" s="384"/>
    </row>
    <row r="16" spans="1:7" ht="15.75">
      <c r="G16" s="384"/>
    </row>
    <row r="17" spans="7:7" ht="15.75">
      <c r="G17" s="384"/>
    </row>
    <row r="18" spans="7:7" ht="15.75">
      <c r="G18" s="384"/>
    </row>
    <row r="19" spans="7:7" ht="15.75">
      <c r="G19" s="384"/>
    </row>
    <row r="20" spans="7:7" ht="15.75">
      <c r="G20" s="384"/>
    </row>
    <row r="21" spans="7:7" ht="15.75">
      <c r="G21" s="384"/>
    </row>
    <row r="22" spans="7:7" ht="15.75">
      <c r="G22" s="384"/>
    </row>
    <row r="23" spans="7:7" ht="15.75">
      <c r="G23" s="384"/>
    </row>
    <row r="24" spans="7:7" ht="15.75">
      <c r="G24" s="384"/>
    </row>
    <row r="25" spans="7:7" ht="15.75">
      <c r="G25" s="384"/>
    </row>
    <row r="26" spans="7:7" ht="15.75">
      <c r="G26" s="384"/>
    </row>
    <row r="27" spans="7:7" ht="18.95" customHeight="1">
      <c r="G27" s="384"/>
    </row>
    <row r="28" spans="7:7" ht="15.75">
      <c r="G28" s="384"/>
    </row>
    <row r="29" spans="7:7" ht="15.75">
      <c r="G29" s="384"/>
    </row>
    <row r="30" spans="7:7" ht="15.75">
      <c r="G30" s="384"/>
    </row>
    <row r="31" spans="7:7" ht="15.75">
      <c r="G31" s="384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syncVertical="1" syncRef="A1" transitionEvaluation="1" codeName="Sheet4"/>
  <dimension ref="A1:N120"/>
  <sheetViews>
    <sheetView showGridLines="0" zoomScaleNormal="100" workbookViewId="0">
      <selection activeCell="Q22" sqref="Q22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267</v>
      </c>
      <c r="B1" s="443"/>
      <c r="C1" s="443"/>
      <c r="D1" s="443"/>
      <c r="E1" s="443"/>
      <c r="F1" s="443"/>
      <c r="G1" s="443"/>
      <c r="H1" s="443"/>
      <c r="I1" s="443"/>
      <c r="J1" s="444" t="s">
        <v>595</v>
      </c>
      <c r="K1" s="445"/>
      <c r="L1" s="446" t="s">
        <v>596</v>
      </c>
      <c r="M1" s="447"/>
      <c r="N1" s="448"/>
    </row>
    <row r="2" spans="1:14" ht="17.100000000000001" customHeight="1">
      <c r="A2" s="450" t="s">
        <v>597</v>
      </c>
      <c r="B2" s="451"/>
      <c r="C2" s="451"/>
      <c r="D2" s="451"/>
      <c r="E2" s="451"/>
      <c r="F2" s="451"/>
      <c r="G2" s="451"/>
      <c r="H2" s="451"/>
      <c r="I2" s="451"/>
      <c r="J2" s="452" t="s">
        <v>598</v>
      </c>
      <c r="K2" s="453"/>
      <c r="L2" s="454" t="s">
        <v>599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600</v>
      </c>
      <c r="K3" s="453"/>
      <c r="L3" s="458" t="s">
        <v>601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602</v>
      </c>
      <c r="K4" s="453"/>
      <c r="L4" s="458" t="s">
        <v>603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604</v>
      </c>
      <c r="K5" s="453"/>
      <c r="L5" s="454">
        <v>2</v>
      </c>
      <c r="M5" s="455"/>
      <c r="N5" s="448"/>
    </row>
    <row r="6" spans="1:14" ht="15.95" customHeight="1">
      <c r="A6" s="460" t="s">
        <v>605</v>
      </c>
      <c r="B6" s="457"/>
      <c r="C6" s="457"/>
      <c r="D6" s="457"/>
      <c r="E6" s="457"/>
      <c r="F6" s="457"/>
      <c r="G6" s="457"/>
      <c r="H6" s="457"/>
      <c r="I6" s="457"/>
      <c r="J6" s="452" t="s">
        <v>606</v>
      </c>
      <c r="K6" s="453"/>
      <c r="L6" s="454" t="s">
        <v>607</v>
      </c>
      <c r="M6" s="455"/>
      <c r="N6" s="448"/>
    </row>
    <row r="7" spans="1:14" ht="15.95" customHeight="1" thickBot="1">
      <c r="A7" s="461" t="s">
        <v>608</v>
      </c>
      <c r="B7" s="462"/>
      <c r="C7" s="462"/>
      <c r="D7" s="462"/>
      <c r="E7" s="462"/>
      <c r="F7" s="462"/>
      <c r="G7" s="462"/>
      <c r="H7" s="462"/>
      <c r="I7" s="462"/>
      <c r="J7" s="463" t="s">
        <v>609</v>
      </c>
      <c r="K7" s="464"/>
      <c r="L7" s="465" t="s">
        <v>610</v>
      </c>
      <c r="M7" s="466"/>
      <c r="N7" s="448"/>
    </row>
    <row r="8" spans="1:14" ht="15.95" customHeight="1">
      <c r="A8" s="467"/>
      <c r="B8" s="457"/>
      <c r="C8" s="457"/>
      <c r="D8" s="457"/>
      <c r="E8" s="457"/>
      <c r="F8" s="457"/>
      <c r="G8" s="457"/>
      <c r="H8" s="457"/>
      <c r="I8" s="457"/>
      <c r="J8" s="457"/>
      <c r="K8" s="468"/>
      <c r="L8" s="469"/>
      <c r="M8" s="470"/>
      <c r="N8" s="457"/>
    </row>
    <row r="9" spans="1:14" ht="12" customHeight="1">
      <c r="A9" s="471"/>
      <c r="B9" s="472" t="s">
        <v>611</v>
      </c>
      <c r="C9" s="473" t="s">
        <v>702</v>
      </c>
      <c r="D9" s="474"/>
      <c r="E9" s="474"/>
      <c r="F9" s="474"/>
      <c r="G9" s="474"/>
      <c r="H9" s="474"/>
      <c r="I9" s="474"/>
      <c r="J9" s="474"/>
      <c r="K9" s="475"/>
      <c r="L9" s="471"/>
      <c r="M9" s="474"/>
      <c r="N9" s="457"/>
    </row>
    <row r="10" spans="1:14" ht="12" customHeight="1">
      <c r="A10" s="471"/>
      <c r="B10" s="472" t="s">
        <v>612</v>
      </c>
      <c r="C10" s="476" t="s">
        <v>703</v>
      </c>
      <c r="D10" s="471"/>
      <c r="E10" s="471"/>
      <c r="F10" s="471"/>
      <c r="G10" s="471"/>
      <c r="H10" s="471"/>
      <c r="I10" s="471"/>
      <c r="J10" s="471"/>
      <c r="K10" s="471"/>
      <c r="L10" s="471"/>
      <c r="M10" s="471"/>
      <c r="N10" s="469"/>
    </row>
    <row r="11" spans="1:14" ht="16.5" thickBot="1">
      <c r="A11" s="469"/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469"/>
    </row>
    <row r="12" spans="1:14" ht="20.100000000000001" customHeight="1" thickBot="1">
      <c r="A12" s="477" t="s">
        <v>613</v>
      </c>
      <c r="B12" s="478"/>
      <c r="C12" s="478"/>
      <c r="D12" s="478"/>
      <c r="E12" s="478"/>
      <c r="F12" s="478"/>
      <c r="G12" s="478"/>
      <c r="H12" s="478"/>
      <c r="I12" s="478"/>
      <c r="J12" s="478"/>
      <c r="K12" s="478"/>
      <c r="L12" s="478"/>
      <c r="M12" s="479"/>
      <c r="N12" s="448"/>
    </row>
    <row r="13" spans="1:14" ht="12.95" customHeight="1" thickTop="1">
      <c r="A13" s="480"/>
      <c r="B13" s="472" t="s">
        <v>614</v>
      </c>
      <c r="C13" s="481">
        <v>400</v>
      </c>
      <c r="D13" s="471"/>
      <c r="E13" s="472" t="s">
        <v>615</v>
      </c>
      <c r="F13" s="481">
        <v>4000</v>
      </c>
      <c r="G13" s="471"/>
      <c r="H13" s="472" t="s">
        <v>616</v>
      </c>
      <c r="I13" s="481" t="s">
        <v>701</v>
      </c>
      <c r="J13" s="471"/>
      <c r="K13" s="471"/>
      <c r="L13" s="472" t="s">
        <v>617</v>
      </c>
      <c r="M13" s="482">
        <v>3600</v>
      </c>
      <c r="N13" s="448"/>
    </row>
    <row r="14" spans="1:14" ht="12.95" customHeight="1">
      <c r="A14" s="480"/>
      <c r="B14" s="472" t="s">
        <v>618</v>
      </c>
      <c r="C14" s="481" t="s">
        <v>704</v>
      </c>
      <c r="D14" s="471"/>
      <c r="E14" s="472" t="s">
        <v>619</v>
      </c>
      <c r="F14" s="483" t="s">
        <v>660</v>
      </c>
      <c r="G14" s="471"/>
      <c r="H14" s="472" t="s">
        <v>620</v>
      </c>
      <c r="I14" s="481">
        <v>52</v>
      </c>
      <c r="J14" s="471"/>
      <c r="K14" s="471"/>
      <c r="L14" s="472" t="s">
        <v>575</v>
      </c>
      <c r="M14" s="482">
        <v>3575</v>
      </c>
      <c r="N14" s="448"/>
    </row>
    <row r="15" spans="1:14" ht="12.95" customHeight="1">
      <c r="A15" s="480"/>
      <c r="B15" s="472" t="s">
        <v>621</v>
      </c>
      <c r="C15" s="481" t="s">
        <v>193</v>
      </c>
      <c r="D15" s="471"/>
      <c r="E15" s="472" t="s">
        <v>622</v>
      </c>
      <c r="F15" s="484" t="s">
        <v>705</v>
      </c>
      <c r="G15" s="471"/>
      <c r="H15" s="472" t="s">
        <v>623</v>
      </c>
      <c r="I15" s="483" t="s">
        <v>318</v>
      </c>
      <c r="J15" s="471"/>
      <c r="K15" s="471"/>
      <c r="L15" s="472" t="s">
        <v>624</v>
      </c>
      <c r="M15" s="482" t="s">
        <v>361</v>
      </c>
      <c r="N15" s="448"/>
    </row>
    <row r="16" spans="1:14" ht="12.95" customHeight="1">
      <c r="A16" s="480"/>
      <c r="B16" s="472" t="s">
        <v>625</v>
      </c>
      <c r="C16" s="481" t="s">
        <v>700</v>
      </c>
      <c r="D16" s="471"/>
      <c r="E16" s="472" t="s">
        <v>626</v>
      </c>
      <c r="F16" s="481" t="s">
        <v>436</v>
      </c>
      <c r="G16" s="471"/>
      <c r="H16" s="485" t="s">
        <v>627</v>
      </c>
      <c r="I16" s="486" t="s">
        <v>381</v>
      </c>
      <c r="J16" s="471"/>
      <c r="K16" s="471"/>
      <c r="L16" s="472" t="s">
        <v>628</v>
      </c>
      <c r="M16" s="482" t="s">
        <v>629</v>
      </c>
      <c r="N16" s="448"/>
    </row>
    <row r="17" spans="1:14" ht="12.95" customHeight="1">
      <c r="A17" s="480"/>
      <c r="B17" s="472" t="s">
        <v>630</v>
      </c>
      <c r="C17" s="473" t="s">
        <v>706</v>
      </c>
      <c r="D17" s="471"/>
      <c r="E17" s="472"/>
      <c r="F17" s="483"/>
      <c r="G17" s="471"/>
      <c r="H17" s="472" t="s">
        <v>631</v>
      </c>
      <c r="I17" s="486" t="s">
        <v>175</v>
      </c>
      <c r="J17" s="471"/>
      <c r="K17" s="471"/>
      <c r="L17" s="472"/>
      <c r="M17" s="487"/>
      <c r="N17" s="448"/>
    </row>
    <row r="18" spans="1:14" ht="12.95" customHeight="1" thickBot="1">
      <c r="A18" s="488"/>
      <c r="B18" s="489" t="s">
        <v>632</v>
      </c>
      <c r="C18" s="490" t="s">
        <v>175</v>
      </c>
      <c r="D18" s="491"/>
      <c r="E18" s="489" t="s">
        <v>633</v>
      </c>
      <c r="F18" s="490" t="s">
        <v>175</v>
      </c>
      <c r="G18" s="492"/>
      <c r="H18" s="489" t="s">
        <v>634</v>
      </c>
      <c r="I18" s="490" t="s">
        <v>175</v>
      </c>
      <c r="J18" s="491"/>
      <c r="K18" s="491"/>
      <c r="L18" s="491"/>
      <c r="M18" s="493"/>
      <c r="N18" s="448"/>
    </row>
    <row r="19" spans="1:14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14" ht="20.100000000000001" customHeight="1" thickBot="1">
      <c r="A20" s="477"/>
      <c r="B20" s="478"/>
      <c r="C20" s="478"/>
      <c r="D20" s="478"/>
      <c r="E20" s="478"/>
      <c r="F20" s="478"/>
      <c r="G20" s="478"/>
      <c r="H20" s="478"/>
      <c r="I20" s="478"/>
      <c r="J20" s="478"/>
      <c r="K20" s="478"/>
      <c r="L20" s="478"/>
      <c r="M20" s="479"/>
    </row>
    <row r="21" spans="1:14" ht="15.95" customHeight="1" thickTop="1">
      <c r="A21" s="494" t="s">
        <v>635</v>
      </c>
      <c r="B21" s="495"/>
      <c r="C21" s="469"/>
      <c r="D21" s="496"/>
      <c r="E21" s="497" t="s">
        <v>636</v>
      </c>
      <c r="F21" s="498"/>
      <c r="G21" s="498"/>
      <c r="H21" s="499"/>
      <c r="I21" s="500" t="s">
        <v>637</v>
      </c>
      <c r="J21" s="498"/>
      <c r="K21" s="498"/>
      <c r="L21" s="469"/>
      <c r="M21" s="501"/>
    </row>
    <row r="22" spans="1:14" ht="15.95" customHeight="1">
      <c r="A22" s="502"/>
      <c r="B22" s="471"/>
      <c r="C22" s="472" t="s">
        <v>638</v>
      </c>
      <c r="D22" s="503">
        <v>340</v>
      </c>
      <c r="E22" s="472"/>
      <c r="G22" s="485" t="s">
        <v>639</v>
      </c>
      <c r="H22" s="504">
        <v>588</v>
      </c>
      <c r="I22" s="472"/>
      <c r="J22" s="471"/>
      <c r="K22" s="472" t="s">
        <v>640</v>
      </c>
      <c r="L22" s="471" t="s">
        <v>641</v>
      </c>
      <c r="M22" s="487"/>
    </row>
    <row r="23" spans="1:14" ht="15.95" customHeight="1">
      <c r="A23" s="502"/>
      <c r="B23" s="472"/>
      <c r="C23" s="475"/>
      <c r="D23" s="505"/>
      <c r="E23" s="472"/>
      <c r="G23" s="472" t="s">
        <v>642</v>
      </c>
      <c r="H23" s="503">
        <v>185</v>
      </c>
      <c r="I23" s="471"/>
      <c r="J23" s="471"/>
      <c r="K23" s="472" t="s">
        <v>643</v>
      </c>
      <c r="L23" s="471" t="s">
        <v>641</v>
      </c>
      <c r="M23" s="487"/>
    </row>
    <row r="24" spans="1:14" ht="15.95" customHeight="1">
      <c r="A24" s="480"/>
      <c r="B24" s="472"/>
      <c r="C24" s="471"/>
      <c r="D24" s="505"/>
      <c r="E24" s="472"/>
      <c r="G24" s="485" t="s">
        <v>644</v>
      </c>
      <c r="H24" s="503">
        <v>235</v>
      </c>
      <c r="I24" s="471"/>
      <c r="J24" s="472"/>
      <c r="K24" s="471"/>
      <c r="L24" s="471"/>
      <c r="M24" s="487"/>
    </row>
    <row r="25" spans="1:14" ht="15.95" customHeight="1" thickBot="1">
      <c r="A25" s="488"/>
      <c r="B25" s="489"/>
      <c r="C25" s="491"/>
      <c r="D25" s="506"/>
      <c r="E25" s="489"/>
      <c r="F25" s="489"/>
      <c r="G25" s="489"/>
      <c r="H25" s="507"/>
      <c r="I25" s="491"/>
      <c r="J25" s="489"/>
      <c r="K25" s="491"/>
      <c r="L25" s="491"/>
      <c r="M25" s="493"/>
    </row>
    <row r="26" spans="1:14" ht="18.95" customHeight="1" thickBot="1">
      <c r="A26" s="467"/>
      <c r="B26" s="467"/>
      <c r="C26" s="467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</row>
    <row r="27" spans="1:14" ht="20.100000000000001" customHeight="1" thickBot="1">
      <c r="A27" s="508"/>
      <c r="B27" s="509"/>
      <c r="C27" s="509"/>
      <c r="D27" s="509"/>
      <c r="E27" s="509"/>
      <c r="F27" s="509"/>
      <c r="G27" s="510"/>
      <c r="H27" s="509"/>
      <c r="I27" s="509"/>
      <c r="J27" s="509"/>
      <c r="K27" s="509"/>
      <c r="L27" s="509"/>
      <c r="M27" s="511"/>
    </row>
    <row r="28" spans="1:14" ht="15.95" customHeight="1" thickTop="1">
      <c r="A28" s="512" t="s">
        <v>645</v>
      </c>
      <c r="B28" s="495"/>
      <c r="C28" s="469"/>
      <c r="D28" s="469"/>
      <c r="E28" s="498"/>
      <c r="F28" s="498"/>
      <c r="G28" s="513"/>
      <c r="H28" s="497" t="s">
        <v>646</v>
      </c>
      <c r="I28" s="498"/>
      <c r="J28" s="498"/>
      <c r="K28" s="497"/>
      <c r="L28" s="498"/>
      <c r="M28" s="501"/>
    </row>
    <row r="29" spans="1:14" ht="15.95" customHeight="1">
      <c r="A29" s="480"/>
      <c r="B29" s="472"/>
      <c r="C29" s="472" t="s">
        <v>647</v>
      </c>
      <c r="D29" s="514">
        <v>94.3</v>
      </c>
      <c r="E29" s="472"/>
      <c r="F29" s="472"/>
      <c r="G29" s="513"/>
      <c r="H29" s="485"/>
      <c r="I29" s="472"/>
      <c r="J29" s="472" t="s">
        <v>647</v>
      </c>
      <c r="K29" s="514">
        <v>87.7</v>
      </c>
      <c r="L29" s="471"/>
      <c r="M29" s="487"/>
    </row>
    <row r="30" spans="1:14" ht="15.95" customHeight="1">
      <c r="A30" s="515"/>
      <c r="B30" s="471"/>
      <c r="C30" s="472" t="s">
        <v>648</v>
      </c>
      <c r="D30" s="514">
        <v>93.3</v>
      </c>
      <c r="E30" s="472"/>
      <c r="F30" s="472"/>
      <c r="G30" s="513"/>
      <c r="H30" s="472"/>
      <c r="I30" s="471"/>
      <c r="J30" s="472" t="s">
        <v>648</v>
      </c>
      <c r="K30" s="514">
        <v>85.8</v>
      </c>
      <c r="L30" s="471"/>
      <c r="M30" s="487"/>
    </row>
    <row r="31" spans="1:14" ht="15.95" customHeight="1">
      <c r="A31" s="480"/>
      <c r="B31" s="472"/>
      <c r="C31" s="472" t="s">
        <v>649</v>
      </c>
      <c r="D31" s="514">
        <v>91.2</v>
      </c>
      <c r="E31" s="472"/>
      <c r="F31" s="472"/>
      <c r="G31" s="513"/>
      <c r="H31" s="472"/>
      <c r="I31" s="471"/>
      <c r="J31" s="472" t="s">
        <v>649</v>
      </c>
      <c r="K31" s="514">
        <v>80.2</v>
      </c>
      <c r="L31" s="472"/>
      <c r="M31" s="487"/>
    </row>
    <row r="32" spans="1:14" ht="15.95" customHeight="1" thickBot="1">
      <c r="A32" s="488"/>
      <c r="B32" s="489"/>
      <c r="C32" s="491"/>
      <c r="D32" s="491"/>
      <c r="E32" s="489"/>
      <c r="F32" s="489"/>
      <c r="G32" s="516"/>
      <c r="H32" s="489"/>
      <c r="I32" s="491"/>
      <c r="J32" s="489"/>
      <c r="K32" s="491"/>
      <c r="L32" s="489"/>
      <c r="M32" s="493"/>
    </row>
    <row r="33" spans="1:14" ht="20.100000000000001" customHeight="1" thickBot="1">
      <c r="A33" s="517"/>
      <c r="B33" s="517"/>
      <c r="C33" s="517"/>
      <c r="D33" s="517"/>
      <c r="E33" s="517"/>
      <c r="F33" s="517"/>
      <c r="G33" s="517"/>
      <c r="H33" s="517"/>
      <c r="I33" s="517"/>
      <c r="J33" s="517"/>
      <c r="K33" s="517"/>
      <c r="L33" s="517"/>
      <c r="M33" s="517"/>
      <c r="N33" s="517"/>
    </row>
    <row r="34" spans="1:14" ht="20.100000000000001" customHeight="1" thickBot="1">
      <c r="A34" s="518"/>
      <c r="B34" s="519"/>
      <c r="C34" s="519"/>
      <c r="D34" s="519"/>
      <c r="E34" s="519"/>
      <c r="F34" s="519"/>
      <c r="G34" s="519"/>
      <c r="H34" s="519"/>
      <c r="I34" s="519"/>
      <c r="J34" s="519"/>
      <c r="K34" s="519"/>
      <c r="L34" s="519"/>
      <c r="M34" s="520"/>
    </row>
    <row r="35" spans="1:14" ht="15.95" customHeight="1" thickTop="1">
      <c r="A35" s="521" t="s">
        <v>650</v>
      </c>
      <c r="B35" s="475"/>
      <c r="C35" s="475"/>
      <c r="D35" s="475"/>
      <c r="E35" s="475"/>
      <c r="F35" s="475"/>
      <c r="G35" s="475"/>
      <c r="H35" s="475"/>
      <c r="I35" s="475"/>
      <c r="J35" s="475"/>
      <c r="K35" s="475"/>
      <c r="L35" s="475"/>
      <c r="M35" s="522"/>
    </row>
    <row r="36" spans="1:14" ht="15.95" customHeight="1">
      <c r="A36" s="515" t="s">
        <v>651</v>
      </c>
      <c r="B36" s="475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522"/>
    </row>
    <row r="37" spans="1:14" ht="15.95" customHeight="1">
      <c r="A37" s="523" t="s">
        <v>652</v>
      </c>
      <c r="B37" s="475"/>
      <c r="C37" s="475"/>
      <c r="D37" s="475"/>
      <c r="E37" s="524"/>
      <c r="F37" s="475"/>
      <c r="G37" s="475"/>
      <c r="H37" s="475"/>
      <c r="I37" s="475"/>
      <c r="J37" s="475"/>
      <c r="K37" s="475"/>
      <c r="L37" s="475"/>
      <c r="M37" s="522"/>
    </row>
    <row r="38" spans="1:14" ht="15.95" customHeight="1">
      <c r="A38" s="525" t="s">
        <v>653</v>
      </c>
      <c r="B38" s="475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522"/>
    </row>
    <row r="39" spans="1:14" ht="15.95" customHeight="1">
      <c r="A39" s="526" t="s">
        <v>654</v>
      </c>
      <c r="B39" s="475"/>
      <c r="C39" s="475"/>
      <c r="D39" s="475"/>
      <c r="E39" s="475"/>
      <c r="F39" s="475"/>
      <c r="G39" s="475"/>
      <c r="H39" s="475"/>
      <c r="I39" s="475"/>
      <c r="J39" s="475"/>
      <c r="K39" s="475"/>
      <c r="L39" s="475"/>
      <c r="M39" s="522"/>
    </row>
    <row r="40" spans="1:14" ht="15.95" customHeight="1" thickBot="1">
      <c r="A40" s="527" t="s">
        <v>655</v>
      </c>
      <c r="B40" s="528"/>
      <c r="C40" s="528"/>
      <c r="D40" s="528"/>
      <c r="E40" s="528"/>
      <c r="F40" s="528"/>
      <c r="G40" s="528"/>
      <c r="H40" s="528"/>
      <c r="I40" s="528"/>
      <c r="J40" s="528"/>
      <c r="K40" s="528"/>
      <c r="L40" s="528"/>
      <c r="M40" s="529"/>
    </row>
    <row r="41" spans="1:14" ht="15.95" customHeight="1"/>
    <row r="42" spans="1:14" ht="18">
      <c r="A42" s="530"/>
      <c r="B42" s="530"/>
      <c r="C42" s="530"/>
      <c r="D42" s="530"/>
      <c r="E42" s="530"/>
      <c r="F42" s="530"/>
      <c r="G42" s="530"/>
      <c r="H42" s="448"/>
      <c r="I42" s="448"/>
      <c r="J42" s="531" t="s">
        <v>656</v>
      </c>
      <c r="K42" s="827" t="s">
        <v>657</v>
      </c>
      <c r="L42" s="827"/>
      <c r="M42" s="827"/>
      <c r="N42" s="530"/>
    </row>
    <row r="43" spans="1:14" ht="7.5" customHeight="1">
      <c r="H43" s="448"/>
      <c r="I43" s="448"/>
      <c r="J43" s="448"/>
      <c r="K43" s="448"/>
      <c r="L43" s="448"/>
      <c r="M43" s="448"/>
    </row>
    <row r="44" spans="1:14" ht="16.5">
      <c r="H44" s="448"/>
      <c r="I44" s="448"/>
      <c r="J44" s="531" t="s">
        <v>658</v>
      </c>
      <c r="K44" s="828">
        <v>45012</v>
      </c>
      <c r="L44" s="828"/>
      <c r="M44" s="828"/>
    </row>
    <row r="59" spans="1:5">
      <c r="A59" s="449" t="s">
        <v>175</v>
      </c>
      <c r="B59" s="449" t="s">
        <v>659</v>
      </c>
      <c r="D59" s="449">
        <v>1</v>
      </c>
      <c r="E59" s="532" t="s">
        <v>175</v>
      </c>
    </row>
    <row r="60" spans="1:5">
      <c r="A60" s="449" t="s">
        <v>660</v>
      </c>
      <c r="B60" s="449" t="s">
        <v>661</v>
      </c>
      <c r="D60" s="449">
        <v>1.1499999999999999</v>
      </c>
      <c r="E60" s="532" t="s">
        <v>184</v>
      </c>
    </row>
    <row r="61" spans="1:5">
      <c r="A61" s="449" t="s">
        <v>662</v>
      </c>
      <c r="B61" s="449" t="s">
        <v>663</v>
      </c>
      <c r="E61" s="532" t="s">
        <v>318</v>
      </c>
    </row>
    <row r="62" spans="1:5">
      <c r="B62" s="449" t="s">
        <v>664</v>
      </c>
    </row>
    <row r="63" spans="1:5">
      <c r="B63" s="449" t="s">
        <v>665</v>
      </c>
    </row>
    <row r="64" spans="1:5">
      <c r="B64" s="449" t="s">
        <v>666</v>
      </c>
    </row>
    <row r="65" spans="2:2">
      <c r="B65" s="449" t="s">
        <v>667</v>
      </c>
    </row>
    <row r="66" spans="2:2">
      <c r="B66" s="449" t="s">
        <v>668</v>
      </c>
    </row>
    <row r="67" spans="2:2">
      <c r="B67" s="449" t="s">
        <v>669</v>
      </c>
    </row>
    <row r="68" spans="2:2">
      <c r="B68" s="449" t="s">
        <v>670</v>
      </c>
    </row>
    <row r="69" spans="2:2">
      <c r="B69" s="449" t="s">
        <v>671</v>
      </c>
    </row>
    <row r="70" spans="2:2">
      <c r="B70" s="449" t="s">
        <v>672</v>
      </c>
    </row>
    <row r="71" spans="2:2">
      <c r="B71" s="449" t="s">
        <v>673</v>
      </c>
    </row>
    <row r="72" spans="2:2">
      <c r="B72" s="449" t="s">
        <v>674</v>
      </c>
    </row>
    <row r="73" spans="2:2">
      <c r="B73" s="449" t="s">
        <v>675</v>
      </c>
    </row>
    <row r="74" spans="2:2">
      <c r="B74" s="449" t="s">
        <v>676</v>
      </c>
    </row>
    <row r="75" spans="2:2">
      <c r="B75" s="449" t="s">
        <v>677</v>
      </c>
    </row>
    <row r="76" spans="2:2">
      <c r="B76" s="449" t="s">
        <v>678</v>
      </c>
    </row>
    <row r="77" spans="2:2">
      <c r="B77" s="449" t="s">
        <v>679</v>
      </c>
    </row>
    <row r="78" spans="2:2">
      <c r="B78" s="449" t="s">
        <v>680</v>
      </c>
    </row>
    <row r="79" spans="2:2">
      <c r="B79" s="449" t="s">
        <v>681</v>
      </c>
    </row>
    <row r="80" spans="2:2">
      <c r="B80" s="449">
        <v>6312</v>
      </c>
    </row>
    <row r="81" spans="2:2">
      <c r="B81" s="449" t="s">
        <v>682</v>
      </c>
    </row>
    <row r="82" spans="2:2">
      <c r="B82" s="449" t="s">
        <v>683</v>
      </c>
    </row>
    <row r="83" spans="2:2">
      <c r="B83" s="449" t="s">
        <v>684</v>
      </c>
    </row>
    <row r="84" spans="2:2">
      <c r="B84" s="449" t="s">
        <v>685</v>
      </c>
    </row>
    <row r="85" spans="2:2">
      <c r="B85" s="449">
        <v>6313</v>
      </c>
    </row>
    <row r="86" spans="2:2">
      <c r="B86" s="449" t="s">
        <v>686</v>
      </c>
    </row>
    <row r="87" spans="2:2">
      <c r="B87" s="449" t="s">
        <v>687</v>
      </c>
    </row>
    <row r="88" spans="2:2">
      <c r="B88" s="449" t="s">
        <v>688</v>
      </c>
    </row>
    <row r="89" spans="2:2">
      <c r="B89" s="449">
        <v>6314</v>
      </c>
    </row>
    <row r="90" spans="2:2">
      <c r="B90" s="449" t="s">
        <v>689</v>
      </c>
    </row>
    <row r="91" spans="2:2">
      <c r="B91" s="449">
        <v>6317</v>
      </c>
    </row>
    <row r="92" spans="2:2">
      <c r="B92" s="449" t="s">
        <v>690</v>
      </c>
    </row>
    <row r="93" spans="2:2">
      <c r="B93" s="449">
        <v>6318</v>
      </c>
    </row>
    <row r="94" spans="2:2">
      <c r="B94" s="449" t="s">
        <v>691</v>
      </c>
    </row>
    <row r="95" spans="2:2">
      <c r="B95" s="449" t="s">
        <v>692</v>
      </c>
    </row>
    <row r="96" spans="2:2">
      <c r="B96" s="449" t="s">
        <v>693</v>
      </c>
    </row>
    <row r="97" spans="2:2">
      <c r="B97" s="449">
        <v>6320</v>
      </c>
    </row>
    <row r="98" spans="2:2">
      <c r="B98" s="449" t="s">
        <v>694</v>
      </c>
    </row>
    <row r="99" spans="2:2">
      <c r="B99" s="449" t="s">
        <v>695</v>
      </c>
    </row>
    <row r="100" spans="2:2">
      <c r="B100" s="449" t="s">
        <v>696</v>
      </c>
    </row>
    <row r="101" spans="2:2">
      <c r="B101" s="449" t="s">
        <v>697</v>
      </c>
    </row>
    <row r="102" spans="2:2">
      <c r="B102" s="449" t="s">
        <v>697</v>
      </c>
    </row>
    <row r="118" spans="2:2">
      <c r="B118" s="449" t="s">
        <v>698</v>
      </c>
    </row>
    <row r="120" spans="2:2">
      <c r="B120" s="449" t="s">
        <v>699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L67"/>
  <sheetViews>
    <sheetView workbookViewId="0">
      <selection activeCell="H21" sqref="H21"/>
    </sheetView>
  </sheetViews>
  <sheetFormatPr defaultColWidth="9.140625" defaultRowHeight="12.75"/>
  <cols>
    <col min="1" max="6" width="16.7109375" style="382" customWidth="1"/>
    <col min="7" max="16384" width="9.140625" style="382"/>
  </cols>
  <sheetData>
    <row r="1" spans="1:6" ht="18.95" customHeight="1">
      <c r="A1" s="394"/>
      <c r="B1" s="395"/>
      <c r="C1" s="395"/>
      <c r="D1" s="395"/>
      <c r="E1" s="395"/>
      <c r="F1" s="396"/>
    </row>
    <row r="2" spans="1:6" ht="26.1" customHeight="1">
      <c r="A2" s="397" t="s">
        <v>267</v>
      </c>
      <c r="B2" s="398"/>
      <c r="C2" s="398"/>
      <c r="D2" s="398"/>
      <c r="E2" s="398"/>
      <c r="F2" s="399"/>
    </row>
    <row r="3" spans="1:6" ht="18.95" customHeight="1">
      <c r="A3" s="400" t="s">
        <v>563</v>
      </c>
      <c r="B3" s="398"/>
      <c r="C3" s="398"/>
      <c r="D3" s="398"/>
      <c r="E3" s="398"/>
      <c r="F3" s="399"/>
    </row>
    <row r="4" spans="1:6" ht="18.95" customHeight="1">
      <c r="A4" s="401"/>
      <c r="B4" s="402"/>
      <c r="C4" s="402"/>
      <c r="D4" s="402"/>
      <c r="E4" s="402"/>
      <c r="F4" s="403"/>
    </row>
    <row r="5" spans="1:6" ht="18.95" customHeight="1">
      <c r="A5" s="401"/>
      <c r="B5" s="402"/>
      <c r="C5" s="402"/>
      <c r="D5" s="402"/>
      <c r="E5" s="402"/>
      <c r="F5" s="403"/>
    </row>
    <row r="6" spans="1:6" ht="18.95" customHeight="1">
      <c r="A6" s="404" t="s">
        <v>564</v>
      </c>
      <c r="B6" s="829" t="str">
        <f>'Performance Data Sheet'!C17</f>
        <v>GP-10011492</v>
      </c>
      <c r="C6" s="830"/>
      <c r="D6" s="831"/>
      <c r="E6" s="404" t="s">
        <v>565</v>
      </c>
      <c r="F6" s="405" t="str">
        <f>'Performance Data Sheet'!I14 &amp; " A"</f>
        <v>52 A</v>
      </c>
    </row>
    <row r="7" spans="1:6" ht="18.95" customHeight="1">
      <c r="A7" s="404" t="s">
        <v>566</v>
      </c>
      <c r="B7" s="405" t="str">
        <f>'Performance Data Sheet'!F14</f>
        <v>TEFC</v>
      </c>
      <c r="C7" s="404" t="s">
        <v>567</v>
      </c>
      <c r="D7" s="405" t="str">
        <f>'Performance Data Sheet'!F13 &amp; " V"</f>
        <v>4000 V</v>
      </c>
      <c r="E7" s="404" t="s">
        <v>568</v>
      </c>
      <c r="F7" s="405" t="str">
        <f>'Performance Data Sheet'!C14</f>
        <v>5011UZ</v>
      </c>
    </row>
    <row r="8" spans="1:6" ht="18.95" customHeight="1">
      <c r="A8" s="404" t="s">
        <v>569</v>
      </c>
      <c r="B8" s="405">
        <v>2</v>
      </c>
      <c r="C8" s="404" t="s">
        <v>570</v>
      </c>
      <c r="D8" s="405" t="s">
        <v>571</v>
      </c>
      <c r="E8" s="404" t="s">
        <v>572</v>
      </c>
      <c r="F8" s="405" t="str">
        <f>'Performance Data Sheet'!M15</f>
        <v>F</v>
      </c>
    </row>
    <row r="9" spans="1:6" ht="18.95" customHeight="1">
      <c r="A9" s="404" t="s">
        <v>573</v>
      </c>
      <c r="B9" s="405">
        <f>'Performance Data Sheet'!C13</f>
        <v>400</v>
      </c>
      <c r="C9" s="404" t="s">
        <v>574</v>
      </c>
      <c r="D9" s="405" t="s">
        <v>584</v>
      </c>
      <c r="E9" s="404" t="s">
        <v>2</v>
      </c>
      <c r="F9" s="406">
        <f>'Performance Data Sheet'!K44</f>
        <v>45012</v>
      </c>
    </row>
    <row r="10" spans="1:6" ht="18.95" customHeight="1">
      <c r="A10" s="404" t="s">
        <v>575</v>
      </c>
      <c r="B10" s="405">
        <f>'Performance Data Sheet'!M14</f>
        <v>3575</v>
      </c>
      <c r="C10" s="404" t="s">
        <v>395</v>
      </c>
      <c r="D10" s="405" t="s">
        <v>585</v>
      </c>
      <c r="E10" s="404" t="s">
        <v>1</v>
      </c>
      <c r="F10" s="405" t="s">
        <v>377</v>
      </c>
    </row>
    <row r="11" spans="1:6" ht="18.95" customHeight="1">
      <c r="A11" s="401"/>
      <c r="B11" s="402"/>
      <c r="C11" s="402"/>
      <c r="D11" s="402"/>
      <c r="E11" s="402"/>
      <c r="F11" s="403"/>
    </row>
    <row r="12" spans="1:6" ht="18.95" customHeight="1">
      <c r="A12" s="401"/>
      <c r="B12" s="407" t="s">
        <v>576</v>
      </c>
      <c r="C12" s="408" t="str">
        <f>'Performance Data Sheet'!D22 &amp; " A"</f>
        <v>340 A</v>
      </c>
      <c r="D12" s="407" t="s">
        <v>394</v>
      </c>
      <c r="E12" s="408" t="s">
        <v>398</v>
      </c>
      <c r="F12" s="403"/>
    </row>
    <row r="13" spans="1:6" ht="18.95" customHeight="1">
      <c r="A13" s="401"/>
      <c r="B13" s="407" t="s">
        <v>577</v>
      </c>
      <c r="C13" s="409">
        <f>'Performance Data Sheet'!H23/100</f>
        <v>1.85</v>
      </c>
      <c r="D13" s="407" t="s">
        <v>578</v>
      </c>
      <c r="E13" s="408" t="s">
        <v>586</v>
      </c>
      <c r="F13" s="403"/>
    </row>
    <row r="14" spans="1:6" ht="18.95" customHeight="1">
      <c r="A14" s="401"/>
      <c r="B14" s="407" t="s">
        <v>579</v>
      </c>
      <c r="C14" s="409">
        <v>2.35</v>
      </c>
      <c r="D14" s="407" t="s">
        <v>396</v>
      </c>
      <c r="E14" s="408" t="s">
        <v>401</v>
      </c>
      <c r="F14" s="403"/>
    </row>
    <row r="15" spans="1:6" ht="18.95" customHeight="1">
      <c r="A15" s="401"/>
      <c r="B15" s="407" t="s">
        <v>397</v>
      </c>
      <c r="C15" s="408" t="str">
        <f>'Performance Data Sheet'!H22 &amp; " lb-ft"</f>
        <v>588 lb-ft</v>
      </c>
      <c r="D15" s="402"/>
      <c r="E15" s="402"/>
      <c r="F15" s="403"/>
    </row>
    <row r="16" spans="1:6" ht="18.95" customHeight="1">
      <c r="A16" s="401"/>
      <c r="B16" s="402"/>
      <c r="C16" s="402"/>
      <c r="D16" s="402"/>
      <c r="E16" s="402"/>
      <c r="F16" s="403"/>
    </row>
    <row r="17" spans="1:6" ht="18.95" customHeight="1">
      <c r="A17" s="401"/>
      <c r="B17" s="402"/>
      <c r="C17" s="402"/>
      <c r="D17" s="402"/>
      <c r="E17" s="402"/>
      <c r="F17" s="403"/>
    </row>
    <row r="18" spans="1:6" ht="18.95" customHeight="1">
      <c r="A18" s="401"/>
      <c r="B18" s="402"/>
      <c r="C18" s="402"/>
      <c r="D18" s="402"/>
      <c r="E18" s="402"/>
      <c r="F18" s="403"/>
    </row>
    <row r="19" spans="1:6" ht="18.95" customHeight="1">
      <c r="A19" s="401"/>
      <c r="B19" s="402"/>
      <c r="C19" s="402"/>
      <c r="D19" s="402"/>
      <c r="E19" s="402"/>
      <c r="F19" s="403"/>
    </row>
    <row r="20" spans="1:6" ht="18.95" customHeight="1">
      <c r="A20" s="401"/>
      <c r="B20" s="402"/>
      <c r="C20" s="402"/>
      <c r="D20" s="402"/>
      <c r="E20" s="402"/>
      <c r="F20" s="403"/>
    </row>
    <row r="21" spans="1:6" ht="18.95" customHeight="1">
      <c r="A21" s="401"/>
      <c r="B21" s="402"/>
      <c r="C21" s="402"/>
      <c r="D21" s="402"/>
      <c r="E21" s="402"/>
      <c r="F21" s="403"/>
    </row>
    <row r="22" spans="1:6" ht="18.95" customHeight="1">
      <c r="A22" s="401"/>
      <c r="B22" s="402"/>
      <c r="C22" s="402"/>
      <c r="D22" s="402"/>
      <c r="E22" s="402"/>
      <c r="F22" s="403"/>
    </row>
    <row r="23" spans="1:6" ht="18.95" customHeight="1">
      <c r="A23" s="401"/>
      <c r="B23" s="402"/>
      <c r="C23" s="402"/>
      <c r="D23" s="402"/>
      <c r="E23" s="402"/>
      <c r="F23" s="403"/>
    </row>
    <row r="24" spans="1:6" ht="18.95" customHeight="1">
      <c r="A24" s="401"/>
      <c r="B24" s="402"/>
      <c r="C24" s="402"/>
      <c r="D24" s="402"/>
      <c r="E24" s="402"/>
      <c r="F24" s="403"/>
    </row>
    <row r="25" spans="1:6" ht="18.95" customHeight="1">
      <c r="A25" s="401"/>
      <c r="B25" s="402"/>
      <c r="C25" s="402"/>
      <c r="D25" s="402"/>
      <c r="E25" s="402"/>
      <c r="F25" s="403"/>
    </row>
    <row r="26" spans="1:6" ht="18.95" customHeight="1">
      <c r="A26" s="401"/>
      <c r="B26" s="402"/>
      <c r="C26" s="402"/>
      <c r="D26" s="402"/>
      <c r="E26" s="402"/>
      <c r="F26" s="403"/>
    </row>
    <row r="27" spans="1:6" ht="18.95" customHeight="1">
      <c r="A27" s="401"/>
      <c r="B27" s="402"/>
      <c r="C27" s="402"/>
      <c r="D27" s="402"/>
      <c r="E27" s="402"/>
      <c r="F27" s="403"/>
    </row>
    <row r="28" spans="1:6" ht="18.95" customHeight="1">
      <c r="A28" s="401"/>
      <c r="B28" s="402"/>
      <c r="C28" s="402"/>
      <c r="D28" s="402"/>
      <c r="E28" s="402"/>
      <c r="F28" s="403"/>
    </row>
    <row r="29" spans="1:6" ht="18.95" customHeight="1">
      <c r="A29" s="401"/>
      <c r="B29" s="402"/>
      <c r="C29" s="402"/>
      <c r="D29" s="402"/>
      <c r="E29" s="402"/>
      <c r="F29" s="403"/>
    </row>
    <row r="30" spans="1:6" ht="18.95" customHeight="1">
      <c r="A30" s="401"/>
      <c r="B30" s="402"/>
      <c r="C30" s="402"/>
      <c r="D30" s="402"/>
      <c r="E30" s="402"/>
      <c r="F30" s="403"/>
    </row>
    <row r="31" spans="1:6" ht="18.95" customHeight="1">
      <c r="A31" s="401"/>
      <c r="B31" s="402"/>
      <c r="C31" s="402"/>
      <c r="D31" s="402"/>
      <c r="E31" s="402"/>
      <c r="F31" s="403"/>
    </row>
    <row r="32" spans="1:6" ht="18.95" customHeight="1">
      <c r="A32" s="401"/>
      <c r="B32" s="402"/>
      <c r="C32" s="402"/>
      <c r="D32" s="402"/>
      <c r="E32" s="402"/>
      <c r="F32" s="403"/>
    </row>
    <row r="33" spans="1:6" ht="18.95" customHeight="1">
      <c r="A33" s="401"/>
      <c r="B33" s="402"/>
      <c r="C33" s="402"/>
      <c r="D33" s="402"/>
      <c r="E33" s="402"/>
      <c r="F33" s="403"/>
    </row>
    <row r="34" spans="1:6" ht="18.95" customHeight="1">
      <c r="A34" s="401"/>
      <c r="B34" s="402"/>
      <c r="C34" s="402"/>
      <c r="D34" s="402"/>
      <c r="E34" s="402"/>
      <c r="F34" s="403"/>
    </row>
    <row r="35" spans="1:6" ht="18.95" customHeight="1">
      <c r="A35" s="401"/>
      <c r="B35" s="402"/>
      <c r="C35" s="402"/>
      <c r="D35" s="402"/>
      <c r="E35" s="402"/>
      <c r="F35" s="403"/>
    </row>
    <row r="36" spans="1:6" ht="18.95" customHeight="1">
      <c r="A36" s="401"/>
      <c r="B36" s="402"/>
      <c r="C36" s="402"/>
      <c r="D36" s="402"/>
      <c r="E36" s="402"/>
      <c r="F36" s="403"/>
    </row>
    <row r="37" spans="1:6" ht="18.95" customHeight="1">
      <c r="A37" s="401"/>
      <c r="B37" s="402"/>
      <c r="C37" s="402"/>
      <c r="D37" s="402"/>
      <c r="E37" s="402"/>
      <c r="F37" s="403"/>
    </row>
    <row r="38" spans="1:6" ht="18.95" customHeight="1">
      <c r="A38" s="401"/>
      <c r="B38" s="402"/>
      <c r="C38" s="402"/>
      <c r="D38" s="402"/>
      <c r="E38" s="402"/>
      <c r="F38" s="403"/>
    </row>
    <row r="39" spans="1:6" ht="18.95" customHeight="1">
      <c r="A39" s="410" t="s">
        <v>580</v>
      </c>
      <c r="B39" s="411" t="s">
        <v>368</v>
      </c>
      <c r="C39" s="533" t="str">
        <f>'Performance Data Sheet'!C10</f>
        <v>2103004.1</v>
      </c>
      <c r="D39" s="402"/>
      <c r="E39" s="407" t="s">
        <v>581</v>
      </c>
      <c r="F39" s="412" t="str">
        <f>F10</f>
        <v>RF2400</v>
      </c>
    </row>
    <row r="40" spans="1:6" ht="18.95" customHeight="1">
      <c r="A40" s="401"/>
      <c r="B40" s="411"/>
      <c r="C40" s="411"/>
      <c r="D40" s="402"/>
      <c r="E40" s="402"/>
      <c r="F40" s="403"/>
    </row>
    <row r="41" spans="1:6" ht="18.95" customHeight="1">
      <c r="A41" s="401"/>
      <c r="B41" s="411"/>
      <c r="C41" s="411"/>
      <c r="D41" s="402"/>
      <c r="E41" s="402"/>
      <c r="F41" s="403"/>
    </row>
    <row r="42" spans="1:6" ht="18.95" customHeight="1">
      <c r="A42" s="401"/>
      <c r="B42" s="402"/>
      <c r="C42" s="402"/>
      <c r="D42" s="402"/>
      <c r="E42" s="402"/>
      <c r="F42" s="403"/>
    </row>
    <row r="43" spans="1:6" ht="18.95" customHeight="1">
      <c r="A43" s="413"/>
      <c r="B43" s="411"/>
      <c r="C43" s="414" t="s">
        <v>582</v>
      </c>
      <c r="D43" s="415" t="str">
        <f>'Performance Data Sheet'!K42</f>
        <v>Zichao Xie</v>
      </c>
      <c r="E43" s="414" t="s">
        <v>583</v>
      </c>
      <c r="F43" s="41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2" t="s">
        <v>393</v>
      </c>
      <c r="E53" s="372"/>
      <c r="F53" s="372"/>
      <c r="G53" s="372"/>
      <c r="H53" s="372"/>
      <c r="I53" s="372"/>
      <c r="J53" s="372"/>
      <c r="K53" s="372"/>
      <c r="L53" s="372"/>
    </row>
    <row r="54" spans="1:12" ht="15" customHeight="1">
      <c r="A54" s="419">
        <v>100</v>
      </c>
      <c r="B54" s="372">
        <v>0</v>
      </c>
      <c r="C54" s="372">
        <v>0.25576719641685486</v>
      </c>
      <c r="D54" s="372">
        <v>100</v>
      </c>
      <c r="E54" s="372"/>
      <c r="F54" s="372"/>
      <c r="G54" s="372"/>
      <c r="H54" s="372"/>
      <c r="I54" s="372"/>
      <c r="J54" s="372"/>
      <c r="K54" s="372"/>
      <c r="L54" s="372"/>
    </row>
    <row r="55" spans="1:12" ht="15" customHeight="1">
      <c r="A55" s="419">
        <v>99.000000022351742</v>
      </c>
      <c r="B55" s="372">
        <v>139.28409642250509</v>
      </c>
      <c r="C55" s="372">
        <v>173.28054809570313</v>
      </c>
      <c r="D55" s="372">
        <v>98</v>
      </c>
      <c r="E55" s="372"/>
      <c r="F55" s="372"/>
      <c r="G55" s="372"/>
      <c r="H55" s="372"/>
      <c r="I55" s="372"/>
      <c r="J55" s="372"/>
      <c r="K55" s="372"/>
      <c r="L55" s="372"/>
    </row>
    <row r="56" spans="1:12" ht="15" customHeight="1">
      <c r="A56" s="419">
        <v>94.999999925494194</v>
      </c>
      <c r="B56" s="372">
        <v>235</v>
      </c>
      <c r="C56" s="372">
        <v>489.89398193359375</v>
      </c>
      <c r="D56" s="372">
        <v>87</v>
      </c>
      <c r="E56" s="372"/>
      <c r="F56" s="372"/>
      <c r="G56" s="372"/>
      <c r="H56" s="372"/>
      <c r="I56" s="372"/>
      <c r="J56" s="372"/>
      <c r="K56" s="372"/>
      <c r="L56" s="372"/>
    </row>
    <row r="57" spans="1:12">
      <c r="A57" s="419">
        <v>89.999999850988388</v>
      </c>
      <c r="B57" s="372">
        <v>177.8055944184859</v>
      </c>
      <c r="C57" s="372">
        <v>562.69683837890625</v>
      </c>
      <c r="D57" s="372">
        <v>74</v>
      </c>
      <c r="E57" s="372"/>
      <c r="F57" s="372"/>
      <c r="G57" s="372"/>
      <c r="H57" s="372"/>
      <c r="I57" s="372"/>
      <c r="J57" s="372"/>
      <c r="K57" s="372"/>
      <c r="L57" s="372"/>
    </row>
    <row r="58" spans="1:12">
      <c r="A58" s="419">
        <v>84.999999403953552</v>
      </c>
      <c r="B58" s="372">
        <v>156.69783865626175</v>
      </c>
      <c r="C58" s="372">
        <v>583.0435791015625</v>
      </c>
      <c r="D58" s="372">
        <v>61</v>
      </c>
      <c r="E58" s="372"/>
      <c r="F58" s="372"/>
      <c r="G58" s="372"/>
      <c r="H58" s="372"/>
      <c r="I58" s="372"/>
      <c r="J58" s="372"/>
      <c r="K58" s="372"/>
      <c r="L58" s="372"/>
    </row>
    <row r="59" spans="1:12">
      <c r="A59" s="419">
        <v>79.999999701976776</v>
      </c>
      <c r="B59" s="372">
        <v>151.90871094099472</v>
      </c>
      <c r="C59" s="372">
        <v>593.174072265625</v>
      </c>
      <c r="D59" s="372">
        <v>50</v>
      </c>
      <c r="E59" s="372"/>
      <c r="F59" s="372"/>
      <c r="G59" s="372"/>
      <c r="H59" s="372"/>
      <c r="I59" s="372"/>
      <c r="J59" s="372"/>
      <c r="K59" s="372"/>
      <c r="L59" s="372"/>
    </row>
    <row r="60" spans="1:12">
      <c r="A60" s="419">
        <v>69.999998807907104</v>
      </c>
      <c r="B60" s="372">
        <v>151.32391837877557</v>
      </c>
      <c r="C60" s="372">
        <v>605.94244384765625</v>
      </c>
      <c r="D60" s="372">
        <v>33</v>
      </c>
      <c r="E60" s="372"/>
      <c r="F60" s="372"/>
      <c r="G60" s="372"/>
      <c r="H60" s="372"/>
      <c r="I60" s="372"/>
      <c r="J60" s="372"/>
      <c r="K60" s="372"/>
      <c r="L60" s="372"/>
    </row>
    <row r="61" spans="1:12">
      <c r="A61" s="419">
        <v>59.999999403953552</v>
      </c>
      <c r="B61" s="372">
        <v>150.73165618240199</v>
      </c>
      <c r="C61" s="372">
        <v>616.10247802734375</v>
      </c>
      <c r="D61" s="372">
        <v>22</v>
      </c>
      <c r="E61" s="372"/>
      <c r="F61" s="372"/>
      <c r="G61" s="372"/>
      <c r="H61" s="372"/>
      <c r="I61" s="372"/>
      <c r="J61" s="372"/>
      <c r="K61" s="372"/>
      <c r="L61" s="372"/>
    </row>
    <row r="62" spans="1:12">
      <c r="A62" s="419">
        <v>50</v>
      </c>
      <c r="B62" s="372">
        <v>150</v>
      </c>
      <c r="C62" s="372">
        <v>624.82232666015625</v>
      </c>
      <c r="D62" s="372">
        <v>14</v>
      </c>
      <c r="E62" s="372"/>
      <c r="F62" s="372"/>
      <c r="G62" s="372"/>
      <c r="H62" s="372"/>
      <c r="I62" s="372"/>
      <c r="J62" s="372"/>
      <c r="K62" s="372"/>
      <c r="L62" s="372"/>
    </row>
    <row r="63" spans="1:12">
      <c r="A63" s="419">
        <v>39.999997615814209</v>
      </c>
      <c r="B63" s="372">
        <v>151.12655140284895</v>
      </c>
      <c r="C63" s="372">
        <v>632.78021240234375</v>
      </c>
      <c r="D63" s="372">
        <v>7.9999995231628418</v>
      </c>
      <c r="E63" s="372"/>
      <c r="F63" s="372"/>
      <c r="G63" s="372"/>
      <c r="H63" s="372"/>
      <c r="I63" s="372"/>
      <c r="J63" s="372"/>
      <c r="K63" s="372"/>
      <c r="L63" s="372"/>
    </row>
    <row r="64" spans="1:12">
      <c r="A64" s="419">
        <v>30.000001192092896</v>
      </c>
      <c r="B64" s="372">
        <v>153.77377818629304</v>
      </c>
      <c r="C64" s="372">
        <v>639.71600341796875</v>
      </c>
      <c r="D64" s="372">
        <v>5.9999995231628418</v>
      </c>
      <c r="E64" s="372"/>
      <c r="F64" s="372"/>
      <c r="G64" s="372"/>
      <c r="H64" s="372"/>
      <c r="I64" s="372"/>
      <c r="J64" s="372"/>
      <c r="K64" s="372"/>
      <c r="L64" s="372"/>
    </row>
    <row r="65" spans="1:12">
      <c r="A65" s="419">
        <v>19.999998807907104</v>
      </c>
      <c r="B65" s="372">
        <v>158.87231401933832</v>
      </c>
      <c r="C65" s="372">
        <v>645.5589599609375</v>
      </c>
      <c r="D65" s="372">
        <v>8.0000009536743164</v>
      </c>
      <c r="E65" s="372"/>
      <c r="F65" s="372"/>
      <c r="G65" s="372"/>
      <c r="H65" s="372"/>
      <c r="I65" s="372"/>
      <c r="J65" s="372"/>
      <c r="K65" s="372"/>
      <c r="L65" s="372"/>
    </row>
    <row r="66" spans="1:12">
      <c r="A66" s="419">
        <v>10.000002384185791</v>
      </c>
      <c r="B66" s="372">
        <v>168.23105766876694</v>
      </c>
      <c r="C66" s="372">
        <v>650.3880615234375</v>
      </c>
      <c r="D66" s="372">
        <v>14.999996185302734</v>
      </c>
      <c r="E66" s="372"/>
      <c r="F66" s="372"/>
      <c r="G66" s="372"/>
      <c r="H66" s="372"/>
      <c r="I66" s="372"/>
      <c r="J66" s="372"/>
      <c r="K66" s="372"/>
      <c r="L66" s="372"/>
    </row>
    <row r="67" spans="1:12">
      <c r="A67" s="420">
        <v>0</v>
      </c>
      <c r="B67" s="372">
        <v>185</v>
      </c>
      <c r="C67" s="372">
        <v>653.84619140625</v>
      </c>
      <c r="D67" s="372">
        <v>30</v>
      </c>
      <c r="E67" s="372"/>
      <c r="F67" s="372"/>
      <c r="G67" s="372"/>
      <c r="H67" s="372"/>
      <c r="I67" s="372"/>
      <c r="J67" s="372"/>
      <c r="K67" s="372"/>
      <c r="L67" s="372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I81"/>
  <sheetViews>
    <sheetView topLeftCell="A47" workbookViewId="0">
      <selection activeCell="H70" sqref="H70"/>
    </sheetView>
  </sheetViews>
  <sheetFormatPr defaultColWidth="9.140625" defaultRowHeight="12.75"/>
  <cols>
    <col min="1" max="6" width="16.7109375" style="382" customWidth="1"/>
    <col min="7" max="16384" width="9.140625" style="382"/>
  </cols>
  <sheetData>
    <row r="1" spans="1:6" ht="18.95" customHeight="1">
      <c r="A1" s="394"/>
      <c r="B1" s="395"/>
      <c r="C1" s="395"/>
      <c r="D1" s="395"/>
      <c r="E1" s="395"/>
      <c r="F1" s="396"/>
    </row>
    <row r="2" spans="1:6" ht="26.1" customHeight="1">
      <c r="A2" s="397" t="s">
        <v>267</v>
      </c>
      <c r="B2" s="398"/>
      <c r="C2" s="398"/>
      <c r="D2" s="398"/>
      <c r="E2" s="398"/>
      <c r="F2" s="399"/>
    </row>
    <row r="3" spans="1:6" ht="18.95" customHeight="1">
      <c r="A3" s="832" t="s">
        <v>587</v>
      </c>
      <c r="B3" s="833"/>
      <c r="C3" s="833"/>
      <c r="D3" s="833"/>
      <c r="E3" s="833"/>
      <c r="F3" s="834"/>
    </row>
    <row r="4" spans="1:6" ht="18.95" customHeight="1">
      <c r="A4" s="835" t="s">
        <v>588</v>
      </c>
      <c r="B4" s="836"/>
      <c r="C4" s="836"/>
      <c r="D4" s="836"/>
      <c r="E4" s="836"/>
      <c r="F4" s="837"/>
    </row>
    <row r="5" spans="1:6" ht="18.95" customHeight="1">
      <c r="A5" s="401"/>
      <c r="B5" s="402"/>
      <c r="C5" s="402"/>
      <c r="D5" s="402"/>
      <c r="E5" s="402"/>
      <c r="F5" s="403"/>
    </row>
    <row r="6" spans="1:6" ht="18.95" customHeight="1">
      <c r="A6" s="404" t="s">
        <v>564</v>
      </c>
      <c r="B6" s="829" t="str">
        <f>'Performance Data Sheet'!C17</f>
        <v>GP-10011492</v>
      </c>
      <c r="C6" s="830"/>
      <c r="D6" s="831"/>
      <c r="E6" s="404" t="s">
        <v>565</v>
      </c>
      <c r="F6" s="405">
        <f>'Performance Data Sheet'!I14</f>
        <v>52</v>
      </c>
    </row>
    <row r="7" spans="1:6" ht="18.95" customHeight="1">
      <c r="A7" s="404" t="s">
        <v>566</v>
      </c>
      <c r="B7" s="405" t="str">
        <f>'Performance Data Sheet'!F14</f>
        <v>TEFC</v>
      </c>
      <c r="C7" s="404" t="s">
        <v>567</v>
      </c>
      <c r="D7" s="405" t="str">
        <f>'Performance Data Sheet'!F13 &amp; " V"</f>
        <v>4000 V</v>
      </c>
      <c r="E7" s="404" t="s">
        <v>568</v>
      </c>
      <c r="F7" s="405" t="str">
        <f>'Performance Data Sheet'!C14</f>
        <v>5011UZ</v>
      </c>
    </row>
    <row r="8" spans="1:6" ht="18.95" customHeight="1">
      <c r="A8" s="404" t="s">
        <v>569</v>
      </c>
      <c r="B8" s="405">
        <v>2</v>
      </c>
      <c r="C8" s="404" t="s">
        <v>570</v>
      </c>
      <c r="D8" s="405" t="s">
        <v>571</v>
      </c>
      <c r="E8" s="404" t="s">
        <v>572</v>
      </c>
      <c r="F8" s="405" t="str">
        <f>'Performance Data Sheet'!M15</f>
        <v>F</v>
      </c>
    </row>
    <row r="9" spans="1:6" ht="18.95" customHeight="1">
      <c r="A9" s="404" t="s">
        <v>573</v>
      </c>
      <c r="B9" s="405">
        <f>'Performance Data Sheet'!C13</f>
        <v>400</v>
      </c>
      <c r="C9" s="404" t="s">
        <v>574</v>
      </c>
      <c r="D9" s="405" t="s">
        <v>584</v>
      </c>
      <c r="E9" s="404" t="s">
        <v>2</v>
      </c>
      <c r="F9" s="406">
        <f>'Performance Data Sheet'!K44</f>
        <v>45012</v>
      </c>
    </row>
    <row r="10" spans="1:6" ht="18.95" customHeight="1">
      <c r="A10" s="404" t="s">
        <v>575</v>
      </c>
      <c r="B10" s="405">
        <f>'Performance Data Sheet'!M14</f>
        <v>3575</v>
      </c>
      <c r="C10" s="404" t="s">
        <v>395</v>
      </c>
      <c r="D10" s="405" t="s">
        <v>585</v>
      </c>
      <c r="E10" s="404" t="s">
        <v>1</v>
      </c>
      <c r="F10" s="405" t="s">
        <v>377</v>
      </c>
    </row>
    <row r="11" spans="1:6" ht="18.95" customHeight="1">
      <c r="A11" s="401"/>
      <c r="B11" s="402"/>
      <c r="C11" s="402"/>
      <c r="D11" s="402"/>
      <c r="E11" s="402"/>
      <c r="F11" s="403"/>
    </row>
    <row r="12" spans="1:6" ht="18.95" customHeight="1">
      <c r="A12" s="401"/>
      <c r="B12" s="407"/>
      <c r="C12" s="408" t="str">
        <f>'Performance Data Sheet'!D22 &amp; " A"</f>
        <v>340 A</v>
      </c>
      <c r="D12" s="407"/>
      <c r="E12" s="408"/>
      <c r="F12" s="403"/>
    </row>
    <row r="13" spans="1:6" ht="18.95" customHeight="1">
      <c r="A13" s="401"/>
      <c r="B13" s="407"/>
      <c r="C13" s="409">
        <f>'Performance Data Sheet'!H23/100</f>
        <v>1.85</v>
      </c>
      <c r="D13" s="407"/>
      <c r="E13" s="408"/>
      <c r="F13" s="403"/>
    </row>
    <row r="14" spans="1:6" ht="18.95" customHeight="1">
      <c r="A14" s="401"/>
      <c r="B14" s="407"/>
      <c r="C14" s="409"/>
      <c r="D14" s="407"/>
      <c r="E14" s="408"/>
      <c r="F14" s="403"/>
    </row>
    <row r="15" spans="1:6" ht="18.95" customHeight="1">
      <c r="A15" s="401"/>
      <c r="B15" s="407"/>
      <c r="C15" s="408" t="str">
        <f>'Performance Data Sheet'!H22 &amp; " lb-ft"</f>
        <v>588 lb-ft</v>
      </c>
      <c r="D15" s="402"/>
      <c r="E15" s="402"/>
      <c r="F15" s="403"/>
    </row>
    <row r="16" spans="1:6" ht="18.95" customHeight="1">
      <c r="A16" s="401"/>
      <c r="B16" s="402"/>
      <c r="C16" s="402"/>
      <c r="D16" s="402"/>
      <c r="E16" s="402"/>
      <c r="F16" s="403"/>
    </row>
    <row r="17" spans="1:6" ht="18.95" customHeight="1">
      <c r="A17" s="401"/>
      <c r="B17" s="402"/>
      <c r="C17" s="402"/>
      <c r="D17" s="402"/>
      <c r="E17" s="402"/>
      <c r="F17" s="403"/>
    </row>
    <row r="18" spans="1:6" ht="18.95" customHeight="1">
      <c r="A18" s="401"/>
      <c r="B18" s="402"/>
      <c r="C18" s="402"/>
      <c r="D18" s="402"/>
      <c r="E18" s="402"/>
      <c r="F18" s="403"/>
    </row>
    <row r="19" spans="1:6" ht="18.95" customHeight="1">
      <c r="A19" s="401"/>
      <c r="B19" s="402"/>
      <c r="C19" s="402"/>
      <c r="D19" s="402"/>
      <c r="E19" s="402"/>
      <c r="F19" s="403"/>
    </row>
    <row r="20" spans="1:6" ht="18.95" customHeight="1">
      <c r="A20" s="401"/>
      <c r="B20" s="402"/>
      <c r="C20" s="402"/>
      <c r="D20" s="402"/>
      <c r="E20" s="402"/>
      <c r="F20" s="403"/>
    </row>
    <row r="21" spans="1:6" ht="18.95" customHeight="1">
      <c r="A21" s="401"/>
      <c r="B21" s="402"/>
      <c r="C21" s="402"/>
      <c r="D21" s="402"/>
      <c r="E21" s="402"/>
      <c r="F21" s="403"/>
    </row>
    <row r="22" spans="1:6" ht="18.95" customHeight="1">
      <c r="A22" s="401"/>
      <c r="B22" s="402"/>
      <c r="C22" s="402"/>
      <c r="D22" s="402"/>
      <c r="E22" s="402"/>
      <c r="F22" s="403"/>
    </row>
    <row r="23" spans="1:6" ht="18.95" customHeight="1">
      <c r="A23" s="401"/>
      <c r="B23" s="402"/>
      <c r="C23" s="402"/>
      <c r="D23" s="402"/>
      <c r="E23" s="402"/>
      <c r="F23" s="403"/>
    </row>
    <row r="24" spans="1:6" ht="18.95" customHeight="1">
      <c r="A24" s="401"/>
      <c r="B24" s="402"/>
      <c r="C24" s="402"/>
      <c r="D24" s="402"/>
      <c r="E24" s="402"/>
      <c r="F24" s="403"/>
    </row>
    <row r="25" spans="1:6" ht="18.95" customHeight="1">
      <c r="A25" s="401"/>
      <c r="B25" s="402"/>
      <c r="C25" s="402"/>
      <c r="D25" s="402"/>
      <c r="E25" s="402"/>
      <c r="F25" s="403"/>
    </row>
    <row r="26" spans="1:6" ht="18.95" customHeight="1">
      <c r="A26" s="401"/>
      <c r="B26" s="402"/>
      <c r="C26" s="402"/>
      <c r="D26" s="402"/>
      <c r="E26" s="402"/>
      <c r="F26" s="403"/>
    </row>
    <row r="27" spans="1:6" ht="18.95" customHeight="1">
      <c r="A27" s="401"/>
      <c r="B27" s="402"/>
      <c r="C27" s="402"/>
      <c r="D27" s="402"/>
      <c r="E27" s="402"/>
      <c r="F27" s="403"/>
    </row>
    <row r="28" spans="1:6" ht="18.95" customHeight="1">
      <c r="A28" s="401"/>
      <c r="B28" s="402"/>
      <c r="C28" s="402"/>
      <c r="D28" s="402"/>
      <c r="E28" s="402"/>
      <c r="F28" s="403"/>
    </row>
    <row r="29" spans="1:6" ht="18.95" customHeight="1">
      <c r="A29" s="401"/>
      <c r="B29" s="402"/>
      <c r="C29" s="402"/>
      <c r="D29" s="402"/>
      <c r="E29" s="402"/>
      <c r="F29" s="403"/>
    </row>
    <row r="30" spans="1:6" ht="18.95" customHeight="1">
      <c r="A30" s="401"/>
      <c r="B30" s="402"/>
      <c r="C30" s="402"/>
      <c r="D30" s="402"/>
      <c r="E30" s="402"/>
      <c r="F30" s="403"/>
    </row>
    <row r="31" spans="1:6" ht="18.95" customHeight="1">
      <c r="A31" s="401"/>
      <c r="B31" s="402"/>
      <c r="C31" s="402"/>
      <c r="D31" s="402"/>
      <c r="E31" s="402"/>
      <c r="F31" s="403"/>
    </row>
    <row r="32" spans="1:6" ht="18.95" customHeight="1">
      <c r="A32" s="401"/>
      <c r="B32" s="402"/>
      <c r="C32" s="402"/>
      <c r="D32" s="402"/>
      <c r="E32" s="402"/>
      <c r="F32" s="403"/>
    </row>
    <row r="33" spans="1:6" ht="18.95" customHeight="1">
      <c r="A33" s="401"/>
      <c r="B33" s="402"/>
      <c r="C33" s="402"/>
      <c r="D33" s="402"/>
      <c r="E33" s="402"/>
      <c r="F33" s="403"/>
    </row>
    <row r="34" spans="1:6" ht="18.95" customHeight="1">
      <c r="A34" s="401"/>
      <c r="B34" s="402"/>
      <c r="C34" s="402"/>
      <c r="D34" s="402"/>
      <c r="E34" s="402"/>
      <c r="F34" s="403"/>
    </row>
    <row r="35" spans="1:6" ht="18.95" customHeight="1">
      <c r="A35" s="401"/>
      <c r="B35" s="402"/>
      <c r="C35" s="402"/>
      <c r="D35" s="402"/>
      <c r="E35" s="402"/>
      <c r="F35" s="403"/>
    </row>
    <row r="36" spans="1:6" ht="18.95" customHeight="1">
      <c r="A36" s="401"/>
      <c r="B36" s="402"/>
      <c r="C36" s="402"/>
      <c r="D36" s="402"/>
      <c r="E36" s="402"/>
      <c r="F36" s="403"/>
    </row>
    <row r="37" spans="1:6" ht="18.95" customHeight="1">
      <c r="A37" s="401"/>
      <c r="B37" s="402"/>
      <c r="C37" s="402"/>
      <c r="D37" s="402"/>
      <c r="E37" s="402"/>
      <c r="F37" s="403"/>
    </row>
    <row r="38" spans="1:6" ht="18.95" customHeight="1">
      <c r="A38" s="401"/>
      <c r="B38" s="402"/>
      <c r="C38" s="402"/>
      <c r="D38" s="402"/>
      <c r="E38" s="402"/>
      <c r="F38" s="403"/>
    </row>
    <row r="39" spans="1:6" ht="18.95" customHeight="1">
      <c r="A39" s="410" t="s">
        <v>580</v>
      </c>
      <c r="B39" s="411" t="s">
        <v>368</v>
      </c>
      <c r="C39" s="533" t="str">
        <f>'Performance Data Sheet'!C10</f>
        <v>2103004.1</v>
      </c>
      <c r="D39" s="402"/>
      <c r="E39" s="407" t="s">
        <v>581</v>
      </c>
      <c r="F39" s="412" t="str">
        <f>F10</f>
        <v>RF2400</v>
      </c>
    </row>
    <row r="40" spans="1:6" ht="18.95" customHeight="1">
      <c r="A40" s="401"/>
      <c r="B40" s="411"/>
      <c r="C40" s="411"/>
      <c r="D40" s="402"/>
      <c r="E40" s="402"/>
      <c r="F40" s="403"/>
    </row>
    <row r="41" spans="1:6" ht="18.95" customHeight="1">
      <c r="A41" s="401"/>
      <c r="B41" s="411"/>
      <c r="C41" s="411"/>
      <c r="D41" s="402"/>
      <c r="E41" s="402"/>
      <c r="F41" s="403"/>
    </row>
    <row r="42" spans="1:6" ht="18.95" customHeight="1">
      <c r="A42" s="401"/>
      <c r="B42" s="402"/>
      <c r="C42" s="402"/>
      <c r="D42" s="402"/>
      <c r="E42" s="402"/>
      <c r="F42" s="403"/>
    </row>
    <row r="43" spans="1:6" ht="18.95" customHeight="1">
      <c r="A43" s="413"/>
      <c r="B43" s="411"/>
      <c r="C43" s="414" t="s">
        <v>582</v>
      </c>
      <c r="D43" s="415" t="str">
        <f>'Performance Data Sheet'!K42</f>
        <v>Zichao Xie</v>
      </c>
      <c r="E43" s="414" t="s">
        <v>583</v>
      </c>
      <c r="F43" s="41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1" t="e">
        <f>5252.1*B50/D53</f>
        <v>#DIV/0!</v>
      </c>
      <c r="G50" s="42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2"/>
    </row>
    <row r="63" spans="6:9">
      <c r="I63" s="382" t="s">
        <v>39</v>
      </c>
    </row>
    <row r="66" spans="1:6">
      <c r="D66" s="421" t="e">
        <f>D65/D64</f>
        <v>#DIV/0!</v>
      </c>
    </row>
    <row r="67" spans="1:6">
      <c r="A67" s="423" t="s">
        <v>390</v>
      </c>
      <c r="B67" s="423" t="s">
        <v>589</v>
      </c>
      <c r="C67" s="423" t="s">
        <v>590</v>
      </c>
      <c r="E67" s="423" t="s">
        <v>591</v>
      </c>
      <c r="F67" s="423" t="s">
        <v>592</v>
      </c>
    </row>
    <row r="68" spans="1:6">
      <c r="A68" s="424">
        <v>653.84615384615381</v>
      </c>
      <c r="B68" s="425">
        <v>17</v>
      </c>
      <c r="C68" s="425">
        <v>7</v>
      </c>
      <c r="E68" s="424">
        <f>A68</f>
        <v>653.84615384615381</v>
      </c>
      <c r="F68" s="425">
        <v>1E-4</v>
      </c>
    </row>
    <row r="69" spans="1:6">
      <c r="A69" s="424">
        <f>FLOOR(A68,100)</f>
        <v>600</v>
      </c>
      <c r="B69" s="425">
        <f>((A68/A69)^2)*B68</f>
        <v>20.188198553583167</v>
      </c>
      <c r="C69" s="425">
        <f>((A68/A69)^2)*C68</f>
        <v>8.3127876397107148</v>
      </c>
      <c r="E69" s="424">
        <v>652.11538461538464</v>
      </c>
      <c r="F69" s="425">
        <v>0.55900001525878906</v>
      </c>
    </row>
    <row r="70" spans="1:6">
      <c r="A70" s="424">
        <f>A69-100</f>
        <v>500</v>
      </c>
      <c r="B70" s="425">
        <f>((A68/A70)^2)*B68</f>
        <v>29.071005917159766</v>
      </c>
      <c r="C70" s="425">
        <f>((A68/A70)^2)*C68</f>
        <v>11.970414201183432</v>
      </c>
      <c r="E70" s="424">
        <v>647.88461538461536</v>
      </c>
      <c r="F70" s="425">
        <v>1.125</v>
      </c>
    </row>
    <row r="71" spans="1:6">
      <c r="A71" s="424">
        <f>A70-100</f>
        <v>400</v>
      </c>
      <c r="B71" s="425">
        <f>((A68/A71)^2)*B68</f>
        <v>45.423446745562124</v>
      </c>
      <c r="C71" s="425">
        <f>((A68/A71)^2)*C68</f>
        <v>18.70377218934911</v>
      </c>
      <c r="E71" s="424">
        <v>642.69230769230774</v>
      </c>
      <c r="F71" s="425">
        <v>1.7020000219345093</v>
      </c>
    </row>
    <row r="72" spans="1:6">
      <c r="A72" s="424">
        <f>A71-100</f>
        <v>300</v>
      </c>
      <c r="B72" s="425">
        <f>((A68/A72)^2)*B68</f>
        <v>80.752794214332667</v>
      </c>
      <c r="C72" s="425"/>
      <c r="E72" s="424">
        <v>636.15384615384619</v>
      </c>
      <c r="F72" s="425">
        <v>2.2939999103546143</v>
      </c>
    </row>
    <row r="73" spans="1:6">
      <c r="A73" s="424">
        <f>A72-100</f>
        <v>200</v>
      </c>
      <c r="B73" s="425">
        <f>((A68/A73)^2)*B68</f>
        <v>181.6937869822485</v>
      </c>
      <c r="C73" s="425"/>
      <c r="E73" s="424">
        <v>628.84615384615381</v>
      </c>
      <c r="F73" s="425">
        <v>2.9110000133514404</v>
      </c>
    </row>
    <row r="74" spans="1:6">
      <c r="A74" s="424">
        <v>235</v>
      </c>
      <c r="B74" s="425">
        <f>((A68/A74)^2)*B68</f>
        <v>131.60256187034747</v>
      </c>
      <c r="C74" s="425">
        <f>((A68/A74)^2)*C68</f>
        <v>54.189290181907786</v>
      </c>
      <c r="E74" s="424">
        <v>620.38461538461547</v>
      </c>
      <c r="F74" s="425">
        <v>3.5610001087188721</v>
      </c>
    </row>
    <row r="75" spans="1:6">
      <c r="A75" s="426">
        <v>180</v>
      </c>
      <c r="B75" s="425">
        <f>((A68/A75)^2)*B69</f>
        <v>266.38128159405062</v>
      </c>
      <c r="C75" s="425">
        <f>((A68/A75)^2)*C68</f>
        <v>92.364307107896849</v>
      </c>
      <c r="E75" s="424">
        <v>610.96153846153845</v>
      </c>
      <c r="F75" s="425">
        <v>4.2579998970031738</v>
      </c>
    </row>
    <row r="76" spans="1:6">
      <c r="A76" s="426">
        <v>145</v>
      </c>
      <c r="B76" s="425">
        <f>((A68/A76)^2)*B68</f>
        <v>345.67188962140023</v>
      </c>
      <c r="C76" s="425">
        <f>((A68/A76)^2)*C68</f>
        <v>142.33548396175303</v>
      </c>
      <c r="E76" s="424">
        <v>599.61538461538464</v>
      </c>
      <c r="F76" s="425">
        <v>5.0399999618530273</v>
      </c>
    </row>
    <row r="77" spans="1:6">
      <c r="A77" s="426">
        <v>125</v>
      </c>
      <c r="B77" s="425"/>
      <c r="C77" s="424">
        <f>CEILING(C76*2,100)</f>
        <v>300</v>
      </c>
      <c r="E77" s="424">
        <v>588.07692307692309</v>
      </c>
      <c r="F77" s="425">
        <v>5.4759998321533203</v>
      </c>
    </row>
    <row r="78" spans="1:6">
      <c r="A78" s="426">
        <v>125</v>
      </c>
      <c r="B78" s="425"/>
      <c r="C78" s="424">
        <f>2*C77</f>
        <v>600</v>
      </c>
      <c r="E78" s="424">
        <v>572.88461538461536</v>
      </c>
      <c r="F78" s="425">
        <v>5.9070000648498535</v>
      </c>
    </row>
    <row r="79" spans="1:6">
      <c r="A79" s="426">
        <v>125</v>
      </c>
      <c r="B79" s="426"/>
      <c r="C79" s="426">
        <v>10000</v>
      </c>
      <c r="E79" s="424">
        <v>526.34615384615381</v>
      </c>
      <c r="F79" s="425">
        <v>6.249000072479248</v>
      </c>
    </row>
    <row r="80" spans="1:6">
      <c r="E80" s="424">
        <f>A74</f>
        <v>235</v>
      </c>
      <c r="F80" s="425">
        <v>6.6129999160766602</v>
      </c>
    </row>
    <row r="81" spans="5:6">
      <c r="E81" s="424">
        <f>A77</f>
        <v>125</v>
      </c>
      <c r="F81" s="425">
        <v>6.8129997253417969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pageSetUpPr fitToPage="1"/>
  </sheetPr>
  <dimension ref="A1:H67"/>
  <sheetViews>
    <sheetView workbookViewId="0">
      <selection activeCell="A13" sqref="A13"/>
    </sheetView>
  </sheetViews>
  <sheetFormatPr defaultColWidth="9.140625" defaultRowHeight="12.75"/>
  <cols>
    <col min="1" max="6" width="16.7109375" style="382" customWidth="1"/>
    <col min="7" max="16384" width="9.140625" style="382"/>
  </cols>
  <sheetData>
    <row r="1" spans="1:6" ht="18.95" customHeight="1">
      <c r="A1" s="394"/>
      <c r="B1" s="395"/>
      <c r="C1" s="395"/>
      <c r="D1" s="395"/>
      <c r="E1" s="395"/>
      <c r="F1" s="396"/>
    </row>
    <row r="2" spans="1:6" ht="26.1" customHeight="1">
      <c r="A2" s="397" t="s">
        <v>267</v>
      </c>
      <c r="B2" s="398"/>
      <c r="C2" s="398"/>
      <c r="D2" s="398"/>
      <c r="E2" s="398"/>
      <c r="F2" s="399"/>
    </row>
    <row r="3" spans="1:6" ht="18.95" customHeight="1">
      <c r="A3" s="400" t="s">
        <v>593</v>
      </c>
      <c r="B3" s="398"/>
      <c r="C3" s="398"/>
      <c r="D3" s="398"/>
      <c r="E3" s="398"/>
      <c r="F3" s="399"/>
    </row>
    <row r="4" spans="1:6" ht="18.95" customHeight="1">
      <c r="A4" s="835" t="s">
        <v>588</v>
      </c>
      <c r="B4" s="836"/>
      <c r="C4" s="836"/>
      <c r="D4" s="836"/>
      <c r="E4" s="836"/>
      <c r="F4" s="837"/>
    </row>
    <row r="5" spans="1:6" ht="18.95" customHeight="1">
      <c r="A5" s="401"/>
      <c r="B5" s="402"/>
      <c r="C5" s="402"/>
      <c r="D5" s="402"/>
      <c r="E5" s="402"/>
      <c r="F5" s="403"/>
    </row>
    <row r="6" spans="1:6" ht="18.95" customHeight="1">
      <c r="A6" s="404" t="s">
        <v>564</v>
      </c>
      <c r="B6" s="829" t="str">
        <f>'Performance Data Sheet'!C17</f>
        <v>GP-10011492</v>
      </c>
      <c r="C6" s="830"/>
      <c r="D6" s="831"/>
      <c r="E6" s="404" t="s">
        <v>565</v>
      </c>
      <c r="F6" s="405" t="s">
        <v>742</v>
      </c>
    </row>
    <row r="7" spans="1:6" ht="18.95" customHeight="1">
      <c r="A7" s="404" t="s">
        <v>566</v>
      </c>
      <c r="B7" s="405" t="str">
        <f>'Performance Data Sheet'!F14</f>
        <v>TEFC</v>
      </c>
      <c r="C7" s="404" t="s">
        <v>567</v>
      </c>
      <c r="D7" s="405" t="s">
        <v>743</v>
      </c>
      <c r="E7" s="404" t="s">
        <v>568</v>
      </c>
      <c r="F7" s="405" t="str">
        <f>'Performance Data Sheet'!C14</f>
        <v>5011UZ</v>
      </c>
    </row>
    <row r="8" spans="1:6" ht="18.95" customHeight="1">
      <c r="A8" s="404" t="s">
        <v>569</v>
      </c>
      <c r="B8" s="405">
        <v>2</v>
      </c>
      <c r="C8" s="404" t="s">
        <v>570</v>
      </c>
      <c r="D8" s="405" t="s">
        <v>571</v>
      </c>
      <c r="E8" s="404" t="s">
        <v>572</v>
      </c>
      <c r="F8" s="405" t="str">
        <f>'Performance Data Sheet'!M15</f>
        <v>F</v>
      </c>
    </row>
    <row r="9" spans="1:6" ht="18.95" customHeight="1">
      <c r="A9" s="404" t="s">
        <v>573</v>
      </c>
      <c r="B9" s="405">
        <f>'Performance Data Sheet'!C13</f>
        <v>400</v>
      </c>
      <c r="C9" s="404" t="s">
        <v>574</v>
      </c>
      <c r="D9" s="405" t="s">
        <v>584</v>
      </c>
      <c r="E9" s="404" t="s">
        <v>2</v>
      </c>
      <c r="F9" s="406">
        <f>'Performance Data Sheet'!K44</f>
        <v>45012</v>
      </c>
    </row>
    <row r="10" spans="1:6" ht="18.95" customHeight="1">
      <c r="A10" s="404" t="s">
        <v>575</v>
      </c>
      <c r="B10" s="405">
        <f>'Performance Data Sheet'!M14</f>
        <v>3575</v>
      </c>
      <c r="C10" s="404" t="s">
        <v>395</v>
      </c>
      <c r="D10" s="405" t="s">
        <v>585</v>
      </c>
      <c r="E10" s="404" t="s">
        <v>1</v>
      </c>
      <c r="F10" s="405" t="s">
        <v>377</v>
      </c>
    </row>
    <row r="11" spans="1:6" ht="18.95" customHeight="1">
      <c r="A11" s="401"/>
      <c r="B11" s="402"/>
      <c r="C11" s="402"/>
      <c r="D11" s="402"/>
      <c r="E11" s="402"/>
      <c r="F11" s="403"/>
    </row>
    <row r="12" spans="1:6" ht="18.95" customHeight="1">
      <c r="A12" s="401"/>
      <c r="B12" s="407" t="s">
        <v>576</v>
      </c>
      <c r="C12" s="408" t="s">
        <v>744</v>
      </c>
      <c r="D12" s="407" t="s">
        <v>394</v>
      </c>
      <c r="E12" s="408" t="s">
        <v>398</v>
      </c>
      <c r="F12" s="403"/>
    </row>
    <row r="13" spans="1:6" ht="18.95" customHeight="1">
      <c r="A13" s="401"/>
      <c r="B13" s="407" t="s">
        <v>577</v>
      </c>
      <c r="C13" s="409">
        <f>'Performance Data Sheet'!H23/100</f>
        <v>1.85</v>
      </c>
      <c r="D13" s="407" t="s">
        <v>578</v>
      </c>
      <c r="E13" s="408" t="s">
        <v>586</v>
      </c>
      <c r="F13" s="403"/>
    </row>
    <row r="14" spans="1:6" ht="18.95" customHeight="1">
      <c r="A14" s="401"/>
      <c r="B14" s="407" t="s">
        <v>579</v>
      </c>
      <c r="C14" s="409">
        <v>2.35</v>
      </c>
      <c r="D14" s="407" t="s">
        <v>396</v>
      </c>
      <c r="E14" s="408" t="s">
        <v>401</v>
      </c>
      <c r="F14" s="403"/>
    </row>
    <row r="15" spans="1:6" ht="18.95" customHeight="1">
      <c r="A15" s="401"/>
      <c r="B15" s="407" t="s">
        <v>397</v>
      </c>
      <c r="C15" s="408" t="str">
        <f>'Performance Data Sheet'!H22 &amp; " lb-ft"</f>
        <v>588 lb-ft</v>
      </c>
      <c r="D15" s="402"/>
      <c r="E15" s="402"/>
      <c r="F15" s="403"/>
    </row>
    <row r="16" spans="1:6" ht="18.95" customHeight="1">
      <c r="A16" s="401"/>
      <c r="B16" s="402"/>
      <c r="C16" s="402"/>
      <c r="D16" s="402"/>
      <c r="E16" s="402"/>
      <c r="F16" s="403"/>
    </row>
    <row r="17" spans="1:8" ht="18.95" customHeight="1">
      <c r="A17" s="401"/>
      <c r="B17" s="402"/>
      <c r="C17" s="402"/>
      <c r="D17" s="402"/>
      <c r="E17" s="402"/>
      <c r="F17" s="403"/>
    </row>
    <row r="18" spans="1:8" ht="18.95" customHeight="1">
      <c r="A18" s="401"/>
      <c r="B18" s="402"/>
      <c r="C18" s="402"/>
      <c r="D18" s="402"/>
      <c r="E18" s="402"/>
      <c r="F18" s="403"/>
    </row>
    <row r="19" spans="1:8" ht="18.95" customHeight="1">
      <c r="A19" s="401"/>
      <c r="B19" s="402"/>
      <c r="C19" s="402"/>
      <c r="D19" s="402"/>
      <c r="E19" s="402"/>
      <c r="F19" s="403"/>
    </row>
    <row r="20" spans="1:8" ht="18.95" customHeight="1">
      <c r="A20" s="401"/>
      <c r="B20" s="402"/>
      <c r="C20" s="402"/>
      <c r="D20" s="402"/>
      <c r="E20" s="402"/>
      <c r="F20" s="403"/>
    </row>
    <row r="21" spans="1:8" ht="18.95" customHeight="1">
      <c r="A21" s="401"/>
      <c r="B21" s="402"/>
      <c r="C21" s="402"/>
      <c r="D21" s="402"/>
      <c r="E21" s="402"/>
      <c r="F21" s="403"/>
    </row>
    <row r="22" spans="1:8" ht="18.95" customHeight="1">
      <c r="A22" s="401"/>
      <c r="B22" s="402"/>
      <c r="C22" s="402"/>
      <c r="D22" s="402"/>
      <c r="E22" s="402"/>
      <c r="F22" s="403"/>
    </row>
    <row r="23" spans="1:8" ht="18.95" customHeight="1">
      <c r="A23" s="401"/>
      <c r="B23" s="402"/>
      <c r="C23" s="402"/>
      <c r="D23" s="402"/>
      <c r="E23" s="402"/>
      <c r="F23" s="403"/>
    </row>
    <row r="24" spans="1:8" ht="18.95" customHeight="1">
      <c r="A24" s="401"/>
      <c r="B24" s="402"/>
      <c r="C24" s="402"/>
      <c r="D24" s="402"/>
      <c r="E24" s="402"/>
      <c r="F24" s="403"/>
      <c r="H24" s="427"/>
    </row>
    <row r="25" spans="1:8" ht="18.95" customHeight="1">
      <c r="A25" s="401"/>
      <c r="B25" s="402"/>
      <c r="C25" s="402"/>
      <c r="D25" s="402"/>
      <c r="E25" s="402"/>
      <c r="F25" s="403"/>
    </row>
    <row r="26" spans="1:8" ht="18.95" customHeight="1">
      <c r="A26" s="401"/>
      <c r="B26" s="402"/>
      <c r="C26" s="402"/>
      <c r="D26" s="402"/>
      <c r="E26" s="402"/>
      <c r="F26" s="403"/>
    </row>
    <row r="27" spans="1:8" ht="18.95" customHeight="1">
      <c r="A27" s="401"/>
      <c r="B27" s="402"/>
      <c r="C27" s="402"/>
      <c r="D27" s="402"/>
      <c r="E27" s="402"/>
      <c r="F27" s="403"/>
    </row>
    <row r="28" spans="1:8" ht="18.95" customHeight="1">
      <c r="A28" s="401"/>
      <c r="B28" s="402"/>
      <c r="C28" s="402"/>
      <c r="D28" s="402"/>
      <c r="E28" s="402"/>
      <c r="F28" s="403"/>
    </row>
    <row r="29" spans="1:8" ht="18.95" customHeight="1">
      <c r="A29" s="401"/>
      <c r="B29" s="402"/>
      <c r="C29" s="402"/>
      <c r="D29" s="402"/>
      <c r="E29" s="402"/>
      <c r="F29" s="403"/>
    </row>
    <row r="30" spans="1:8" ht="18.95" customHeight="1">
      <c r="A30" s="401"/>
      <c r="B30" s="402"/>
      <c r="C30" s="402"/>
      <c r="D30" s="402"/>
      <c r="E30" s="402"/>
      <c r="F30" s="403"/>
    </row>
    <row r="31" spans="1:8" ht="18.95" customHeight="1">
      <c r="A31" s="401"/>
      <c r="B31" s="402"/>
      <c r="C31" s="402"/>
      <c r="D31" s="402"/>
      <c r="E31" s="402"/>
      <c r="F31" s="403"/>
    </row>
    <row r="32" spans="1:8" ht="18.95" customHeight="1">
      <c r="A32" s="401"/>
      <c r="B32" s="402"/>
      <c r="C32" s="402"/>
      <c r="D32" s="402"/>
      <c r="E32" s="402"/>
      <c r="F32" s="403"/>
    </row>
    <row r="33" spans="1:6" ht="18.95" customHeight="1">
      <c r="A33" s="401"/>
      <c r="B33" s="402"/>
      <c r="C33" s="402"/>
      <c r="D33" s="402"/>
      <c r="E33" s="402"/>
      <c r="F33" s="403"/>
    </row>
    <row r="34" spans="1:6" ht="18.95" customHeight="1">
      <c r="A34" s="401"/>
      <c r="B34" s="402"/>
      <c r="C34" s="402"/>
      <c r="D34" s="402"/>
      <c r="E34" s="402"/>
      <c r="F34" s="403"/>
    </row>
    <row r="35" spans="1:6" ht="18.95" customHeight="1">
      <c r="A35" s="401"/>
      <c r="B35" s="402"/>
      <c r="C35" s="402"/>
      <c r="D35" s="402"/>
      <c r="E35" s="402"/>
      <c r="F35" s="403"/>
    </row>
    <row r="36" spans="1:6" ht="18.95" customHeight="1">
      <c r="A36" s="401"/>
      <c r="B36" s="402"/>
      <c r="C36" s="402"/>
      <c r="D36" s="402"/>
      <c r="E36" s="402"/>
      <c r="F36" s="403"/>
    </row>
    <row r="37" spans="1:6" ht="18.95" customHeight="1">
      <c r="A37" s="401"/>
      <c r="B37" s="402"/>
      <c r="C37" s="402"/>
      <c r="D37" s="402"/>
      <c r="E37" s="402"/>
      <c r="F37" s="403"/>
    </row>
    <row r="38" spans="1:6" ht="18.95" customHeight="1">
      <c r="A38" s="401"/>
      <c r="B38" s="402"/>
      <c r="C38" s="402"/>
      <c r="D38" s="402"/>
      <c r="E38" s="402"/>
      <c r="F38" s="403"/>
    </row>
    <row r="39" spans="1:6" ht="18.95" customHeight="1">
      <c r="A39" s="410" t="s">
        <v>580</v>
      </c>
      <c r="B39" s="411" t="s">
        <v>368</v>
      </c>
      <c r="C39" s="533" t="str">
        <f>'Performance Data Sheet'!C10</f>
        <v>2103004.1</v>
      </c>
      <c r="D39" s="402"/>
      <c r="E39" s="407" t="s">
        <v>581</v>
      </c>
      <c r="F39" s="412" t="str">
        <f>F10</f>
        <v>RF2400</v>
      </c>
    </row>
    <row r="40" spans="1:6" ht="18.95" customHeight="1">
      <c r="A40" s="401"/>
      <c r="B40" s="411"/>
      <c r="C40" s="411"/>
      <c r="D40" s="402"/>
      <c r="E40" s="402"/>
      <c r="F40" s="403"/>
    </row>
    <row r="41" spans="1:6" ht="18.95" customHeight="1">
      <c r="A41" s="401"/>
      <c r="B41" s="411"/>
      <c r="C41" s="411"/>
      <c r="D41" s="402"/>
      <c r="E41" s="402"/>
      <c r="F41" s="403"/>
    </row>
    <row r="42" spans="1:6" ht="18.95" customHeight="1">
      <c r="A42" s="401"/>
      <c r="B42" s="402"/>
      <c r="C42" s="402"/>
      <c r="D42" s="402"/>
      <c r="E42" s="402"/>
      <c r="F42" s="403"/>
    </row>
    <row r="43" spans="1:6" ht="18.95" customHeight="1">
      <c r="A43" s="413"/>
      <c r="B43" s="411"/>
      <c r="C43" s="414" t="s">
        <v>582</v>
      </c>
      <c r="D43" s="415" t="str">
        <f>'Performance Data Sheet'!K42</f>
        <v>Zichao Xie</v>
      </c>
      <c r="E43" s="414" t="s">
        <v>583</v>
      </c>
      <c r="F43" s="41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393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594</v>
      </c>
    </row>
    <row r="54" spans="1:6" ht="15" customHeight="1">
      <c r="A54" s="430">
        <v>0</v>
      </c>
      <c r="B54" s="431"/>
      <c r="C54" s="432"/>
      <c r="D54" s="432">
        <v>13.656332562328164</v>
      </c>
      <c r="E54" s="432">
        <v>100</v>
      </c>
      <c r="F54" s="433">
        <f>12246/8000</f>
        <v>1.5307500000000001</v>
      </c>
    </row>
    <row r="55" spans="1:6" ht="15" customHeight="1">
      <c r="A55" s="434">
        <v>25</v>
      </c>
      <c r="B55" s="435">
        <v>84.95001220703125</v>
      </c>
      <c r="C55" s="436">
        <v>62.719051361083984</v>
      </c>
      <c r="D55" s="436">
        <v>20.198917388916016</v>
      </c>
      <c r="E55" s="436">
        <v>71.602259099375559</v>
      </c>
      <c r="F55" s="437">
        <v>10.970981066216339</v>
      </c>
    </row>
    <row r="56" spans="1:6" ht="15" customHeight="1">
      <c r="A56" s="434">
        <v>50</v>
      </c>
      <c r="B56" s="435">
        <v>91.210098266601563</v>
      </c>
      <c r="C56" s="436">
        <v>80.183479309082031</v>
      </c>
      <c r="D56" s="436">
        <v>29.430198669433594</v>
      </c>
      <c r="E56" s="436">
        <v>60.355559235052461</v>
      </c>
      <c r="F56" s="437">
        <v>20.436004601839389</v>
      </c>
    </row>
    <row r="57" spans="1:6">
      <c r="A57" s="434">
        <v>75</v>
      </c>
      <c r="B57" s="435">
        <v>93.333198547363281</v>
      </c>
      <c r="C57" s="436">
        <v>85.758766174316406</v>
      </c>
      <c r="D57" s="436">
        <v>40.336444854736328</v>
      </c>
      <c r="E57" s="436">
        <v>48.855818624741538</v>
      </c>
      <c r="F57" s="437">
        <v>29.956705480927855</v>
      </c>
    </row>
    <row r="58" spans="1:6">
      <c r="A58" s="434">
        <v>100</v>
      </c>
      <c r="B58" s="435">
        <v>94.292060852050781</v>
      </c>
      <c r="C58" s="436">
        <v>87.700119018554688</v>
      </c>
      <c r="D58" s="436">
        <v>52.056598663330078</v>
      </c>
      <c r="E58" s="436">
        <v>37.045909696420431</v>
      </c>
      <c r="F58" s="437">
        <v>39.536104236224297</v>
      </c>
    </row>
    <row r="59" spans="1:6" ht="13.5" thickBot="1">
      <c r="A59" s="438">
        <v>125</v>
      </c>
      <c r="B59" s="439">
        <v>94.753044128417969</v>
      </c>
      <c r="C59" s="440">
        <v>88.165855407714844</v>
      </c>
      <c r="D59" s="440">
        <v>64.412109375</v>
      </c>
      <c r="E59" s="440">
        <v>25.029434545992597</v>
      </c>
      <c r="F59" s="441">
        <v>49.179696320495658</v>
      </c>
    </row>
    <row r="60" spans="1:6">
      <c r="A60" s="416"/>
      <c r="B60" s="417"/>
      <c r="C60" s="417"/>
    </row>
    <row r="61" spans="1:6">
      <c r="A61" s="416"/>
      <c r="B61" s="417"/>
      <c r="C61" s="417"/>
    </row>
    <row r="62" spans="1:6">
      <c r="A62" s="416"/>
      <c r="B62" s="417"/>
      <c r="C62" s="417"/>
    </row>
    <row r="63" spans="1:6">
      <c r="A63" s="416"/>
      <c r="B63" s="417"/>
      <c r="C63" s="417"/>
    </row>
    <row r="64" spans="1:6">
      <c r="A64" s="416"/>
      <c r="B64" s="417"/>
      <c r="C64" s="417"/>
    </row>
    <row r="65" spans="1:3">
      <c r="A65" s="416"/>
      <c r="B65" s="417"/>
      <c r="C65" s="417"/>
    </row>
    <row r="66" spans="1:3">
      <c r="A66" s="416"/>
      <c r="B66" s="417"/>
      <c r="C66" s="417"/>
    </row>
    <row r="67" spans="1:3">
      <c r="A67" s="418"/>
      <c r="B67" s="417"/>
      <c r="C67" s="417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67"/>
  <sheetViews>
    <sheetView topLeftCell="A21" workbookViewId="0">
      <selection activeCell="D45" sqref="D45"/>
    </sheetView>
  </sheetViews>
  <sheetFormatPr defaultColWidth="9.140625" defaultRowHeight="12.75"/>
  <cols>
    <col min="1" max="6" width="16.7109375" style="382" customWidth="1"/>
    <col min="7" max="16384" width="9.140625" style="382"/>
  </cols>
  <sheetData>
    <row r="1" spans="1:6" ht="18.95" customHeight="1">
      <c r="A1" s="394"/>
      <c r="B1" s="395"/>
      <c r="C1" s="395"/>
      <c r="D1" s="395"/>
      <c r="E1" s="395"/>
      <c r="F1" s="396"/>
    </row>
    <row r="2" spans="1:6" ht="26.1" customHeight="1">
      <c r="A2" s="397" t="s">
        <v>267</v>
      </c>
      <c r="B2" s="398"/>
      <c r="C2" s="398"/>
      <c r="D2" s="398"/>
      <c r="E2" s="398"/>
      <c r="F2" s="399"/>
    </row>
    <row r="3" spans="1:6" ht="18.95" customHeight="1">
      <c r="A3" s="400" t="s">
        <v>593</v>
      </c>
      <c r="B3" s="398"/>
      <c r="C3" s="398"/>
      <c r="D3" s="398"/>
      <c r="E3" s="398"/>
      <c r="F3" s="399"/>
    </row>
    <row r="4" spans="1:6" ht="18.95" customHeight="1">
      <c r="A4" s="835" t="s">
        <v>588</v>
      </c>
      <c r="B4" s="836"/>
      <c r="C4" s="836"/>
      <c r="D4" s="836"/>
      <c r="E4" s="836"/>
      <c r="F4" s="837"/>
    </row>
    <row r="5" spans="1:6" ht="18.95" customHeight="1">
      <c r="A5" s="401"/>
      <c r="B5" s="402"/>
      <c r="C5" s="402"/>
      <c r="D5" s="402"/>
      <c r="E5" s="402"/>
      <c r="F5" s="403"/>
    </row>
    <row r="6" spans="1:6" ht="18.95" customHeight="1">
      <c r="A6" s="404" t="s">
        <v>564</v>
      </c>
      <c r="B6" s="829" t="str">
        <f>'Performance Data Sheet'!C17</f>
        <v>GP-10011492</v>
      </c>
      <c r="C6" s="830"/>
      <c r="D6" s="831"/>
      <c r="E6" s="404" t="s">
        <v>565</v>
      </c>
      <c r="F6" s="405" t="s">
        <v>739</v>
      </c>
    </row>
    <row r="7" spans="1:6" ht="18.95" customHeight="1">
      <c r="A7" s="404" t="s">
        <v>566</v>
      </c>
      <c r="B7" s="405" t="str">
        <f>'Performance Data Sheet'!F14</f>
        <v>TEFC</v>
      </c>
      <c r="C7" s="404" t="s">
        <v>567</v>
      </c>
      <c r="D7" s="405" t="s">
        <v>740</v>
      </c>
      <c r="E7" s="404" t="s">
        <v>568</v>
      </c>
      <c r="F7" s="405" t="str">
        <f>'Performance Data Sheet'!C14</f>
        <v>5011UZ</v>
      </c>
    </row>
    <row r="8" spans="1:6" ht="18.95" customHeight="1">
      <c r="A8" s="404" t="s">
        <v>569</v>
      </c>
      <c r="B8" s="405">
        <v>2</v>
      </c>
      <c r="C8" s="404" t="s">
        <v>570</v>
      </c>
      <c r="D8" s="405" t="s">
        <v>571</v>
      </c>
      <c r="E8" s="404" t="s">
        <v>572</v>
      </c>
      <c r="F8" s="405" t="str">
        <f>'Performance Data Sheet'!M15</f>
        <v>F</v>
      </c>
    </row>
    <row r="9" spans="1:6" ht="18.95" customHeight="1">
      <c r="A9" s="404" t="s">
        <v>573</v>
      </c>
      <c r="B9" s="405">
        <f>'Performance Data Sheet'!C13</f>
        <v>400</v>
      </c>
      <c r="C9" s="404" t="s">
        <v>574</v>
      </c>
      <c r="D9" s="405" t="s">
        <v>584</v>
      </c>
      <c r="E9" s="404" t="s">
        <v>2</v>
      </c>
      <c r="F9" s="406">
        <f>'Performance Data Sheet'!K44</f>
        <v>45012</v>
      </c>
    </row>
    <row r="10" spans="1:6" ht="18.95" customHeight="1">
      <c r="A10" s="404" t="s">
        <v>575</v>
      </c>
      <c r="B10" s="405">
        <f>'Performance Data Sheet'!M14</f>
        <v>3575</v>
      </c>
      <c r="C10" s="404" t="s">
        <v>395</v>
      </c>
      <c r="D10" s="405" t="s">
        <v>585</v>
      </c>
      <c r="E10" s="404" t="s">
        <v>1</v>
      </c>
      <c r="F10" s="405" t="s">
        <v>377</v>
      </c>
    </row>
    <row r="11" spans="1:6" ht="18.95" customHeight="1">
      <c r="A11" s="401"/>
      <c r="B11" s="402"/>
      <c r="C11" s="402"/>
      <c r="D11" s="402"/>
      <c r="E11" s="402"/>
      <c r="F11" s="403"/>
    </row>
    <row r="12" spans="1:6" ht="18.95" customHeight="1">
      <c r="A12" s="401"/>
      <c r="B12" s="407" t="s">
        <v>576</v>
      </c>
      <c r="C12" s="408" t="s">
        <v>741</v>
      </c>
      <c r="D12" s="407" t="s">
        <v>394</v>
      </c>
      <c r="E12" s="408" t="s">
        <v>398</v>
      </c>
      <c r="F12" s="403"/>
    </row>
    <row r="13" spans="1:6" ht="18.95" customHeight="1">
      <c r="A13" s="401"/>
      <c r="B13" s="407" t="s">
        <v>577</v>
      </c>
      <c r="C13" s="409">
        <f>'Performance Data Sheet'!H23/100</f>
        <v>1.85</v>
      </c>
      <c r="D13" s="407" t="s">
        <v>578</v>
      </c>
      <c r="E13" s="408" t="s">
        <v>586</v>
      </c>
      <c r="F13" s="403"/>
    </row>
    <row r="14" spans="1:6" ht="18.95" customHeight="1">
      <c r="A14" s="401"/>
      <c r="B14" s="407" t="s">
        <v>579</v>
      </c>
      <c r="C14" s="409">
        <v>2.35</v>
      </c>
      <c r="D14" s="407" t="s">
        <v>396</v>
      </c>
      <c r="E14" s="408" t="s">
        <v>401</v>
      </c>
      <c r="F14" s="403"/>
    </row>
    <row r="15" spans="1:6" ht="18.95" customHeight="1">
      <c r="A15" s="401"/>
      <c r="B15" s="407" t="s">
        <v>397</v>
      </c>
      <c r="C15" s="408" t="str">
        <f>'Performance Data Sheet'!H22 &amp; " lb-ft"</f>
        <v>588 lb-ft</v>
      </c>
      <c r="D15" s="402"/>
      <c r="E15" s="402"/>
      <c r="F15" s="403"/>
    </row>
    <row r="16" spans="1:6" ht="18.95" customHeight="1">
      <c r="A16" s="401"/>
      <c r="B16" s="402"/>
      <c r="C16" s="402"/>
      <c r="D16" s="402"/>
      <c r="E16" s="402"/>
      <c r="F16" s="403"/>
    </row>
    <row r="17" spans="1:8" ht="18.95" customHeight="1">
      <c r="A17" s="401"/>
      <c r="B17" s="402"/>
      <c r="C17" s="402"/>
      <c r="D17" s="402"/>
      <c r="E17" s="402"/>
      <c r="F17" s="403"/>
    </row>
    <row r="18" spans="1:8" ht="18.95" customHeight="1">
      <c r="A18" s="401"/>
      <c r="B18" s="402"/>
      <c r="C18" s="402"/>
      <c r="D18" s="402"/>
      <c r="E18" s="402"/>
      <c r="F18" s="403"/>
    </row>
    <row r="19" spans="1:8" ht="18.95" customHeight="1">
      <c r="A19" s="401"/>
      <c r="B19" s="402"/>
      <c r="C19" s="402"/>
      <c r="D19" s="402"/>
      <c r="E19" s="402"/>
      <c r="F19" s="403"/>
    </row>
    <row r="20" spans="1:8" ht="18.95" customHeight="1">
      <c r="A20" s="401"/>
      <c r="B20" s="402"/>
      <c r="C20" s="402"/>
      <c r="D20" s="402"/>
      <c r="E20" s="402"/>
      <c r="F20" s="403"/>
    </row>
    <row r="21" spans="1:8" ht="18.95" customHeight="1">
      <c r="A21" s="401"/>
      <c r="B21" s="402"/>
      <c r="C21" s="402"/>
      <c r="D21" s="402"/>
      <c r="E21" s="402"/>
      <c r="F21" s="403"/>
    </row>
    <row r="22" spans="1:8" ht="18.95" customHeight="1">
      <c r="A22" s="401"/>
      <c r="B22" s="402"/>
      <c r="C22" s="402"/>
      <c r="D22" s="402"/>
      <c r="E22" s="402"/>
      <c r="F22" s="403"/>
    </row>
    <row r="23" spans="1:8" ht="18.95" customHeight="1">
      <c r="A23" s="401"/>
      <c r="B23" s="402"/>
      <c r="C23" s="402"/>
      <c r="D23" s="402"/>
      <c r="E23" s="402"/>
      <c r="F23" s="403"/>
    </row>
    <row r="24" spans="1:8" ht="18.95" customHeight="1">
      <c r="A24" s="401"/>
      <c r="B24" s="402"/>
      <c r="C24" s="402"/>
      <c r="D24" s="402"/>
      <c r="E24" s="402"/>
      <c r="F24" s="403"/>
      <c r="H24" s="427"/>
    </row>
    <row r="25" spans="1:8" ht="18.95" customHeight="1">
      <c r="A25" s="401"/>
      <c r="B25" s="402"/>
      <c r="C25" s="402"/>
      <c r="D25" s="402"/>
      <c r="E25" s="402"/>
      <c r="F25" s="403"/>
    </row>
    <row r="26" spans="1:8" ht="18.95" customHeight="1">
      <c r="A26" s="401"/>
      <c r="B26" s="402"/>
      <c r="C26" s="402"/>
      <c r="D26" s="402"/>
      <c r="E26" s="402"/>
      <c r="F26" s="403"/>
    </row>
    <row r="27" spans="1:8" ht="18.95" customHeight="1">
      <c r="A27" s="401"/>
      <c r="B27" s="402"/>
      <c r="C27" s="402"/>
      <c r="D27" s="402"/>
      <c r="E27" s="402"/>
      <c r="F27" s="403"/>
    </row>
    <row r="28" spans="1:8" ht="18.95" customHeight="1">
      <c r="A28" s="401"/>
      <c r="B28" s="402"/>
      <c r="C28" s="402"/>
      <c r="D28" s="402"/>
      <c r="E28" s="402"/>
      <c r="F28" s="403"/>
    </row>
    <row r="29" spans="1:8" ht="18.95" customHeight="1">
      <c r="A29" s="401"/>
      <c r="B29" s="402"/>
      <c r="C29" s="402"/>
      <c r="D29" s="402"/>
      <c r="E29" s="402"/>
      <c r="F29" s="403"/>
    </row>
    <row r="30" spans="1:8" ht="18.95" customHeight="1">
      <c r="A30" s="401"/>
      <c r="B30" s="402"/>
      <c r="C30" s="402"/>
      <c r="D30" s="402"/>
      <c r="E30" s="402"/>
      <c r="F30" s="403"/>
    </row>
    <row r="31" spans="1:8" ht="18.95" customHeight="1">
      <c r="A31" s="401"/>
      <c r="B31" s="402"/>
      <c r="C31" s="402"/>
      <c r="D31" s="402"/>
      <c r="E31" s="402"/>
      <c r="F31" s="403"/>
    </row>
    <row r="32" spans="1:8" ht="18.95" customHeight="1">
      <c r="A32" s="401"/>
      <c r="B32" s="402"/>
      <c r="C32" s="402"/>
      <c r="D32" s="402"/>
      <c r="E32" s="402"/>
      <c r="F32" s="403"/>
    </row>
    <row r="33" spans="1:6" ht="18.95" customHeight="1">
      <c r="A33" s="401"/>
      <c r="B33" s="402"/>
      <c r="C33" s="402"/>
      <c r="D33" s="402"/>
      <c r="E33" s="402"/>
      <c r="F33" s="403"/>
    </row>
    <row r="34" spans="1:6" ht="18.95" customHeight="1">
      <c r="A34" s="401"/>
      <c r="B34" s="402"/>
      <c r="C34" s="402"/>
      <c r="D34" s="402"/>
      <c r="E34" s="402"/>
      <c r="F34" s="403"/>
    </row>
    <row r="35" spans="1:6" ht="18.95" customHeight="1">
      <c r="A35" s="401"/>
      <c r="B35" s="402"/>
      <c r="C35" s="402"/>
      <c r="D35" s="402"/>
      <c r="E35" s="402"/>
      <c r="F35" s="403"/>
    </row>
    <row r="36" spans="1:6" ht="18.95" customHeight="1">
      <c r="A36" s="401"/>
      <c r="B36" s="402"/>
      <c r="C36" s="402"/>
      <c r="D36" s="402"/>
      <c r="E36" s="402"/>
      <c r="F36" s="403"/>
    </row>
    <row r="37" spans="1:6" ht="18.95" customHeight="1">
      <c r="A37" s="401"/>
      <c r="B37" s="402"/>
      <c r="C37" s="402"/>
      <c r="D37" s="402"/>
      <c r="E37" s="402"/>
      <c r="F37" s="403"/>
    </row>
    <row r="38" spans="1:6" ht="18.95" customHeight="1">
      <c r="A38" s="401"/>
      <c r="B38" s="402"/>
      <c r="C38" s="402"/>
      <c r="D38" s="402"/>
      <c r="E38" s="402"/>
      <c r="F38" s="403"/>
    </row>
    <row r="39" spans="1:6" ht="18.95" customHeight="1">
      <c r="A39" s="410" t="s">
        <v>580</v>
      </c>
      <c r="B39" s="411" t="s">
        <v>368</v>
      </c>
      <c r="C39" s="533" t="str">
        <f>'Performance Data Sheet'!C10</f>
        <v>2103004.1</v>
      </c>
      <c r="D39" s="402"/>
      <c r="E39" s="407" t="s">
        <v>581</v>
      </c>
      <c r="F39" s="412" t="str">
        <f>F10</f>
        <v>RF2400</v>
      </c>
    </row>
    <row r="40" spans="1:6" ht="18.95" customHeight="1">
      <c r="A40" s="401"/>
      <c r="B40" s="411"/>
      <c r="C40" s="411"/>
      <c r="D40" s="402"/>
      <c r="E40" s="402"/>
      <c r="F40" s="403"/>
    </row>
    <row r="41" spans="1:6" ht="18.95" customHeight="1">
      <c r="A41" s="401"/>
      <c r="B41" s="411"/>
      <c r="C41" s="411"/>
      <c r="D41" s="402"/>
      <c r="E41" s="402"/>
      <c r="F41" s="403"/>
    </row>
    <row r="42" spans="1:6" ht="18.95" customHeight="1">
      <c r="A42" s="401"/>
      <c r="B42" s="402"/>
      <c r="C42" s="402"/>
      <c r="D42" s="402"/>
      <c r="E42" s="402"/>
      <c r="F42" s="403"/>
    </row>
    <row r="43" spans="1:6" ht="18.95" customHeight="1">
      <c r="A43" s="413"/>
      <c r="B43" s="411"/>
      <c r="C43" s="414" t="s">
        <v>582</v>
      </c>
      <c r="D43" s="415" t="str">
        <f>'Performance Data Sheet'!K42</f>
        <v>Zichao Xie</v>
      </c>
      <c r="E43" s="414" t="s">
        <v>583</v>
      </c>
      <c r="F43" s="41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393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594</v>
      </c>
    </row>
    <row r="54" spans="1:6" ht="15" customHeight="1">
      <c r="A54" s="430">
        <v>0</v>
      </c>
      <c r="B54" s="431"/>
      <c r="C54" s="432"/>
      <c r="D54" s="432">
        <v>23.653461843009648</v>
      </c>
      <c r="E54" s="432">
        <v>100</v>
      </c>
      <c r="F54" s="433">
        <f>12246/8000</f>
        <v>1.5307500000000001</v>
      </c>
    </row>
    <row r="55" spans="1:6" ht="15" customHeight="1">
      <c r="A55" s="434">
        <v>25</v>
      </c>
      <c r="B55" s="435">
        <v>84.95001220703125</v>
      </c>
      <c r="C55" s="436">
        <v>62.719051361083984</v>
      </c>
      <c r="D55" s="436">
        <v>34.985551175489022</v>
      </c>
      <c r="E55" s="436">
        <v>71.602259099375559</v>
      </c>
      <c r="F55" s="437">
        <v>10.970981066216339</v>
      </c>
    </row>
    <row r="56" spans="1:6" ht="15" customHeight="1">
      <c r="A56" s="434">
        <v>50</v>
      </c>
      <c r="B56" s="435">
        <v>91.210098266601563</v>
      </c>
      <c r="C56" s="436">
        <v>80.183479309082031</v>
      </c>
      <c r="D56" s="436">
        <v>50.974599372304951</v>
      </c>
      <c r="E56" s="436">
        <v>60.355559235052461</v>
      </c>
      <c r="F56" s="437">
        <v>20.436004601839389</v>
      </c>
    </row>
    <row r="57" spans="1:6">
      <c r="A57" s="434">
        <v>75</v>
      </c>
      <c r="B57" s="435">
        <v>93.333198547363281</v>
      </c>
      <c r="C57" s="436">
        <v>85.758766174316406</v>
      </c>
      <c r="D57" s="436">
        <v>69.864771885103536</v>
      </c>
      <c r="E57" s="436">
        <v>48.855818624741538</v>
      </c>
      <c r="F57" s="437">
        <v>29.956705480927855</v>
      </c>
    </row>
    <row r="58" spans="1:6">
      <c r="A58" s="434">
        <v>100</v>
      </c>
      <c r="B58" s="435">
        <v>94.292060852050781</v>
      </c>
      <c r="C58" s="436">
        <v>87.700119018554688</v>
      </c>
      <c r="D58" s="436">
        <v>90</v>
      </c>
      <c r="E58" s="436">
        <v>37.045909696420431</v>
      </c>
      <c r="F58" s="437">
        <v>39.536104236224297</v>
      </c>
    </row>
    <row r="59" spans="1:6" ht="13.5" thickBot="1">
      <c r="A59" s="438">
        <v>125</v>
      </c>
      <c r="B59" s="439">
        <v>94.753044128417969</v>
      </c>
      <c r="C59" s="440">
        <v>88.165855407714844</v>
      </c>
      <c r="D59" s="440">
        <v>111.56504606018359</v>
      </c>
      <c r="E59" s="440">
        <v>25.029434545992597</v>
      </c>
      <c r="F59" s="441">
        <v>49.179696320495658</v>
      </c>
    </row>
    <row r="60" spans="1:6">
      <c r="A60" s="416"/>
      <c r="B60" s="417"/>
      <c r="C60" s="417"/>
    </row>
    <row r="61" spans="1:6">
      <c r="A61" s="416"/>
      <c r="B61" s="417"/>
      <c r="C61" s="417"/>
    </row>
    <row r="62" spans="1:6">
      <c r="A62" s="416"/>
      <c r="B62" s="417"/>
      <c r="C62" s="417"/>
    </row>
    <row r="63" spans="1:6">
      <c r="A63" s="416"/>
      <c r="B63" s="417"/>
      <c r="C63" s="417"/>
    </row>
    <row r="64" spans="1:6">
      <c r="A64" s="416"/>
      <c r="B64" s="417"/>
      <c r="C64" s="417"/>
    </row>
    <row r="65" spans="1:3">
      <c r="A65" s="416"/>
      <c r="B65" s="417"/>
      <c r="C65" s="417"/>
    </row>
    <row r="66" spans="1:3">
      <c r="A66" s="416"/>
      <c r="B66" s="417"/>
      <c r="C66" s="417"/>
    </row>
    <row r="67" spans="1:3">
      <c r="A67" s="418"/>
      <c r="B67" s="417"/>
      <c r="C67" s="417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syncVertical="1" syncRef="A1" transitionEvaluation="1"/>
  <dimension ref="A1:AB45"/>
  <sheetViews>
    <sheetView showGridLines="0" zoomScale="75" zoomScaleNormal="75" workbookViewId="0">
      <selection activeCell="R42" sqref="R42"/>
    </sheetView>
  </sheetViews>
  <sheetFormatPr defaultColWidth="9.7109375" defaultRowHeight="12.75"/>
  <cols>
    <col min="1" max="2" width="6.5703125" style="556" customWidth="1"/>
    <col min="3" max="3" width="8.7109375" style="556" customWidth="1"/>
    <col min="4" max="13" width="6.5703125" style="556" customWidth="1"/>
    <col min="14" max="14" width="6.42578125" style="556" customWidth="1"/>
    <col min="15" max="256" width="9.7109375" style="556"/>
    <col min="257" max="258" width="6.5703125" style="556" customWidth="1"/>
    <col min="259" max="259" width="8.7109375" style="556" customWidth="1"/>
    <col min="260" max="269" width="6.5703125" style="556" customWidth="1"/>
    <col min="270" max="270" width="6.42578125" style="556" customWidth="1"/>
    <col min="271" max="512" width="9.7109375" style="556"/>
    <col min="513" max="514" width="6.5703125" style="556" customWidth="1"/>
    <col min="515" max="515" width="8.7109375" style="556" customWidth="1"/>
    <col min="516" max="525" width="6.5703125" style="556" customWidth="1"/>
    <col min="526" max="526" width="6.42578125" style="556" customWidth="1"/>
    <col min="527" max="768" width="9.7109375" style="556"/>
    <col min="769" max="770" width="6.5703125" style="556" customWidth="1"/>
    <col min="771" max="771" width="8.7109375" style="556" customWidth="1"/>
    <col min="772" max="781" width="6.5703125" style="556" customWidth="1"/>
    <col min="782" max="782" width="6.42578125" style="556" customWidth="1"/>
    <col min="783" max="1024" width="9.7109375" style="556"/>
    <col min="1025" max="1026" width="6.5703125" style="556" customWidth="1"/>
    <col min="1027" max="1027" width="8.7109375" style="556" customWidth="1"/>
    <col min="1028" max="1037" width="6.5703125" style="556" customWidth="1"/>
    <col min="1038" max="1038" width="6.42578125" style="556" customWidth="1"/>
    <col min="1039" max="1280" width="9.7109375" style="556"/>
    <col min="1281" max="1282" width="6.5703125" style="556" customWidth="1"/>
    <col min="1283" max="1283" width="8.7109375" style="556" customWidth="1"/>
    <col min="1284" max="1293" width="6.5703125" style="556" customWidth="1"/>
    <col min="1294" max="1294" width="6.42578125" style="556" customWidth="1"/>
    <col min="1295" max="1536" width="9.7109375" style="556"/>
    <col min="1537" max="1538" width="6.5703125" style="556" customWidth="1"/>
    <col min="1539" max="1539" width="8.7109375" style="556" customWidth="1"/>
    <col min="1540" max="1549" width="6.5703125" style="556" customWidth="1"/>
    <col min="1550" max="1550" width="6.42578125" style="556" customWidth="1"/>
    <col min="1551" max="1792" width="9.7109375" style="556"/>
    <col min="1793" max="1794" width="6.5703125" style="556" customWidth="1"/>
    <col min="1795" max="1795" width="8.7109375" style="556" customWidth="1"/>
    <col min="1796" max="1805" width="6.5703125" style="556" customWidth="1"/>
    <col min="1806" max="1806" width="6.42578125" style="556" customWidth="1"/>
    <col min="1807" max="2048" width="9.7109375" style="556"/>
    <col min="2049" max="2050" width="6.5703125" style="556" customWidth="1"/>
    <col min="2051" max="2051" width="8.7109375" style="556" customWidth="1"/>
    <col min="2052" max="2061" width="6.5703125" style="556" customWidth="1"/>
    <col min="2062" max="2062" width="6.42578125" style="556" customWidth="1"/>
    <col min="2063" max="2304" width="9.7109375" style="556"/>
    <col min="2305" max="2306" width="6.5703125" style="556" customWidth="1"/>
    <col min="2307" max="2307" width="8.7109375" style="556" customWidth="1"/>
    <col min="2308" max="2317" width="6.5703125" style="556" customWidth="1"/>
    <col min="2318" max="2318" width="6.42578125" style="556" customWidth="1"/>
    <col min="2319" max="2560" width="9.7109375" style="556"/>
    <col min="2561" max="2562" width="6.5703125" style="556" customWidth="1"/>
    <col min="2563" max="2563" width="8.7109375" style="556" customWidth="1"/>
    <col min="2564" max="2573" width="6.5703125" style="556" customWidth="1"/>
    <col min="2574" max="2574" width="6.42578125" style="556" customWidth="1"/>
    <col min="2575" max="2816" width="9.7109375" style="556"/>
    <col min="2817" max="2818" width="6.5703125" style="556" customWidth="1"/>
    <col min="2819" max="2819" width="8.7109375" style="556" customWidth="1"/>
    <col min="2820" max="2829" width="6.5703125" style="556" customWidth="1"/>
    <col min="2830" max="2830" width="6.42578125" style="556" customWidth="1"/>
    <col min="2831" max="3072" width="9.7109375" style="556"/>
    <col min="3073" max="3074" width="6.5703125" style="556" customWidth="1"/>
    <col min="3075" max="3075" width="8.7109375" style="556" customWidth="1"/>
    <col min="3076" max="3085" width="6.5703125" style="556" customWidth="1"/>
    <col min="3086" max="3086" width="6.42578125" style="556" customWidth="1"/>
    <col min="3087" max="3328" width="9.7109375" style="556"/>
    <col min="3329" max="3330" width="6.5703125" style="556" customWidth="1"/>
    <col min="3331" max="3331" width="8.7109375" style="556" customWidth="1"/>
    <col min="3332" max="3341" width="6.5703125" style="556" customWidth="1"/>
    <col min="3342" max="3342" width="6.42578125" style="556" customWidth="1"/>
    <col min="3343" max="3584" width="9.7109375" style="556"/>
    <col min="3585" max="3586" width="6.5703125" style="556" customWidth="1"/>
    <col min="3587" max="3587" width="8.7109375" style="556" customWidth="1"/>
    <col min="3588" max="3597" width="6.5703125" style="556" customWidth="1"/>
    <col min="3598" max="3598" width="6.42578125" style="556" customWidth="1"/>
    <col min="3599" max="3840" width="9.7109375" style="556"/>
    <col min="3841" max="3842" width="6.5703125" style="556" customWidth="1"/>
    <col min="3843" max="3843" width="8.7109375" style="556" customWidth="1"/>
    <col min="3844" max="3853" width="6.5703125" style="556" customWidth="1"/>
    <col min="3854" max="3854" width="6.42578125" style="556" customWidth="1"/>
    <col min="3855" max="4096" width="9.7109375" style="556"/>
    <col min="4097" max="4098" width="6.5703125" style="556" customWidth="1"/>
    <col min="4099" max="4099" width="8.7109375" style="556" customWidth="1"/>
    <col min="4100" max="4109" width="6.5703125" style="556" customWidth="1"/>
    <col min="4110" max="4110" width="6.42578125" style="556" customWidth="1"/>
    <col min="4111" max="4352" width="9.7109375" style="556"/>
    <col min="4353" max="4354" width="6.5703125" style="556" customWidth="1"/>
    <col min="4355" max="4355" width="8.7109375" style="556" customWidth="1"/>
    <col min="4356" max="4365" width="6.5703125" style="556" customWidth="1"/>
    <col min="4366" max="4366" width="6.42578125" style="556" customWidth="1"/>
    <col min="4367" max="4608" width="9.7109375" style="556"/>
    <col min="4609" max="4610" width="6.5703125" style="556" customWidth="1"/>
    <col min="4611" max="4611" width="8.7109375" style="556" customWidth="1"/>
    <col min="4612" max="4621" width="6.5703125" style="556" customWidth="1"/>
    <col min="4622" max="4622" width="6.42578125" style="556" customWidth="1"/>
    <col min="4623" max="4864" width="9.7109375" style="556"/>
    <col min="4865" max="4866" width="6.5703125" style="556" customWidth="1"/>
    <col min="4867" max="4867" width="8.7109375" style="556" customWidth="1"/>
    <col min="4868" max="4877" width="6.5703125" style="556" customWidth="1"/>
    <col min="4878" max="4878" width="6.42578125" style="556" customWidth="1"/>
    <col min="4879" max="5120" width="9.7109375" style="556"/>
    <col min="5121" max="5122" width="6.5703125" style="556" customWidth="1"/>
    <col min="5123" max="5123" width="8.7109375" style="556" customWidth="1"/>
    <col min="5124" max="5133" width="6.5703125" style="556" customWidth="1"/>
    <col min="5134" max="5134" width="6.42578125" style="556" customWidth="1"/>
    <col min="5135" max="5376" width="9.7109375" style="556"/>
    <col min="5377" max="5378" width="6.5703125" style="556" customWidth="1"/>
    <col min="5379" max="5379" width="8.7109375" style="556" customWidth="1"/>
    <col min="5380" max="5389" width="6.5703125" style="556" customWidth="1"/>
    <col min="5390" max="5390" width="6.42578125" style="556" customWidth="1"/>
    <col min="5391" max="5632" width="9.7109375" style="556"/>
    <col min="5633" max="5634" width="6.5703125" style="556" customWidth="1"/>
    <col min="5635" max="5635" width="8.7109375" style="556" customWidth="1"/>
    <col min="5636" max="5645" width="6.5703125" style="556" customWidth="1"/>
    <col min="5646" max="5646" width="6.42578125" style="556" customWidth="1"/>
    <col min="5647" max="5888" width="9.7109375" style="556"/>
    <col min="5889" max="5890" width="6.5703125" style="556" customWidth="1"/>
    <col min="5891" max="5891" width="8.7109375" style="556" customWidth="1"/>
    <col min="5892" max="5901" width="6.5703125" style="556" customWidth="1"/>
    <col min="5902" max="5902" width="6.42578125" style="556" customWidth="1"/>
    <col min="5903" max="6144" width="9.7109375" style="556"/>
    <col min="6145" max="6146" width="6.5703125" style="556" customWidth="1"/>
    <col min="6147" max="6147" width="8.7109375" style="556" customWidth="1"/>
    <col min="6148" max="6157" width="6.5703125" style="556" customWidth="1"/>
    <col min="6158" max="6158" width="6.42578125" style="556" customWidth="1"/>
    <col min="6159" max="6400" width="9.7109375" style="556"/>
    <col min="6401" max="6402" width="6.5703125" style="556" customWidth="1"/>
    <col min="6403" max="6403" width="8.7109375" style="556" customWidth="1"/>
    <col min="6404" max="6413" width="6.5703125" style="556" customWidth="1"/>
    <col min="6414" max="6414" width="6.42578125" style="556" customWidth="1"/>
    <col min="6415" max="6656" width="9.7109375" style="556"/>
    <col min="6657" max="6658" width="6.5703125" style="556" customWidth="1"/>
    <col min="6659" max="6659" width="8.7109375" style="556" customWidth="1"/>
    <col min="6660" max="6669" width="6.5703125" style="556" customWidth="1"/>
    <col min="6670" max="6670" width="6.42578125" style="556" customWidth="1"/>
    <col min="6671" max="6912" width="9.7109375" style="556"/>
    <col min="6913" max="6914" width="6.5703125" style="556" customWidth="1"/>
    <col min="6915" max="6915" width="8.7109375" style="556" customWidth="1"/>
    <col min="6916" max="6925" width="6.5703125" style="556" customWidth="1"/>
    <col min="6926" max="6926" width="6.42578125" style="556" customWidth="1"/>
    <col min="6927" max="7168" width="9.7109375" style="556"/>
    <col min="7169" max="7170" width="6.5703125" style="556" customWidth="1"/>
    <col min="7171" max="7171" width="8.7109375" style="556" customWidth="1"/>
    <col min="7172" max="7181" width="6.5703125" style="556" customWidth="1"/>
    <col min="7182" max="7182" width="6.42578125" style="556" customWidth="1"/>
    <col min="7183" max="7424" width="9.7109375" style="556"/>
    <col min="7425" max="7426" width="6.5703125" style="556" customWidth="1"/>
    <col min="7427" max="7427" width="8.7109375" style="556" customWidth="1"/>
    <col min="7428" max="7437" width="6.5703125" style="556" customWidth="1"/>
    <col min="7438" max="7438" width="6.42578125" style="556" customWidth="1"/>
    <col min="7439" max="7680" width="9.7109375" style="556"/>
    <col min="7681" max="7682" width="6.5703125" style="556" customWidth="1"/>
    <col min="7683" max="7683" width="8.7109375" style="556" customWidth="1"/>
    <col min="7684" max="7693" width="6.5703125" style="556" customWidth="1"/>
    <col min="7694" max="7694" width="6.42578125" style="556" customWidth="1"/>
    <col min="7695" max="7936" width="9.7109375" style="556"/>
    <col min="7937" max="7938" width="6.5703125" style="556" customWidth="1"/>
    <col min="7939" max="7939" width="8.7109375" style="556" customWidth="1"/>
    <col min="7940" max="7949" width="6.5703125" style="556" customWidth="1"/>
    <col min="7950" max="7950" width="6.42578125" style="556" customWidth="1"/>
    <col min="7951" max="8192" width="9.7109375" style="556"/>
    <col min="8193" max="8194" width="6.5703125" style="556" customWidth="1"/>
    <col min="8195" max="8195" width="8.7109375" style="556" customWidth="1"/>
    <col min="8196" max="8205" width="6.5703125" style="556" customWidth="1"/>
    <col min="8206" max="8206" width="6.42578125" style="556" customWidth="1"/>
    <col min="8207" max="8448" width="9.7109375" style="556"/>
    <col min="8449" max="8450" width="6.5703125" style="556" customWidth="1"/>
    <col min="8451" max="8451" width="8.7109375" style="556" customWidth="1"/>
    <col min="8452" max="8461" width="6.5703125" style="556" customWidth="1"/>
    <col min="8462" max="8462" width="6.42578125" style="556" customWidth="1"/>
    <col min="8463" max="8704" width="9.7109375" style="556"/>
    <col min="8705" max="8706" width="6.5703125" style="556" customWidth="1"/>
    <col min="8707" max="8707" width="8.7109375" style="556" customWidth="1"/>
    <col min="8708" max="8717" width="6.5703125" style="556" customWidth="1"/>
    <col min="8718" max="8718" width="6.42578125" style="556" customWidth="1"/>
    <col min="8719" max="8960" width="9.7109375" style="556"/>
    <col min="8961" max="8962" width="6.5703125" style="556" customWidth="1"/>
    <col min="8963" max="8963" width="8.7109375" style="556" customWidth="1"/>
    <col min="8964" max="8973" width="6.5703125" style="556" customWidth="1"/>
    <col min="8974" max="8974" width="6.42578125" style="556" customWidth="1"/>
    <col min="8975" max="9216" width="9.7109375" style="556"/>
    <col min="9217" max="9218" width="6.5703125" style="556" customWidth="1"/>
    <col min="9219" max="9219" width="8.7109375" style="556" customWidth="1"/>
    <col min="9220" max="9229" width="6.5703125" style="556" customWidth="1"/>
    <col min="9230" max="9230" width="6.42578125" style="556" customWidth="1"/>
    <col min="9231" max="9472" width="9.7109375" style="556"/>
    <col min="9473" max="9474" width="6.5703125" style="556" customWidth="1"/>
    <col min="9475" max="9475" width="8.7109375" style="556" customWidth="1"/>
    <col min="9476" max="9485" width="6.5703125" style="556" customWidth="1"/>
    <col min="9486" max="9486" width="6.42578125" style="556" customWidth="1"/>
    <col min="9487" max="9728" width="9.7109375" style="556"/>
    <col min="9729" max="9730" width="6.5703125" style="556" customWidth="1"/>
    <col min="9731" max="9731" width="8.7109375" style="556" customWidth="1"/>
    <col min="9732" max="9741" width="6.5703125" style="556" customWidth="1"/>
    <col min="9742" max="9742" width="6.42578125" style="556" customWidth="1"/>
    <col min="9743" max="9984" width="9.7109375" style="556"/>
    <col min="9985" max="9986" width="6.5703125" style="556" customWidth="1"/>
    <col min="9987" max="9987" width="8.7109375" style="556" customWidth="1"/>
    <col min="9988" max="9997" width="6.5703125" style="556" customWidth="1"/>
    <col min="9998" max="9998" width="6.42578125" style="556" customWidth="1"/>
    <col min="9999" max="10240" width="9.7109375" style="556"/>
    <col min="10241" max="10242" width="6.5703125" style="556" customWidth="1"/>
    <col min="10243" max="10243" width="8.7109375" style="556" customWidth="1"/>
    <col min="10244" max="10253" width="6.5703125" style="556" customWidth="1"/>
    <col min="10254" max="10254" width="6.42578125" style="556" customWidth="1"/>
    <col min="10255" max="10496" width="9.7109375" style="556"/>
    <col min="10497" max="10498" width="6.5703125" style="556" customWidth="1"/>
    <col min="10499" max="10499" width="8.7109375" style="556" customWidth="1"/>
    <col min="10500" max="10509" width="6.5703125" style="556" customWidth="1"/>
    <col min="10510" max="10510" width="6.42578125" style="556" customWidth="1"/>
    <col min="10511" max="10752" width="9.7109375" style="556"/>
    <col min="10753" max="10754" width="6.5703125" style="556" customWidth="1"/>
    <col min="10755" max="10755" width="8.7109375" style="556" customWidth="1"/>
    <col min="10756" max="10765" width="6.5703125" style="556" customWidth="1"/>
    <col min="10766" max="10766" width="6.42578125" style="556" customWidth="1"/>
    <col min="10767" max="11008" width="9.7109375" style="556"/>
    <col min="11009" max="11010" width="6.5703125" style="556" customWidth="1"/>
    <col min="11011" max="11011" width="8.7109375" style="556" customWidth="1"/>
    <col min="11012" max="11021" width="6.5703125" style="556" customWidth="1"/>
    <col min="11022" max="11022" width="6.42578125" style="556" customWidth="1"/>
    <col min="11023" max="11264" width="9.7109375" style="556"/>
    <col min="11265" max="11266" width="6.5703125" style="556" customWidth="1"/>
    <col min="11267" max="11267" width="8.7109375" style="556" customWidth="1"/>
    <col min="11268" max="11277" width="6.5703125" style="556" customWidth="1"/>
    <col min="11278" max="11278" width="6.42578125" style="556" customWidth="1"/>
    <col min="11279" max="11520" width="9.7109375" style="556"/>
    <col min="11521" max="11522" width="6.5703125" style="556" customWidth="1"/>
    <col min="11523" max="11523" width="8.7109375" style="556" customWidth="1"/>
    <col min="11524" max="11533" width="6.5703125" style="556" customWidth="1"/>
    <col min="11534" max="11534" width="6.42578125" style="556" customWidth="1"/>
    <col min="11535" max="11776" width="9.7109375" style="556"/>
    <col min="11777" max="11778" width="6.5703125" style="556" customWidth="1"/>
    <col min="11779" max="11779" width="8.7109375" style="556" customWidth="1"/>
    <col min="11780" max="11789" width="6.5703125" style="556" customWidth="1"/>
    <col min="11790" max="11790" width="6.42578125" style="556" customWidth="1"/>
    <col min="11791" max="12032" width="9.7109375" style="556"/>
    <col min="12033" max="12034" width="6.5703125" style="556" customWidth="1"/>
    <col min="12035" max="12035" width="8.7109375" style="556" customWidth="1"/>
    <col min="12036" max="12045" width="6.5703125" style="556" customWidth="1"/>
    <col min="12046" max="12046" width="6.42578125" style="556" customWidth="1"/>
    <col min="12047" max="12288" width="9.7109375" style="556"/>
    <col min="12289" max="12290" width="6.5703125" style="556" customWidth="1"/>
    <col min="12291" max="12291" width="8.7109375" style="556" customWidth="1"/>
    <col min="12292" max="12301" width="6.5703125" style="556" customWidth="1"/>
    <col min="12302" max="12302" width="6.42578125" style="556" customWidth="1"/>
    <col min="12303" max="12544" width="9.7109375" style="556"/>
    <col min="12545" max="12546" width="6.5703125" style="556" customWidth="1"/>
    <col min="12547" max="12547" width="8.7109375" style="556" customWidth="1"/>
    <col min="12548" max="12557" width="6.5703125" style="556" customWidth="1"/>
    <col min="12558" max="12558" width="6.42578125" style="556" customWidth="1"/>
    <col min="12559" max="12800" width="9.7109375" style="556"/>
    <col min="12801" max="12802" width="6.5703125" style="556" customWidth="1"/>
    <col min="12803" max="12803" width="8.7109375" style="556" customWidth="1"/>
    <col min="12804" max="12813" width="6.5703125" style="556" customWidth="1"/>
    <col min="12814" max="12814" width="6.42578125" style="556" customWidth="1"/>
    <col min="12815" max="13056" width="9.7109375" style="556"/>
    <col min="13057" max="13058" width="6.5703125" style="556" customWidth="1"/>
    <col min="13059" max="13059" width="8.7109375" style="556" customWidth="1"/>
    <col min="13060" max="13069" width="6.5703125" style="556" customWidth="1"/>
    <col min="13070" max="13070" width="6.42578125" style="556" customWidth="1"/>
    <col min="13071" max="13312" width="9.7109375" style="556"/>
    <col min="13313" max="13314" width="6.5703125" style="556" customWidth="1"/>
    <col min="13315" max="13315" width="8.7109375" style="556" customWidth="1"/>
    <col min="13316" max="13325" width="6.5703125" style="556" customWidth="1"/>
    <col min="13326" max="13326" width="6.42578125" style="556" customWidth="1"/>
    <col min="13327" max="13568" width="9.7109375" style="556"/>
    <col min="13569" max="13570" width="6.5703125" style="556" customWidth="1"/>
    <col min="13571" max="13571" width="8.7109375" style="556" customWidth="1"/>
    <col min="13572" max="13581" width="6.5703125" style="556" customWidth="1"/>
    <col min="13582" max="13582" width="6.42578125" style="556" customWidth="1"/>
    <col min="13583" max="13824" width="9.7109375" style="556"/>
    <col min="13825" max="13826" width="6.5703125" style="556" customWidth="1"/>
    <col min="13827" max="13827" width="8.7109375" style="556" customWidth="1"/>
    <col min="13828" max="13837" width="6.5703125" style="556" customWidth="1"/>
    <col min="13838" max="13838" width="6.42578125" style="556" customWidth="1"/>
    <col min="13839" max="14080" width="9.7109375" style="556"/>
    <col min="14081" max="14082" width="6.5703125" style="556" customWidth="1"/>
    <col min="14083" max="14083" width="8.7109375" style="556" customWidth="1"/>
    <col min="14084" max="14093" width="6.5703125" style="556" customWidth="1"/>
    <col min="14094" max="14094" width="6.42578125" style="556" customWidth="1"/>
    <col min="14095" max="14336" width="9.7109375" style="556"/>
    <col min="14337" max="14338" width="6.5703125" style="556" customWidth="1"/>
    <col min="14339" max="14339" width="8.7109375" style="556" customWidth="1"/>
    <col min="14340" max="14349" width="6.5703125" style="556" customWidth="1"/>
    <col min="14350" max="14350" width="6.42578125" style="556" customWidth="1"/>
    <col min="14351" max="14592" width="9.7109375" style="556"/>
    <col min="14593" max="14594" width="6.5703125" style="556" customWidth="1"/>
    <col min="14595" max="14595" width="8.7109375" style="556" customWidth="1"/>
    <col min="14596" max="14605" width="6.5703125" style="556" customWidth="1"/>
    <col min="14606" max="14606" width="6.42578125" style="556" customWidth="1"/>
    <col min="14607" max="14848" width="9.7109375" style="556"/>
    <col min="14849" max="14850" width="6.5703125" style="556" customWidth="1"/>
    <col min="14851" max="14851" width="8.7109375" style="556" customWidth="1"/>
    <col min="14852" max="14861" width="6.5703125" style="556" customWidth="1"/>
    <col min="14862" max="14862" width="6.42578125" style="556" customWidth="1"/>
    <col min="14863" max="15104" width="9.7109375" style="556"/>
    <col min="15105" max="15106" width="6.5703125" style="556" customWidth="1"/>
    <col min="15107" max="15107" width="8.7109375" style="556" customWidth="1"/>
    <col min="15108" max="15117" width="6.5703125" style="556" customWidth="1"/>
    <col min="15118" max="15118" width="6.42578125" style="556" customWidth="1"/>
    <col min="15119" max="15360" width="9.7109375" style="556"/>
    <col min="15361" max="15362" width="6.5703125" style="556" customWidth="1"/>
    <col min="15363" max="15363" width="8.7109375" style="556" customWidth="1"/>
    <col min="15364" max="15373" width="6.5703125" style="556" customWidth="1"/>
    <col min="15374" max="15374" width="6.42578125" style="556" customWidth="1"/>
    <col min="15375" max="15616" width="9.7109375" style="556"/>
    <col min="15617" max="15618" width="6.5703125" style="556" customWidth="1"/>
    <col min="15619" max="15619" width="8.7109375" style="556" customWidth="1"/>
    <col min="15620" max="15629" width="6.5703125" style="556" customWidth="1"/>
    <col min="15630" max="15630" width="6.42578125" style="556" customWidth="1"/>
    <col min="15631" max="15872" width="9.7109375" style="556"/>
    <col min="15873" max="15874" width="6.5703125" style="556" customWidth="1"/>
    <col min="15875" max="15875" width="8.7109375" style="556" customWidth="1"/>
    <col min="15876" max="15885" width="6.5703125" style="556" customWidth="1"/>
    <col min="15886" max="15886" width="6.42578125" style="556" customWidth="1"/>
    <col min="15887" max="16128" width="9.7109375" style="556"/>
    <col min="16129" max="16130" width="6.5703125" style="556" customWidth="1"/>
    <col min="16131" max="16131" width="8.7109375" style="556" customWidth="1"/>
    <col min="16132" max="16141" width="6.5703125" style="556" customWidth="1"/>
    <col min="16142" max="16142" width="6.42578125" style="556" customWidth="1"/>
    <col min="16143" max="16384" width="9.7109375" style="556"/>
  </cols>
  <sheetData>
    <row r="1" spans="1:14" ht="15.75" customHeight="1">
      <c r="A1" s="550" t="s">
        <v>267</v>
      </c>
      <c r="B1" s="551"/>
      <c r="C1" s="551"/>
      <c r="D1" s="551"/>
      <c r="E1" s="551"/>
      <c r="F1" s="551"/>
      <c r="G1" s="551"/>
      <c r="H1" s="551"/>
      <c r="I1" s="551"/>
      <c r="J1" s="552" t="s">
        <v>595</v>
      </c>
      <c r="K1" s="553"/>
      <c r="L1" s="554" t="s">
        <v>747</v>
      </c>
      <c r="M1" s="555"/>
    </row>
    <row r="2" spans="1:14" ht="15.75" customHeight="1">
      <c r="A2" s="557" t="s">
        <v>597</v>
      </c>
      <c r="B2" s="558"/>
      <c r="C2" s="558"/>
      <c r="D2" s="558"/>
      <c r="E2" s="558"/>
      <c r="F2" s="558"/>
      <c r="G2" s="558"/>
      <c r="H2" s="558"/>
      <c r="I2" s="558"/>
      <c r="J2" s="559" t="s">
        <v>598</v>
      </c>
      <c r="K2" s="560"/>
      <c r="L2" s="561" t="s">
        <v>599</v>
      </c>
      <c r="M2" s="562"/>
    </row>
    <row r="3" spans="1:14" ht="15.75" customHeight="1">
      <c r="A3" s="563"/>
      <c r="B3" s="564"/>
      <c r="C3" s="564"/>
      <c r="D3" s="564"/>
      <c r="E3" s="564"/>
      <c r="F3" s="564"/>
      <c r="G3" s="564"/>
      <c r="H3" s="564"/>
      <c r="I3" s="564"/>
      <c r="J3" s="559" t="s">
        <v>600</v>
      </c>
      <c r="K3" s="560"/>
      <c r="L3" s="838">
        <v>38309</v>
      </c>
      <c r="M3" s="839"/>
    </row>
    <row r="4" spans="1:14" ht="15.75" customHeight="1">
      <c r="A4" s="840" t="s">
        <v>748</v>
      </c>
      <c r="B4" s="841"/>
      <c r="C4" s="841"/>
      <c r="D4" s="841"/>
      <c r="E4" s="841"/>
      <c r="F4" s="841"/>
      <c r="G4" s="841"/>
      <c r="H4" s="841"/>
      <c r="I4" s="842"/>
      <c r="J4" s="559" t="s">
        <v>602</v>
      </c>
      <c r="K4" s="560"/>
      <c r="L4" s="561" t="s">
        <v>749</v>
      </c>
      <c r="M4" s="562"/>
    </row>
    <row r="5" spans="1:14" ht="15.75" customHeight="1">
      <c r="A5" s="840"/>
      <c r="B5" s="843"/>
      <c r="C5" s="843"/>
      <c r="D5" s="843"/>
      <c r="E5" s="843"/>
      <c r="F5" s="843"/>
      <c r="G5" s="843"/>
      <c r="H5" s="843"/>
      <c r="I5" s="844"/>
      <c r="J5" s="559" t="s">
        <v>604</v>
      </c>
      <c r="K5" s="560"/>
      <c r="L5" s="561" t="s">
        <v>750</v>
      </c>
      <c r="M5" s="562"/>
    </row>
    <row r="6" spans="1:14" ht="15.75" customHeight="1">
      <c r="A6" s="565"/>
      <c r="B6" s="564"/>
      <c r="C6" s="564"/>
      <c r="D6" s="564"/>
      <c r="E6" s="564"/>
      <c r="F6" s="564"/>
      <c r="G6" s="564"/>
      <c r="H6" s="564"/>
      <c r="I6" s="564"/>
      <c r="J6" s="559" t="s">
        <v>606</v>
      </c>
      <c r="K6" s="560"/>
      <c r="L6" s="561" t="s">
        <v>607</v>
      </c>
      <c r="M6" s="562"/>
    </row>
    <row r="7" spans="1:14" ht="15.75" customHeight="1" thickBot="1">
      <c r="A7" s="566" t="s">
        <v>751</v>
      </c>
      <c r="B7" s="567"/>
      <c r="C7" s="567"/>
      <c r="D7" s="567"/>
      <c r="E7" s="567"/>
      <c r="F7" s="567"/>
      <c r="G7" s="567"/>
      <c r="H7" s="567"/>
      <c r="I7" s="567"/>
      <c r="J7" s="568" t="s">
        <v>609</v>
      </c>
      <c r="K7" s="569"/>
      <c r="L7" s="570" t="s">
        <v>752</v>
      </c>
      <c r="M7" s="571"/>
    </row>
    <row r="8" spans="1:14" ht="15.75" customHeight="1">
      <c r="A8" s="467"/>
      <c r="B8" s="457"/>
      <c r="C8" s="457"/>
      <c r="D8" s="457"/>
      <c r="E8" s="457"/>
      <c r="F8" s="457"/>
      <c r="G8" s="457"/>
      <c r="H8" s="457"/>
      <c r="I8" s="457"/>
      <c r="J8" s="457"/>
      <c r="K8" s="468"/>
      <c r="L8" s="469"/>
      <c r="M8" s="470"/>
      <c r="N8" s="572"/>
    </row>
    <row r="9" spans="1:14" ht="15.75" customHeight="1">
      <c r="A9" s="471"/>
      <c r="B9" s="472" t="s">
        <v>611</v>
      </c>
      <c r="C9" s="473" t="s">
        <v>702</v>
      </c>
      <c r="D9" s="474"/>
      <c r="E9" s="474"/>
      <c r="F9" s="474"/>
      <c r="G9" s="474"/>
      <c r="H9" s="474"/>
      <c r="I9" s="474"/>
      <c r="J9" s="474"/>
      <c r="K9" s="475"/>
      <c r="L9" s="471"/>
      <c r="M9" s="474"/>
      <c r="N9" s="572"/>
    </row>
    <row r="10" spans="1:14" ht="15.75" customHeight="1">
      <c r="A10" s="471"/>
      <c r="B10" s="472" t="s">
        <v>612</v>
      </c>
      <c r="C10" s="476" t="s">
        <v>703</v>
      </c>
      <c r="D10" s="471"/>
      <c r="E10" s="471"/>
      <c r="F10" s="471"/>
      <c r="G10" s="471"/>
      <c r="H10" s="471"/>
      <c r="I10" s="471"/>
      <c r="J10" s="471"/>
      <c r="K10" s="471"/>
      <c r="L10" s="471"/>
      <c r="M10" s="471"/>
      <c r="N10" s="572"/>
    </row>
    <row r="11" spans="1:14" ht="15.75" customHeight="1" thickBot="1">
      <c r="A11" s="469"/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572"/>
    </row>
    <row r="12" spans="1:14" ht="15.75" customHeight="1" thickBot="1">
      <c r="A12" s="477" t="s">
        <v>613</v>
      </c>
      <c r="B12" s="478"/>
      <c r="C12" s="478"/>
      <c r="D12" s="478"/>
      <c r="E12" s="478"/>
      <c r="F12" s="478"/>
      <c r="G12" s="478"/>
      <c r="H12" s="478"/>
      <c r="I12" s="478"/>
      <c r="J12" s="478"/>
      <c r="K12" s="478"/>
      <c r="L12" s="478"/>
      <c r="M12" s="479"/>
      <c r="N12" s="572"/>
    </row>
    <row r="13" spans="1:14" ht="15.75" customHeight="1" thickTop="1">
      <c r="A13" s="480"/>
      <c r="B13" s="472" t="s">
        <v>614</v>
      </c>
      <c r="C13" s="481">
        <v>400</v>
      </c>
      <c r="D13" s="471"/>
      <c r="E13" s="472" t="s">
        <v>615</v>
      </c>
      <c r="F13" s="481">
        <v>4000</v>
      </c>
      <c r="G13" s="471"/>
      <c r="H13" s="472" t="s">
        <v>616</v>
      </c>
      <c r="I13" s="481" t="s">
        <v>701</v>
      </c>
      <c r="J13" s="471"/>
      <c r="K13" s="471"/>
      <c r="L13" s="472" t="s">
        <v>617</v>
      </c>
      <c r="M13" s="482">
        <v>3600</v>
      </c>
      <c r="N13" s="572"/>
    </row>
    <row r="14" spans="1:14" ht="15.75" customHeight="1">
      <c r="A14" s="480"/>
      <c r="B14" s="472" t="s">
        <v>618</v>
      </c>
      <c r="C14" s="481" t="s">
        <v>704</v>
      </c>
      <c r="D14" s="471"/>
      <c r="E14" s="472" t="s">
        <v>619</v>
      </c>
      <c r="F14" s="483" t="s">
        <v>660</v>
      </c>
      <c r="G14" s="471"/>
      <c r="H14" s="472" t="s">
        <v>620</v>
      </c>
      <c r="I14" s="481">
        <v>52</v>
      </c>
      <c r="J14" s="471"/>
      <c r="K14" s="471"/>
      <c r="L14" s="472" t="s">
        <v>575</v>
      </c>
      <c r="M14" s="482">
        <v>3575</v>
      </c>
    </row>
    <row r="15" spans="1:14" ht="13.5" customHeight="1">
      <c r="A15" s="480"/>
      <c r="B15" s="472" t="s">
        <v>621</v>
      </c>
      <c r="C15" s="481" t="s">
        <v>193</v>
      </c>
      <c r="D15" s="471"/>
      <c r="E15" s="472" t="s">
        <v>622</v>
      </c>
      <c r="F15" s="484" t="s">
        <v>705</v>
      </c>
      <c r="G15" s="471"/>
      <c r="H15" s="472" t="s">
        <v>623</v>
      </c>
      <c r="I15" s="483" t="s">
        <v>318</v>
      </c>
      <c r="J15" s="471"/>
      <c r="K15" s="471"/>
      <c r="L15" s="472" t="s">
        <v>624</v>
      </c>
      <c r="M15" s="482" t="s">
        <v>361</v>
      </c>
    </row>
    <row r="16" spans="1:14" ht="11.25" customHeight="1">
      <c r="A16" s="480"/>
      <c r="B16" s="472" t="s">
        <v>625</v>
      </c>
      <c r="C16" s="481" t="s">
        <v>700</v>
      </c>
      <c r="D16" s="471"/>
      <c r="E16" s="472" t="s">
        <v>626</v>
      </c>
      <c r="F16" s="481" t="s">
        <v>436</v>
      </c>
      <c r="G16" s="471"/>
      <c r="H16" s="485" t="s">
        <v>627</v>
      </c>
      <c r="I16" s="486" t="s">
        <v>381</v>
      </c>
      <c r="J16" s="471"/>
      <c r="K16" s="471"/>
      <c r="L16" s="472" t="s">
        <v>628</v>
      </c>
      <c r="M16" s="482" t="s">
        <v>629</v>
      </c>
    </row>
    <row r="17" spans="1:22" ht="11.25" customHeight="1">
      <c r="A17" s="480"/>
      <c r="B17" s="472" t="s">
        <v>630</v>
      </c>
      <c r="C17" s="473" t="s">
        <v>706</v>
      </c>
      <c r="D17" s="471"/>
      <c r="E17" s="472"/>
      <c r="F17" s="483"/>
      <c r="G17" s="471"/>
      <c r="H17" s="472" t="s">
        <v>631</v>
      </c>
      <c r="I17" s="486" t="s">
        <v>175</v>
      </c>
      <c r="J17" s="471"/>
      <c r="K17" s="471"/>
      <c r="L17" s="472"/>
      <c r="M17" s="487"/>
    </row>
    <row r="18" spans="1:22" ht="12" customHeight="1" thickBot="1">
      <c r="A18" s="488"/>
      <c r="B18" s="489" t="s">
        <v>632</v>
      </c>
      <c r="C18" s="490" t="s">
        <v>175</v>
      </c>
      <c r="D18" s="491"/>
      <c r="E18" s="489" t="s">
        <v>633</v>
      </c>
      <c r="F18" s="490" t="s">
        <v>175</v>
      </c>
      <c r="G18" s="492"/>
      <c r="H18" s="489" t="s">
        <v>634</v>
      </c>
      <c r="I18" s="490" t="s">
        <v>175</v>
      </c>
      <c r="J18" s="491"/>
      <c r="K18" s="491"/>
      <c r="L18" s="491"/>
      <c r="M18" s="493"/>
    </row>
    <row r="19" spans="1:22" ht="12" customHeight="1">
      <c r="A19" s="573"/>
      <c r="B19" s="574"/>
      <c r="C19" s="575"/>
      <c r="D19" s="573"/>
      <c r="E19" s="573"/>
      <c r="F19" s="575"/>
      <c r="G19" s="573"/>
      <c r="H19" s="574"/>
      <c r="I19" s="845"/>
      <c r="J19" s="846"/>
      <c r="K19" s="846"/>
      <c r="L19" s="574"/>
      <c r="M19" s="576"/>
    </row>
    <row r="20" spans="1:22" ht="12" customHeight="1">
      <c r="A20" s="573"/>
      <c r="B20" s="577"/>
      <c r="C20" s="576"/>
      <c r="D20" s="573"/>
      <c r="E20" s="577"/>
      <c r="F20" s="576"/>
      <c r="G20" s="573"/>
      <c r="H20" s="577"/>
      <c r="I20" s="578"/>
      <c r="J20" s="573"/>
      <c r="K20" s="579"/>
      <c r="L20" s="579"/>
      <c r="M20" s="575"/>
    </row>
    <row r="21" spans="1:22" ht="15.75" customHeight="1">
      <c r="A21" s="572"/>
      <c r="B21" s="572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72"/>
    </row>
    <row r="22" spans="1:22" ht="15.75" customHeight="1" thickBot="1">
      <c r="A22" s="580"/>
      <c r="B22" s="580"/>
      <c r="C22" s="580"/>
      <c r="D22" s="580"/>
      <c r="E22" s="580"/>
      <c r="F22" s="580"/>
      <c r="G22" s="580"/>
      <c r="H22" s="580"/>
      <c r="I22" s="580"/>
      <c r="J22" s="580"/>
      <c r="K22" s="580"/>
      <c r="L22" s="580"/>
      <c r="M22" s="580"/>
    </row>
    <row r="23" spans="1:22" ht="15.75" customHeight="1">
      <c r="A23" s="847" t="s">
        <v>753</v>
      </c>
      <c r="B23" s="848"/>
      <c r="C23" s="848"/>
      <c r="D23" s="848"/>
      <c r="E23" s="848"/>
      <c r="F23" s="849" t="s">
        <v>754</v>
      </c>
      <c r="G23" s="849"/>
      <c r="H23" s="849"/>
      <c r="I23" s="850"/>
      <c r="J23" s="581"/>
      <c r="K23" s="581"/>
      <c r="L23" s="581"/>
      <c r="M23" s="581"/>
    </row>
    <row r="24" spans="1:22" ht="15.75" customHeight="1">
      <c r="A24" s="851" t="s">
        <v>755</v>
      </c>
      <c r="B24" s="852"/>
      <c r="C24" s="852"/>
      <c r="D24" s="852"/>
      <c r="E24" s="852"/>
      <c r="F24" s="853" t="s">
        <v>756</v>
      </c>
      <c r="G24" s="853"/>
      <c r="H24" s="853"/>
      <c r="I24" s="854"/>
      <c r="J24" s="583"/>
      <c r="K24" s="584"/>
      <c r="L24" s="584"/>
      <c r="M24" s="584"/>
    </row>
    <row r="25" spans="1:22" ht="15.75" customHeight="1">
      <c r="A25" s="851" t="s">
        <v>757</v>
      </c>
      <c r="B25" s="852"/>
      <c r="C25" s="852"/>
      <c r="D25" s="852"/>
      <c r="E25" s="852"/>
      <c r="F25" s="853" t="s">
        <v>812</v>
      </c>
      <c r="G25" s="853"/>
      <c r="H25" s="853"/>
      <c r="I25" s="854"/>
      <c r="J25" s="585"/>
      <c r="K25" s="586"/>
      <c r="L25" s="586"/>
      <c r="M25" s="586"/>
    </row>
    <row r="26" spans="1:22" ht="15.75" customHeight="1">
      <c r="A26" s="587"/>
      <c r="B26" s="582"/>
      <c r="C26" s="582"/>
      <c r="D26" s="588"/>
      <c r="E26" s="588"/>
      <c r="F26" s="589"/>
      <c r="G26" s="590"/>
      <c r="H26" s="590"/>
      <c r="I26" s="591"/>
      <c r="J26" s="573"/>
      <c r="K26" s="579"/>
      <c r="L26" s="579"/>
      <c r="M26" s="573"/>
      <c r="N26" s="572"/>
    </row>
    <row r="27" spans="1:22" ht="15.75" customHeight="1">
      <c r="A27" s="855" t="s">
        <v>758</v>
      </c>
      <c r="B27" s="856"/>
      <c r="C27" s="856"/>
      <c r="D27" s="856"/>
      <c r="E27" s="856"/>
      <c r="F27" s="853" t="s">
        <v>814</v>
      </c>
      <c r="G27" s="853"/>
      <c r="H27" s="853"/>
      <c r="I27" s="854"/>
      <c r="J27" s="592"/>
      <c r="K27" s="592"/>
      <c r="L27" s="592"/>
      <c r="M27" s="581"/>
      <c r="N27" s="572"/>
      <c r="Q27" s="857"/>
      <c r="R27" s="857"/>
      <c r="S27" s="857"/>
      <c r="T27" s="857"/>
      <c r="U27" s="857"/>
      <c r="V27" s="857"/>
    </row>
    <row r="28" spans="1:22" ht="15.75" customHeight="1">
      <c r="A28" s="858" t="s">
        <v>759</v>
      </c>
      <c r="B28" s="859"/>
      <c r="C28" s="859"/>
      <c r="D28" s="859"/>
      <c r="E28" s="859"/>
      <c r="F28" s="853" t="s">
        <v>813</v>
      </c>
      <c r="G28" s="853"/>
      <c r="H28" s="853"/>
      <c r="I28" s="854"/>
      <c r="J28" s="593"/>
      <c r="K28" s="593"/>
      <c r="L28" s="593"/>
      <c r="M28" s="581"/>
      <c r="N28" s="572"/>
      <c r="Q28" s="594"/>
      <c r="R28" s="594"/>
      <c r="S28" s="594"/>
      <c r="T28" s="594"/>
      <c r="U28" s="595"/>
      <c r="V28" s="594"/>
    </row>
    <row r="29" spans="1:22" ht="15.75" customHeight="1">
      <c r="A29" s="858" t="s">
        <v>760</v>
      </c>
      <c r="B29" s="859"/>
      <c r="C29" s="859"/>
      <c r="D29" s="859"/>
      <c r="E29" s="859"/>
      <c r="F29" s="853" t="s">
        <v>815</v>
      </c>
      <c r="G29" s="853"/>
      <c r="H29" s="853"/>
      <c r="I29" s="854"/>
      <c r="J29" s="593"/>
      <c r="K29" s="596"/>
      <c r="L29" s="596"/>
      <c r="M29" s="581"/>
      <c r="N29" s="572"/>
      <c r="Q29" s="594"/>
      <c r="R29" s="594"/>
      <c r="S29" s="594"/>
      <c r="T29" s="594"/>
      <c r="U29" s="594"/>
      <c r="V29" s="594"/>
    </row>
    <row r="30" spans="1:22" ht="15.75" customHeight="1">
      <c r="A30" s="587"/>
      <c r="B30" s="582"/>
      <c r="C30" s="582"/>
      <c r="D30" s="597"/>
      <c r="E30" s="597"/>
      <c r="F30" s="598"/>
      <c r="G30" s="599"/>
      <c r="H30" s="599"/>
      <c r="I30" s="591"/>
      <c r="J30" s="596"/>
      <c r="K30" s="596"/>
      <c r="L30" s="581"/>
      <c r="M30" s="581"/>
      <c r="N30" s="572"/>
      <c r="Q30" s="600"/>
      <c r="R30" s="600"/>
      <c r="S30" s="600"/>
      <c r="T30" s="600"/>
      <c r="U30" s="600"/>
      <c r="V30" s="600"/>
    </row>
    <row r="31" spans="1:22" ht="15.75" customHeight="1">
      <c r="A31" s="851" t="s">
        <v>761</v>
      </c>
      <c r="B31" s="852"/>
      <c r="C31" s="852"/>
      <c r="D31" s="852"/>
      <c r="E31" s="852"/>
      <c r="F31" s="853" t="s">
        <v>816</v>
      </c>
      <c r="G31" s="853"/>
      <c r="H31" s="853"/>
      <c r="I31" s="854"/>
      <c r="J31" s="581"/>
      <c r="K31" s="581"/>
      <c r="L31" s="581"/>
      <c r="M31" s="585"/>
      <c r="N31" s="572"/>
      <c r="Q31" s="601"/>
      <c r="R31" s="601"/>
      <c r="S31" s="601"/>
      <c r="T31" s="601"/>
      <c r="U31" s="601"/>
      <c r="V31" s="602"/>
    </row>
    <row r="32" spans="1:22" ht="15.75" customHeight="1">
      <c r="A32" s="587"/>
      <c r="B32" s="582"/>
      <c r="C32" s="582"/>
      <c r="D32" s="582"/>
      <c r="E32" s="582"/>
      <c r="F32" s="603"/>
      <c r="G32" s="604"/>
      <c r="H32" s="604"/>
      <c r="I32" s="605"/>
      <c r="J32" s="592"/>
      <c r="K32" s="592"/>
      <c r="L32" s="592"/>
      <c r="M32" s="573"/>
      <c r="N32" s="572"/>
    </row>
    <row r="33" spans="1:28" ht="15.75" customHeight="1">
      <c r="A33" s="851" t="s">
        <v>762</v>
      </c>
      <c r="B33" s="852"/>
      <c r="C33" s="852"/>
      <c r="D33" s="852"/>
      <c r="E33" s="852"/>
      <c r="F33" s="853" t="s">
        <v>817</v>
      </c>
      <c r="G33" s="853"/>
      <c r="H33" s="853"/>
      <c r="I33" s="854"/>
      <c r="J33" s="581"/>
      <c r="K33" s="581"/>
      <c r="L33" s="581"/>
      <c r="M33" s="573"/>
      <c r="N33" s="572"/>
    </row>
    <row r="34" spans="1:28" ht="15.75" customHeight="1">
      <c r="A34" s="851" t="s">
        <v>763</v>
      </c>
      <c r="B34" s="852"/>
      <c r="C34" s="852"/>
      <c r="D34" s="852"/>
      <c r="E34" s="852"/>
      <c r="F34" s="853" t="s">
        <v>818</v>
      </c>
      <c r="G34" s="853"/>
      <c r="H34" s="853"/>
      <c r="I34" s="854"/>
      <c r="J34" s="581"/>
      <c r="K34" s="581"/>
      <c r="L34" s="581"/>
      <c r="M34" s="573"/>
      <c r="N34" s="572"/>
    </row>
    <row r="35" spans="1:28" ht="15.75" customHeight="1">
      <c r="A35" s="851" t="s">
        <v>764</v>
      </c>
      <c r="B35" s="852"/>
      <c r="C35" s="852"/>
      <c r="D35" s="852"/>
      <c r="E35" s="852"/>
      <c r="F35" s="862">
        <v>0.10199999999999999</v>
      </c>
      <c r="G35" s="862"/>
      <c r="H35" s="862"/>
      <c r="I35" s="863"/>
      <c r="J35" s="573"/>
      <c r="K35" s="573"/>
      <c r="L35" s="573"/>
      <c r="M35" s="573"/>
      <c r="N35" s="572"/>
    </row>
    <row r="36" spans="1:28" ht="15.75" customHeight="1">
      <c r="A36" s="851" t="s">
        <v>765</v>
      </c>
      <c r="B36" s="852"/>
      <c r="C36" s="852"/>
      <c r="D36" s="852"/>
      <c r="E36" s="852"/>
      <c r="F36" s="862">
        <v>1.0999999999999999E-2</v>
      </c>
      <c r="G36" s="862"/>
      <c r="H36" s="862"/>
      <c r="I36" s="863"/>
      <c r="M36" s="573"/>
      <c r="N36" s="572"/>
    </row>
    <row r="37" spans="1:28" ht="15.75" customHeight="1" thickBot="1">
      <c r="A37" s="866" t="s">
        <v>766</v>
      </c>
      <c r="B37" s="867"/>
      <c r="C37" s="867"/>
      <c r="D37" s="867"/>
      <c r="E37" s="867"/>
      <c r="F37" s="868">
        <v>1.88</v>
      </c>
      <c r="G37" s="868"/>
      <c r="H37" s="868"/>
      <c r="I37" s="869"/>
      <c r="M37" s="573"/>
      <c r="N37" s="572"/>
      <c r="T37" s="606"/>
      <c r="U37" s="594"/>
      <c r="V37" s="594"/>
      <c r="W37" s="594"/>
      <c r="X37" s="594"/>
      <c r="Y37" s="594"/>
      <c r="Z37" s="607"/>
      <c r="AA37" s="608"/>
      <c r="AB37" s="595"/>
    </row>
    <row r="38" spans="1:28" ht="15.75" customHeight="1">
      <c r="A38" s="575"/>
      <c r="E38" s="596"/>
      <c r="F38" s="596"/>
      <c r="G38" s="596"/>
      <c r="H38" s="581"/>
      <c r="I38" s="581"/>
      <c r="M38" s="573"/>
      <c r="N38" s="572"/>
      <c r="T38" s="594"/>
      <c r="U38" s="594"/>
      <c r="V38" s="594"/>
      <c r="W38" s="594"/>
      <c r="X38" s="595"/>
      <c r="Y38" s="594"/>
      <c r="Z38" s="861"/>
      <c r="AA38" s="861"/>
      <c r="AB38" s="860"/>
    </row>
    <row r="39" spans="1:28" ht="15.75" customHeight="1">
      <c r="A39" s="575"/>
      <c r="E39" s="609"/>
      <c r="F39" s="609"/>
      <c r="G39" s="609"/>
      <c r="H39" s="585"/>
      <c r="I39" s="585"/>
      <c r="M39" s="573"/>
      <c r="N39" s="572"/>
      <c r="T39" s="594"/>
      <c r="U39" s="594"/>
      <c r="V39" s="594"/>
      <c r="W39" s="594"/>
      <c r="X39" s="594"/>
      <c r="Y39" s="594"/>
      <c r="Z39" s="861"/>
      <c r="AA39" s="861"/>
      <c r="AB39" s="860"/>
    </row>
    <row r="40" spans="1:28" ht="15.75" customHeight="1">
      <c r="A40" s="575"/>
      <c r="B40" s="573"/>
      <c r="C40" s="573"/>
      <c r="D40" s="610"/>
      <c r="E40" s="609"/>
      <c r="F40" s="609"/>
      <c r="G40" s="609"/>
      <c r="H40" s="585"/>
      <c r="I40" s="585"/>
      <c r="J40" s="573"/>
      <c r="K40" s="573"/>
      <c r="L40" s="573"/>
      <c r="M40" s="573"/>
      <c r="N40" s="572"/>
      <c r="T40" s="600"/>
      <c r="U40" s="600"/>
      <c r="V40" s="600"/>
      <c r="W40" s="600"/>
      <c r="X40" s="600"/>
      <c r="Y40" s="600"/>
      <c r="Z40" s="864"/>
      <c r="AA40" s="864"/>
      <c r="AB40" s="611"/>
    </row>
    <row r="41" spans="1:28" ht="15.75" customHeight="1">
      <c r="A41" s="572"/>
      <c r="B41" s="572"/>
      <c r="C41" s="572"/>
      <c r="D41" s="572"/>
      <c r="E41" s="572"/>
      <c r="F41" s="572"/>
      <c r="G41" s="572"/>
      <c r="H41" s="572"/>
      <c r="I41" s="572"/>
      <c r="J41" s="572"/>
      <c r="K41" s="572"/>
      <c r="L41" s="572"/>
      <c r="M41" s="572"/>
      <c r="N41" s="564"/>
    </row>
    <row r="42" spans="1:28" ht="15.75" customHeight="1">
      <c r="A42" s="612"/>
      <c r="B42" s="572"/>
      <c r="C42" s="613"/>
      <c r="D42" s="614"/>
      <c r="E42" s="572"/>
      <c r="F42" s="572"/>
      <c r="G42" s="572"/>
      <c r="H42" s="564"/>
      <c r="I42" s="615" t="s">
        <v>656</v>
      </c>
      <c r="J42" s="865" t="str">
        <f>[1]Thermdam!D43</f>
        <v>JERRY R</v>
      </c>
      <c r="K42" s="865"/>
      <c r="L42" s="865"/>
      <c r="M42" s="865"/>
      <c r="N42" s="572"/>
    </row>
    <row r="43" spans="1:28" ht="15.75" customHeight="1">
      <c r="A43" s="572"/>
      <c r="B43" s="572"/>
      <c r="C43" s="572"/>
      <c r="D43" s="572"/>
      <c r="E43" s="572"/>
      <c r="F43" s="572"/>
      <c r="G43" s="572"/>
      <c r="H43" s="572"/>
      <c r="I43" s="572"/>
      <c r="J43" s="564"/>
      <c r="K43" s="564"/>
      <c r="L43" s="564"/>
      <c r="M43" s="564"/>
    </row>
    <row r="44" spans="1:28" ht="15.75" customHeight="1">
      <c r="A44" s="572"/>
      <c r="B44" s="572"/>
      <c r="C44" s="572"/>
      <c r="D44" s="572"/>
      <c r="E44" s="572"/>
      <c r="F44" s="572"/>
      <c r="G44" s="572"/>
      <c r="H44" s="564"/>
      <c r="I44" s="615" t="s">
        <v>658</v>
      </c>
      <c r="J44" s="616">
        <v>45012</v>
      </c>
      <c r="K44" s="617"/>
      <c r="L44" s="617"/>
      <c r="M44" s="617"/>
    </row>
    <row r="45" spans="1:28" ht="15.95" customHeight="1"/>
  </sheetData>
  <mergeCells count="34">
    <mergeCell ref="Z40:AA40"/>
    <mergeCell ref="J42:M42"/>
    <mergeCell ref="A36:E36"/>
    <mergeCell ref="F36:I36"/>
    <mergeCell ref="A37:E37"/>
    <mergeCell ref="F37:I37"/>
    <mergeCell ref="Z38:AA38"/>
    <mergeCell ref="AB38:AB39"/>
    <mergeCell ref="Z39:AA39"/>
    <mergeCell ref="A33:E33"/>
    <mergeCell ref="F33:I33"/>
    <mergeCell ref="A34:E34"/>
    <mergeCell ref="F34:I34"/>
    <mergeCell ref="A35:E35"/>
    <mergeCell ref="F35:I35"/>
    <mergeCell ref="Q27:V27"/>
    <mergeCell ref="A28:E28"/>
    <mergeCell ref="F28:I28"/>
    <mergeCell ref="A29:E29"/>
    <mergeCell ref="F29:I29"/>
    <mergeCell ref="A31:E31"/>
    <mergeCell ref="F31:I31"/>
    <mergeCell ref="A24:E24"/>
    <mergeCell ref="F24:I24"/>
    <mergeCell ref="A25:E25"/>
    <mergeCell ref="F25:I25"/>
    <mergeCell ref="A27:E27"/>
    <mergeCell ref="F27:I27"/>
    <mergeCell ref="L3:M3"/>
    <mergeCell ref="A4:I4"/>
    <mergeCell ref="A5:I5"/>
    <mergeCell ref="I19:K19"/>
    <mergeCell ref="A23:E23"/>
    <mergeCell ref="F23:I23"/>
  </mergeCells>
  <printOptions horizontalCentered="1" gridLinesSet="0"/>
  <pageMargins left="0.5" right="0.5" top="0.5" bottom="0.5" header="0.5" footer="0.5"/>
  <pageSetup scale="94" orientation="portrait" horizont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syncVertical="1" syncRef="A1" transitionEvaluation="1"/>
  <dimension ref="A1:W54"/>
  <sheetViews>
    <sheetView showGridLines="0" zoomScale="70" zoomScaleNormal="70" workbookViewId="0">
      <selection activeCell="I48" sqref="I48"/>
    </sheetView>
  </sheetViews>
  <sheetFormatPr defaultColWidth="12.5703125" defaultRowHeight="15.75"/>
  <cols>
    <col min="1" max="3" width="7" style="623" customWidth="1"/>
    <col min="4" max="4" width="8.28515625" style="623" customWidth="1"/>
    <col min="5" max="5" width="7" style="623" customWidth="1"/>
    <col min="6" max="6" width="7.5703125" style="623" customWidth="1"/>
    <col min="7" max="13" width="7" style="623" customWidth="1"/>
    <col min="14" max="14" width="7.140625" style="623" customWidth="1"/>
    <col min="15" max="256" width="12.5703125" style="623"/>
    <col min="257" max="259" width="7" style="623" customWidth="1"/>
    <col min="260" max="260" width="8.28515625" style="623" customWidth="1"/>
    <col min="261" max="261" width="7" style="623" customWidth="1"/>
    <col min="262" max="262" width="7.5703125" style="623" customWidth="1"/>
    <col min="263" max="269" width="7" style="623" customWidth="1"/>
    <col min="270" max="270" width="7.140625" style="623" customWidth="1"/>
    <col min="271" max="512" width="12.5703125" style="623"/>
    <col min="513" max="515" width="7" style="623" customWidth="1"/>
    <col min="516" max="516" width="8.28515625" style="623" customWidth="1"/>
    <col min="517" max="517" width="7" style="623" customWidth="1"/>
    <col min="518" max="518" width="7.5703125" style="623" customWidth="1"/>
    <col min="519" max="525" width="7" style="623" customWidth="1"/>
    <col min="526" max="526" width="7.140625" style="623" customWidth="1"/>
    <col min="527" max="768" width="12.5703125" style="623"/>
    <col min="769" max="771" width="7" style="623" customWidth="1"/>
    <col min="772" max="772" width="8.28515625" style="623" customWidth="1"/>
    <col min="773" max="773" width="7" style="623" customWidth="1"/>
    <col min="774" max="774" width="7.5703125" style="623" customWidth="1"/>
    <col min="775" max="781" width="7" style="623" customWidth="1"/>
    <col min="782" max="782" width="7.140625" style="623" customWidth="1"/>
    <col min="783" max="1024" width="12.5703125" style="623"/>
    <col min="1025" max="1027" width="7" style="623" customWidth="1"/>
    <col min="1028" max="1028" width="8.28515625" style="623" customWidth="1"/>
    <col min="1029" max="1029" width="7" style="623" customWidth="1"/>
    <col min="1030" max="1030" width="7.5703125" style="623" customWidth="1"/>
    <col min="1031" max="1037" width="7" style="623" customWidth="1"/>
    <col min="1038" max="1038" width="7.140625" style="623" customWidth="1"/>
    <col min="1039" max="1280" width="12.5703125" style="623"/>
    <col min="1281" max="1283" width="7" style="623" customWidth="1"/>
    <col min="1284" max="1284" width="8.28515625" style="623" customWidth="1"/>
    <col min="1285" max="1285" width="7" style="623" customWidth="1"/>
    <col min="1286" max="1286" width="7.5703125" style="623" customWidth="1"/>
    <col min="1287" max="1293" width="7" style="623" customWidth="1"/>
    <col min="1294" max="1294" width="7.140625" style="623" customWidth="1"/>
    <col min="1295" max="1536" width="12.5703125" style="623"/>
    <col min="1537" max="1539" width="7" style="623" customWidth="1"/>
    <col min="1540" max="1540" width="8.28515625" style="623" customWidth="1"/>
    <col min="1541" max="1541" width="7" style="623" customWidth="1"/>
    <col min="1542" max="1542" width="7.5703125" style="623" customWidth="1"/>
    <col min="1543" max="1549" width="7" style="623" customWidth="1"/>
    <col min="1550" max="1550" width="7.140625" style="623" customWidth="1"/>
    <col min="1551" max="1792" width="12.5703125" style="623"/>
    <col min="1793" max="1795" width="7" style="623" customWidth="1"/>
    <col min="1796" max="1796" width="8.28515625" style="623" customWidth="1"/>
    <col min="1797" max="1797" width="7" style="623" customWidth="1"/>
    <col min="1798" max="1798" width="7.5703125" style="623" customWidth="1"/>
    <col min="1799" max="1805" width="7" style="623" customWidth="1"/>
    <col min="1806" max="1806" width="7.140625" style="623" customWidth="1"/>
    <col min="1807" max="2048" width="12.5703125" style="623"/>
    <col min="2049" max="2051" width="7" style="623" customWidth="1"/>
    <col min="2052" max="2052" width="8.28515625" style="623" customWidth="1"/>
    <col min="2053" max="2053" width="7" style="623" customWidth="1"/>
    <col min="2054" max="2054" width="7.5703125" style="623" customWidth="1"/>
    <col min="2055" max="2061" width="7" style="623" customWidth="1"/>
    <col min="2062" max="2062" width="7.140625" style="623" customWidth="1"/>
    <col min="2063" max="2304" width="12.5703125" style="623"/>
    <col min="2305" max="2307" width="7" style="623" customWidth="1"/>
    <col min="2308" max="2308" width="8.28515625" style="623" customWidth="1"/>
    <col min="2309" max="2309" width="7" style="623" customWidth="1"/>
    <col min="2310" max="2310" width="7.5703125" style="623" customWidth="1"/>
    <col min="2311" max="2317" width="7" style="623" customWidth="1"/>
    <col min="2318" max="2318" width="7.140625" style="623" customWidth="1"/>
    <col min="2319" max="2560" width="12.5703125" style="623"/>
    <col min="2561" max="2563" width="7" style="623" customWidth="1"/>
    <col min="2564" max="2564" width="8.28515625" style="623" customWidth="1"/>
    <col min="2565" max="2565" width="7" style="623" customWidth="1"/>
    <col min="2566" max="2566" width="7.5703125" style="623" customWidth="1"/>
    <col min="2567" max="2573" width="7" style="623" customWidth="1"/>
    <col min="2574" max="2574" width="7.140625" style="623" customWidth="1"/>
    <col min="2575" max="2816" width="12.5703125" style="623"/>
    <col min="2817" max="2819" width="7" style="623" customWidth="1"/>
    <col min="2820" max="2820" width="8.28515625" style="623" customWidth="1"/>
    <col min="2821" max="2821" width="7" style="623" customWidth="1"/>
    <col min="2822" max="2822" width="7.5703125" style="623" customWidth="1"/>
    <col min="2823" max="2829" width="7" style="623" customWidth="1"/>
    <col min="2830" max="2830" width="7.140625" style="623" customWidth="1"/>
    <col min="2831" max="3072" width="12.5703125" style="623"/>
    <col min="3073" max="3075" width="7" style="623" customWidth="1"/>
    <col min="3076" max="3076" width="8.28515625" style="623" customWidth="1"/>
    <col min="3077" max="3077" width="7" style="623" customWidth="1"/>
    <col min="3078" max="3078" width="7.5703125" style="623" customWidth="1"/>
    <col min="3079" max="3085" width="7" style="623" customWidth="1"/>
    <col min="3086" max="3086" width="7.140625" style="623" customWidth="1"/>
    <col min="3087" max="3328" width="12.5703125" style="623"/>
    <col min="3329" max="3331" width="7" style="623" customWidth="1"/>
    <col min="3332" max="3332" width="8.28515625" style="623" customWidth="1"/>
    <col min="3333" max="3333" width="7" style="623" customWidth="1"/>
    <col min="3334" max="3334" width="7.5703125" style="623" customWidth="1"/>
    <col min="3335" max="3341" width="7" style="623" customWidth="1"/>
    <col min="3342" max="3342" width="7.140625" style="623" customWidth="1"/>
    <col min="3343" max="3584" width="12.5703125" style="623"/>
    <col min="3585" max="3587" width="7" style="623" customWidth="1"/>
    <col min="3588" max="3588" width="8.28515625" style="623" customWidth="1"/>
    <col min="3589" max="3589" width="7" style="623" customWidth="1"/>
    <col min="3590" max="3590" width="7.5703125" style="623" customWidth="1"/>
    <col min="3591" max="3597" width="7" style="623" customWidth="1"/>
    <col min="3598" max="3598" width="7.140625" style="623" customWidth="1"/>
    <col min="3599" max="3840" width="12.5703125" style="623"/>
    <col min="3841" max="3843" width="7" style="623" customWidth="1"/>
    <col min="3844" max="3844" width="8.28515625" style="623" customWidth="1"/>
    <col min="3845" max="3845" width="7" style="623" customWidth="1"/>
    <col min="3846" max="3846" width="7.5703125" style="623" customWidth="1"/>
    <col min="3847" max="3853" width="7" style="623" customWidth="1"/>
    <col min="3854" max="3854" width="7.140625" style="623" customWidth="1"/>
    <col min="3855" max="4096" width="12.5703125" style="623"/>
    <col min="4097" max="4099" width="7" style="623" customWidth="1"/>
    <col min="4100" max="4100" width="8.28515625" style="623" customWidth="1"/>
    <col min="4101" max="4101" width="7" style="623" customWidth="1"/>
    <col min="4102" max="4102" width="7.5703125" style="623" customWidth="1"/>
    <col min="4103" max="4109" width="7" style="623" customWidth="1"/>
    <col min="4110" max="4110" width="7.140625" style="623" customWidth="1"/>
    <col min="4111" max="4352" width="12.5703125" style="623"/>
    <col min="4353" max="4355" width="7" style="623" customWidth="1"/>
    <col min="4356" max="4356" width="8.28515625" style="623" customWidth="1"/>
    <col min="4357" max="4357" width="7" style="623" customWidth="1"/>
    <col min="4358" max="4358" width="7.5703125" style="623" customWidth="1"/>
    <col min="4359" max="4365" width="7" style="623" customWidth="1"/>
    <col min="4366" max="4366" width="7.140625" style="623" customWidth="1"/>
    <col min="4367" max="4608" width="12.5703125" style="623"/>
    <col min="4609" max="4611" width="7" style="623" customWidth="1"/>
    <col min="4612" max="4612" width="8.28515625" style="623" customWidth="1"/>
    <col min="4613" max="4613" width="7" style="623" customWidth="1"/>
    <col min="4614" max="4614" width="7.5703125" style="623" customWidth="1"/>
    <col min="4615" max="4621" width="7" style="623" customWidth="1"/>
    <col min="4622" max="4622" width="7.140625" style="623" customWidth="1"/>
    <col min="4623" max="4864" width="12.5703125" style="623"/>
    <col min="4865" max="4867" width="7" style="623" customWidth="1"/>
    <col min="4868" max="4868" width="8.28515625" style="623" customWidth="1"/>
    <col min="4869" max="4869" width="7" style="623" customWidth="1"/>
    <col min="4870" max="4870" width="7.5703125" style="623" customWidth="1"/>
    <col min="4871" max="4877" width="7" style="623" customWidth="1"/>
    <col min="4878" max="4878" width="7.140625" style="623" customWidth="1"/>
    <col min="4879" max="5120" width="12.5703125" style="623"/>
    <col min="5121" max="5123" width="7" style="623" customWidth="1"/>
    <col min="5124" max="5124" width="8.28515625" style="623" customWidth="1"/>
    <col min="5125" max="5125" width="7" style="623" customWidth="1"/>
    <col min="5126" max="5126" width="7.5703125" style="623" customWidth="1"/>
    <col min="5127" max="5133" width="7" style="623" customWidth="1"/>
    <col min="5134" max="5134" width="7.140625" style="623" customWidth="1"/>
    <col min="5135" max="5376" width="12.5703125" style="623"/>
    <col min="5377" max="5379" width="7" style="623" customWidth="1"/>
    <col min="5380" max="5380" width="8.28515625" style="623" customWidth="1"/>
    <col min="5381" max="5381" width="7" style="623" customWidth="1"/>
    <col min="5382" max="5382" width="7.5703125" style="623" customWidth="1"/>
    <col min="5383" max="5389" width="7" style="623" customWidth="1"/>
    <col min="5390" max="5390" width="7.140625" style="623" customWidth="1"/>
    <col min="5391" max="5632" width="12.5703125" style="623"/>
    <col min="5633" max="5635" width="7" style="623" customWidth="1"/>
    <col min="5636" max="5636" width="8.28515625" style="623" customWidth="1"/>
    <col min="5637" max="5637" width="7" style="623" customWidth="1"/>
    <col min="5638" max="5638" width="7.5703125" style="623" customWidth="1"/>
    <col min="5639" max="5645" width="7" style="623" customWidth="1"/>
    <col min="5646" max="5646" width="7.140625" style="623" customWidth="1"/>
    <col min="5647" max="5888" width="12.5703125" style="623"/>
    <col min="5889" max="5891" width="7" style="623" customWidth="1"/>
    <col min="5892" max="5892" width="8.28515625" style="623" customWidth="1"/>
    <col min="5893" max="5893" width="7" style="623" customWidth="1"/>
    <col min="5894" max="5894" width="7.5703125" style="623" customWidth="1"/>
    <col min="5895" max="5901" width="7" style="623" customWidth="1"/>
    <col min="5902" max="5902" width="7.140625" style="623" customWidth="1"/>
    <col min="5903" max="6144" width="12.5703125" style="623"/>
    <col min="6145" max="6147" width="7" style="623" customWidth="1"/>
    <col min="6148" max="6148" width="8.28515625" style="623" customWidth="1"/>
    <col min="6149" max="6149" width="7" style="623" customWidth="1"/>
    <col min="6150" max="6150" width="7.5703125" style="623" customWidth="1"/>
    <col min="6151" max="6157" width="7" style="623" customWidth="1"/>
    <col min="6158" max="6158" width="7.140625" style="623" customWidth="1"/>
    <col min="6159" max="6400" width="12.5703125" style="623"/>
    <col min="6401" max="6403" width="7" style="623" customWidth="1"/>
    <col min="6404" max="6404" width="8.28515625" style="623" customWidth="1"/>
    <col min="6405" max="6405" width="7" style="623" customWidth="1"/>
    <col min="6406" max="6406" width="7.5703125" style="623" customWidth="1"/>
    <col min="6407" max="6413" width="7" style="623" customWidth="1"/>
    <col min="6414" max="6414" width="7.140625" style="623" customWidth="1"/>
    <col min="6415" max="6656" width="12.5703125" style="623"/>
    <col min="6657" max="6659" width="7" style="623" customWidth="1"/>
    <col min="6660" max="6660" width="8.28515625" style="623" customWidth="1"/>
    <col min="6661" max="6661" width="7" style="623" customWidth="1"/>
    <col min="6662" max="6662" width="7.5703125" style="623" customWidth="1"/>
    <col min="6663" max="6669" width="7" style="623" customWidth="1"/>
    <col min="6670" max="6670" width="7.140625" style="623" customWidth="1"/>
    <col min="6671" max="6912" width="12.5703125" style="623"/>
    <col min="6913" max="6915" width="7" style="623" customWidth="1"/>
    <col min="6916" max="6916" width="8.28515625" style="623" customWidth="1"/>
    <col min="6917" max="6917" width="7" style="623" customWidth="1"/>
    <col min="6918" max="6918" width="7.5703125" style="623" customWidth="1"/>
    <col min="6919" max="6925" width="7" style="623" customWidth="1"/>
    <col min="6926" max="6926" width="7.140625" style="623" customWidth="1"/>
    <col min="6927" max="7168" width="12.5703125" style="623"/>
    <col min="7169" max="7171" width="7" style="623" customWidth="1"/>
    <col min="7172" max="7172" width="8.28515625" style="623" customWidth="1"/>
    <col min="7173" max="7173" width="7" style="623" customWidth="1"/>
    <col min="7174" max="7174" width="7.5703125" style="623" customWidth="1"/>
    <col min="7175" max="7181" width="7" style="623" customWidth="1"/>
    <col min="7182" max="7182" width="7.140625" style="623" customWidth="1"/>
    <col min="7183" max="7424" width="12.5703125" style="623"/>
    <col min="7425" max="7427" width="7" style="623" customWidth="1"/>
    <col min="7428" max="7428" width="8.28515625" style="623" customWidth="1"/>
    <col min="7429" max="7429" width="7" style="623" customWidth="1"/>
    <col min="7430" max="7430" width="7.5703125" style="623" customWidth="1"/>
    <col min="7431" max="7437" width="7" style="623" customWidth="1"/>
    <col min="7438" max="7438" width="7.140625" style="623" customWidth="1"/>
    <col min="7439" max="7680" width="12.5703125" style="623"/>
    <col min="7681" max="7683" width="7" style="623" customWidth="1"/>
    <col min="7684" max="7684" width="8.28515625" style="623" customWidth="1"/>
    <col min="7685" max="7685" width="7" style="623" customWidth="1"/>
    <col min="7686" max="7686" width="7.5703125" style="623" customWidth="1"/>
    <col min="7687" max="7693" width="7" style="623" customWidth="1"/>
    <col min="7694" max="7694" width="7.140625" style="623" customWidth="1"/>
    <col min="7695" max="7936" width="12.5703125" style="623"/>
    <col min="7937" max="7939" width="7" style="623" customWidth="1"/>
    <col min="7940" max="7940" width="8.28515625" style="623" customWidth="1"/>
    <col min="7941" max="7941" width="7" style="623" customWidth="1"/>
    <col min="7942" max="7942" width="7.5703125" style="623" customWidth="1"/>
    <col min="7943" max="7949" width="7" style="623" customWidth="1"/>
    <col min="7950" max="7950" width="7.140625" style="623" customWidth="1"/>
    <col min="7951" max="8192" width="12.5703125" style="623"/>
    <col min="8193" max="8195" width="7" style="623" customWidth="1"/>
    <col min="8196" max="8196" width="8.28515625" style="623" customWidth="1"/>
    <col min="8197" max="8197" width="7" style="623" customWidth="1"/>
    <col min="8198" max="8198" width="7.5703125" style="623" customWidth="1"/>
    <col min="8199" max="8205" width="7" style="623" customWidth="1"/>
    <col min="8206" max="8206" width="7.140625" style="623" customWidth="1"/>
    <col min="8207" max="8448" width="12.5703125" style="623"/>
    <col min="8449" max="8451" width="7" style="623" customWidth="1"/>
    <col min="8452" max="8452" width="8.28515625" style="623" customWidth="1"/>
    <col min="8453" max="8453" width="7" style="623" customWidth="1"/>
    <col min="8454" max="8454" width="7.5703125" style="623" customWidth="1"/>
    <col min="8455" max="8461" width="7" style="623" customWidth="1"/>
    <col min="8462" max="8462" width="7.140625" style="623" customWidth="1"/>
    <col min="8463" max="8704" width="12.5703125" style="623"/>
    <col min="8705" max="8707" width="7" style="623" customWidth="1"/>
    <col min="8708" max="8708" width="8.28515625" style="623" customWidth="1"/>
    <col min="8709" max="8709" width="7" style="623" customWidth="1"/>
    <col min="8710" max="8710" width="7.5703125" style="623" customWidth="1"/>
    <col min="8711" max="8717" width="7" style="623" customWidth="1"/>
    <col min="8718" max="8718" width="7.140625" style="623" customWidth="1"/>
    <col min="8719" max="8960" width="12.5703125" style="623"/>
    <col min="8961" max="8963" width="7" style="623" customWidth="1"/>
    <col min="8964" max="8964" width="8.28515625" style="623" customWidth="1"/>
    <col min="8965" max="8965" width="7" style="623" customWidth="1"/>
    <col min="8966" max="8966" width="7.5703125" style="623" customWidth="1"/>
    <col min="8967" max="8973" width="7" style="623" customWidth="1"/>
    <col min="8974" max="8974" width="7.140625" style="623" customWidth="1"/>
    <col min="8975" max="9216" width="12.5703125" style="623"/>
    <col min="9217" max="9219" width="7" style="623" customWidth="1"/>
    <col min="9220" max="9220" width="8.28515625" style="623" customWidth="1"/>
    <col min="9221" max="9221" width="7" style="623" customWidth="1"/>
    <col min="9222" max="9222" width="7.5703125" style="623" customWidth="1"/>
    <col min="9223" max="9229" width="7" style="623" customWidth="1"/>
    <col min="9230" max="9230" width="7.140625" style="623" customWidth="1"/>
    <col min="9231" max="9472" width="12.5703125" style="623"/>
    <col min="9473" max="9475" width="7" style="623" customWidth="1"/>
    <col min="9476" max="9476" width="8.28515625" style="623" customWidth="1"/>
    <col min="9477" max="9477" width="7" style="623" customWidth="1"/>
    <col min="9478" max="9478" width="7.5703125" style="623" customWidth="1"/>
    <col min="9479" max="9485" width="7" style="623" customWidth="1"/>
    <col min="9486" max="9486" width="7.140625" style="623" customWidth="1"/>
    <col min="9487" max="9728" width="12.5703125" style="623"/>
    <col min="9729" max="9731" width="7" style="623" customWidth="1"/>
    <col min="9732" max="9732" width="8.28515625" style="623" customWidth="1"/>
    <col min="9733" max="9733" width="7" style="623" customWidth="1"/>
    <col min="9734" max="9734" width="7.5703125" style="623" customWidth="1"/>
    <col min="9735" max="9741" width="7" style="623" customWidth="1"/>
    <col min="9742" max="9742" width="7.140625" style="623" customWidth="1"/>
    <col min="9743" max="9984" width="12.5703125" style="623"/>
    <col min="9985" max="9987" width="7" style="623" customWidth="1"/>
    <col min="9988" max="9988" width="8.28515625" style="623" customWidth="1"/>
    <col min="9989" max="9989" width="7" style="623" customWidth="1"/>
    <col min="9990" max="9990" width="7.5703125" style="623" customWidth="1"/>
    <col min="9991" max="9997" width="7" style="623" customWidth="1"/>
    <col min="9998" max="9998" width="7.140625" style="623" customWidth="1"/>
    <col min="9999" max="10240" width="12.5703125" style="623"/>
    <col min="10241" max="10243" width="7" style="623" customWidth="1"/>
    <col min="10244" max="10244" width="8.28515625" style="623" customWidth="1"/>
    <col min="10245" max="10245" width="7" style="623" customWidth="1"/>
    <col min="10246" max="10246" width="7.5703125" style="623" customWidth="1"/>
    <col min="10247" max="10253" width="7" style="623" customWidth="1"/>
    <col min="10254" max="10254" width="7.140625" style="623" customWidth="1"/>
    <col min="10255" max="10496" width="12.5703125" style="623"/>
    <col min="10497" max="10499" width="7" style="623" customWidth="1"/>
    <col min="10500" max="10500" width="8.28515625" style="623" customWidth="1"/>
    <col min="10501" max="10501" width="7" style="623" customWidth="1"/>
    <col min="10502" max="10502" width="7.5703125" style="623" customWidth="1"/>
    <col min="10503" max="10509" width="7" style="623" customWidth="1"/>
    <col min="10510" max="10510" width="7.140625" style="623" customWidth="1"/>
    <col min="10511" max="10752" width="12.5703125" style="623"/>
    <col min="10753" max="10755" width="7" style="623" customWidth="1"/>
    <col min="10756" max="10756" width="8.28515625" style="623" customWidth="1"/>
    <col min="10757" max="10757" width="7" style="623" customWidth="1"/>
    <col min="10758" max="10758" width="7.5703125" style="623" customWidth="1"/>
    <col min="10759" max="10765" width="7" style="623" customWidth="1"/>
    <col min="10766" max="10766" width="7.140625" style="623" customWidth="1"/>
    <col min="10767" max="11008" width="12.5703125" style="623"/>
    <col min="11009" max="11011" width="7" style="623" customWidth="1"/>
    <col min="11012" max="11012" width="8.28515625" style="623" customWidth="1"/>
    <col min="11013" max="11013" width="7" style="623" customWidth="1"/>
    <col min="11014" max="11014" width="7.5703125" style="623" customWidth="1"/>
    <col min="11015" max="11021" width="7" style="623" customWidth="1"/>
    <col min="11022" max="11022" width="7.140625" style="623" customWidth="1"/>
    <col min="11023" max="11264" width="12.5703125" style="623"/>
    <col min="11265" max="11267" width="7" style="623" customWidth="1"/>
    <col min="11268" max="11268" width="8.28515625" style="623" customWidth="1"/>
    <col min="11269" max="11269" width="7" style="623" customWidth="1"/>
    <col min="11270" max="11270" width="7.5703125" style="623" customWidth="1"/>
    <col min="11271" max="11277" width="7" style="623" customWidth="1"/>
    <col min="11278" max="11278" width="7.140625" style="623" customWidth="1"/>
    <col min="11279" max="11520" width="12.5703125" style="623"/>
    <col min="11521" max="11523" width="7" style="623" customWidth="1"/>
    <col min="11524" max="11524" width="8.28515625" style="623" customWidth="1"/>
    <col min="11525" max="11525" width="7" style="623" customWidth="1"/>
    <col min="11526" max="11526" width="7.5703125" style="623" customWidth="1"/>
    <col min="11527" max="11533" width="7" style="623" customWidth="1"/>
    <col min="11534" max="11534" width="7.140625" style="623" customWidth="1"/>
    <col min="11535" max="11776" width="12.5703125" style="623"/>
    <col min="11777" max="11779" width="7" style="623" customWidth="1"/>
    <col min="11780" max="11780" width="8.28515625" style="623" customWidth="1"/>
    <col min="11781" max="11781" width="7" style="623" customWidth="1"/>
    <col min="11782" max="11782" width="7.5703125" style="623" customWidth="1"/>
    <col min="11783" max="11789" width="7" style="623" customWidth="1"/>
    <col min="11790" max="11790" width="7.140625" style="623" customWidth="1"/>
    <col min="11791" max="12032" width="12.5703125" style="623"/>
    <col min="12033" max="12035" width="7" style="623" customWidth="1"/>
    <col min="12036" max="12036" width="8.28515625" style="623" customWidth="1"/>
    <col min="12037" max="12037" width="7" style="623" customWidth="1"/>
    <col min="12038" max="12038" width="7.5703125" style="623" customWidth="1"/>
    <col min="12039" max="12045" width="7" style="623" customWidth="1"/>
    <col min="12046" max="12046" width="7.140625" style="623" customWidth="1"/>
    <col min="12047" max="12288" width="12.5703125" style="623"/>
    <col min="12289" max="12291" width="7" style="623" customWidth="1"/>
    <col min="12292" max="12292" width="8.28515625" style="623" customWidth="1"/>
    <col min="12293" max="12293" width="7" style="623" customWidth="1"/>
    <col min="12294" max="12294" width="7.5703125" style="623" customWidth="1"/>
    <col min="12295" max="12301" width="7" style="623" customWidth="1"/>
    <col min="12302" max="12302" width="7.140625" style="623" customWidth="1"/>
    <col min="12303" max="12544" width="12.5703125" style="623"/>
    <col min="12545" max="12547" width="7" style="623" customWidth="1"/>
    <col min="12548" max="12548" width="8.28515625" style="623" customWidth="1"/>
    <col min="12549" max="12549" width="7" style="623" customWidth="1"/>
    <col min="12550" max="12550" width="7.5703125" style="623" customWidth="1"/>
    <col min="12551" max="12557" width="7" style="623" customWidth="1"/>
    <col min="12558" max="12558" width="7.140625" style="623" customWidth="1"/>
    <col min="12559" max="12800" width="12.5703125" style="623"/>
    <col min="12801" max="12803" width="7" style="623" customWidth="1"/>
    <col min="12804" max="12804" width="8.28515625" style="623" customWidth="1"/>
    <col min="12805" max="12805" width="7" style="623" customWidth="1"/>
    <col min="12806" max="12806" width="7.5703125" style="623" customWidth="1"/>
    <col min="12807" max="12813" width="7" style="623" customWidth="1"/>
    <col min="12814" max="12814" width="7.140625" style="623" customWidth="1"/>
    <col min="12815" max="13056" width="12.5703125" style="623"/>
    <col min="13057" max="13059" width="7" style="623" customWidth="1"/>
    <col min="13060" max="13060" width="8.28515625" style="623" customWidth="1"/>
    <col min="13061" max="13061" width="7" style="623" customWidth="1"/>
    <col min="13062" max="13062" width="7.5703125" style="623" customWidth="1"/>
    <col min="13063" max="13069" width="7" style="623" customWidth="1"/>
    <col min="13070" max="13070" width="7.140625" style="623" customWidth="1"/>
    <col min="13071" max="13312" width="12.5703125" style="623"/>
    <col min="13313" max="13315" width="7" style="623" customWidth="1"/>
    <col min="13316" max="13316" width="8.28515625" style="623" customWidth="1"/>
    <col min="13317" max="13317" width="7" style="623" customWidth="1"/>
    <col min="13318" max="13318" width="7.5703125" style="623" customWidth="1"/>
    <col min="13319" max="13325" width="7" style="623" customWidth="1"/>
    <col min="13326" max="13326" width="7.140625" style="623" customWidth="1"/>
    <col min="13327" max="13568" width="12.5703125" style="623"/>
    <col min="13569" max="13571" width="7" style="623" customWidth="1"/>
    <col min="13572" max="13572" width="8.28515625" style="623" customWidth="1"/>
    <col min="13573" max="13573" width="7" style="623" customWidth="1"/>
    <col min="13574" max="13574" width="7.5703125" style="623" customWidth="1"/>
    <col min="13575" max="13581" width="7" style="623" customWidth="1"/>
    <col min="13582" max="13582" width="7.140625" style="623" customWidth="1"/>
    <col min="13583" max="13824" width="12.5703125" style="623"/>
    <col min="13825" max="13827" width="7" style="623" customWidth="1"/>
    <col min="13828" max="13828" width="8.28515625" style="623" customWidth="1"/>
    <col min="13829" max="13829" width="7" style="623" customWidth="1"/>
    <col min="13830" max="13830" width="7.5703125" style="623" customWidth="1"/>
    <col min="13831" max="13837" width="7" style="623" customWidth="1"/>
    <col min="13838" max="13838" width="7.140625" style="623" customWidth="1"/>
    <col min="13839" max="14080" width="12.5703125" style="623"/>
    <col min="14081" max="14083" width="7" style="623" customWidth="1"/>
    <col min="14084" max="14084" width="8.28515625" style="623" customWidth="1"/>
    <col min="14085" max="14085" width="7" style="623" customWidth="1"/>
    <col min="14086" max="14086" width="7.5703125" style="623" customWidth="1"/>
    <col min="14087" max="14093" width="7" style="623" customWidth="1"/>
    <col min="14094" max="14094" width="7.140625" style="623" customWidth="1"/>
    <col min="14095" max="14336" width="12.5703125" style="623"/>
    <col min="14337" max="14339" width="7" style="623" customWidth="1"/>
    <col min="14340" max="14340" width="8.28515625" style="623" customWidth="1"/>
    <col min="14341" max="14341" width="7" style="623" customWidth="1"/>
    <col min="14342" max="14342" width="7.5703125" style="623" customWidth="1"/>
    <col min="14343" max="14349" width="7" style="623" customWidth="1"/>
    <col min="14350" max="14350" width="7.140625" style="623" customWidth="1"/>
    <col min="14351" max="14592" width="12.5703125" style="623"/>
    <col min="14593" max="14595" width="7" style="623" customWidth="1"/>
    <col min="14596" max="14596" width="8.28515625" style="623" customWidth="1"/>
    <col min="14597" max="14597" width="7" style="623" customWidth="1"/>
    <col min="14598" max="14598" width="7.5703125" style="623" customWidth="1"/>
    <col min="14599" max="14605" width="7" style="623" customWidth="1"/>
    <col min="14606" max="14606" width="7.140625" style="623" customWidth="1"/>
    <col min="14607" max="14848" width="12.5703125" style="623"/>
    <col min="14849" max="14851" width="7" style="623" customWidth="1"/>
    <col min="14852" max="14852" width="8.28515625" style="623" customWidth="1"/>
    <col min="14853" max="14853" width="7" style="623" customWidth="1"/>
    <col min="14854" max="14854" width="7.5703125" style="623" customWidth="1"/>
    <col min="14855" max="14861" width="7" style="623" customWidth="1"/>
    <col min="14862" max="14862" width="7.140625" style="623" customWidth="1"/>
    <col min="14863" max="15104" width="12.5703125" style="623"/>
    <col min="15105" max="15107" width="7" style="623" customWidth="1"/>
    <col min="15108" max="15108" width="8.28515625" style="623" customWidth="1"/>
    <col min="15109" max="15109" width="7" style="623" customWidth="1"/>
    <col min="15110" max="15110" width="7.5703125" style="623" customWidth="1"/>
    <col min="15111" max="15117" width="7" style="623" customWidth="1"/>
    <col min="15118" max="15118" width="7.140625" style="623" customWidth="1"/>
    <col min="15119" max="15360" width="12.5703125" style="623"/>
    <col min="15361" max="15363" width="7" style="623" customWidth="1"/>
    <col min="15364" max="15364" width="8.28515625" style="623" customWidth="1"/>
    <col min="15365" max="15365" width="7" style="623" customWidth="1"/>
    <col min="15366" max="15366" width="7.5703125" style="623" customWidth="1"/>
    <col min="15367" max="15373" width="7" style="623" customWidth="1"/>
    <col min="15374" max="15374" width="7.140625" style="623" customWidth="1"/>
    <col min="15375" max="15616" width="12.5703125" style="623"/>
    <col min="15617" max="15619" width="7" style="623" customWidth="1"/>
    <col min="15620" max="15620" width="8.28515625" style="623" customWidth="1"/>
    <col min="15621" max="15621" width="7" style="623" customWidth="1"/>
    <col min="15622" max="15622" width="7.5703125" style="623" customWidth="1"/>
    <col min="15623" max="15629" width="7" style="623" customWidth="1"/>
    <col min="15630" max="15630" width="7.140625" style="623" customWidth="1"/>
    <col min="15631" max="15872" width="12.5703125" style="623"/>
    <col min="15873" max="15875" width="7" style="623" customWidth="1"/>
    <col min="15876" max="15876" width="8.28515625" style="623" customWidth="1"/>
    <col min="15877" max="15877" width="7" style="623" customWidth="1"/>
    <col min="15878" max="15878" width="7.5703125" style="623" customWidth="1"/>
    <col min="15879" max="15885" width="7" style="623" customWidth="1"/>
    <col min="15886" max="15886" width="7.140625" style="623" customWidth="1"/>
    <col min="15887" max="16128" width="12.5703125" style="623"/>
    <col min="16129" max="16131" width="7" style="623" customWidth="1"/>
    <col min="16132" max="16132" width="8.28515625" style="623" customWidth="1"/>
    <col min="16133" max="16133" width="7" style="623" customWidth="1"/>
    <col min="16134" max="16134" width="7.5703125" style="623" customWidth="1"/>
    <col min="16135" max="16141" width="7" style="623" customWidth="1"/>
    <col min="16142" max="16142" width="7.140625" style="623" customWidth="1"/>
    <col min="16143" max="16384" width="12.5703125" style="623"/>
  </cols>
  <sheetData>
    <row r="1" spans="1:14" ht="17.100000000000001" customHeight="1">
      <c r="A1" s="618" t="s">
        <v>267</v>
      </c>
      <c r="B1" s="619"/>
      <c r="C1" s="619"/>
      <c r="D1" s="619"/>
      <c r="E1" s="619"/>
      <c r="F1" s="619"/>
      <c r="G1" s="619"/>
      <c r="H1" s="619"/>
      <c r="I1" s="619"/>
      <c r="J1" s="620" t="s">
        <v>595</v>
      </c>
      <c r="K1" s="621"/>
      <c r="L1" s="873" t="s">
        <v>767</v>
      </c>
      <c r="M1" s="874"/>
      <c r="N1" s="622"/>
    </row>
    <row r="2" spans="1:14" ht="17.100000000000001" customHeight="1">
      <c r="A2" s="624" t="s">
        <v>597</v>
      </c>
      <c r="B2" s="625"/>
      <c r="C2" s="625"/>
      <c r="D2" s="625"/>
      <c r="E2" s="625"/>
      <c r="F2" s="625"/>
      <c r="G2" s="625"/>
      <c r="H2" s="625"/>
      <c r="I2" s="625"/>
      <c r="J2" s="626" t="s">
        <v>598</v>
      </c>
      <c r="K2" s="627"/>
      <c r="L2" s="628" t="s">
        <v>599</v>
      </c>
      <c r="M2" s="629"/>
      <c r="N2" s="622"/>
    </row>
    <row r="3" spans="1:14" ht="15.95" customHeight="1">
      <c r="A3" s="630"/>
      <c r="B3" s="631"/>
      <c r="C3" s="631"/>
      <c r="D3" s="631"/>
      <c r="E3" s="631"/>
      <c r="F3" s="631"/>
      <c r="G3" s="631"/>
      <c r="H3" s="631"/>
      <c r="I3" s="631"/>
      <c r="J3" s="626" t="s">
        <v>600</v>
      </c>
      <c r="K3" s="627"/>
      <c r="L3" s="875" t="s">
        <v>768</v>
      </c>
      <c r="M3" s="876"/>
      <c r="N3" s="622"/>
    </row>
    <row r="4" spans="1:14" ht="15.95" customHeight="1">
      <c r="A4" s="632"/>
      <c r="B4" s="631"/>
      <c r="C4" s="631"/>
      <c r="D4" s="631"/>
      <c r="E4" s="631"/>
      <c r="F4" s="631"/>
      <c r="G4" s="631"/>
      <c r="H4" s="631"/>
      <c r="I4" s="631"/>
      <c r="J4" s="626" t="s">
        <v>602</v>
      </c>
      <c r="K4" s="627"/>
      <c r="L4" s="877" t="s">
        <v>749</v>
      </c>
      <c r="M4" s="878"/>
      <c r="N4" s="622"/>
    </row>
    <row r="5" spans="1:14" ht="15.95" customHeight="1">
      <c r="A5" s="630"/>
      <c r="B5" s="631"/>
      <c r="C5" s="631"/>
      <c r="D5" s="631"/>
      <c r="E5" s="631"/>
      <c r="F5" s="631"/>
      <c r="G5" s="631"/>
      <c r="H5" s="631"/>
      <c r="I5" s="631"/>
      <c r="J5" s="626" t="s">
        <v>604</v>
      </c>
      <c r="K5" s="627"/>
      <c r="L5" s="877">
        <v>0</v>
      </c>
      <c r="M5" s="879"/>
      <c r="N5" s="622"/>
    </row>
    <row r="6" spans="1:14" ht="15.95" customHeight="1">
      <c r="A6" s="633" t="s">
        <v>605</v>
      </c>
      <c r="B6" s="631"/>
      <c r="C6" s="631"/>
      <c r="D6" s="631"/>
      <c r="E6" s="631"/>
      <c r="F6" s="631"/>
      <c r="G6" s="631"/>
      <c r="H6" s="631"/>
      <c r="I6" s="631"/>
      <c r="J6" s="626" t="s">
        <v>606</v>
      </c>
      <c r="K6" s="627"/>
      <c r="L6" s="877" t="s">
        <v>769</v>
      </c>
      <c r="M6" s="879"/>
      <c r="N6" s="622"/>
    </row>
    <row r="7" spans="1:14" ht="15.95" customHeight="1" thickBot="1">
      <c r="A7" s="634" t="s">
        <v>770</v>
      </c>
      <c r="B7" s="635"/>
      <c r="C7" s="635"/>
      <c r="D7" s="635"/>
      <c r="E7" s="635"/>
      <c r="F7" s="635"/>
      <c r="G7" s="635"/>
      <c r="H7" s="635"/>
      <c r="I7" s="635"/>
      <c r="J7" s="636" t="s">
        <v>609</v>
      </c>
      <c r="K7" s="637"/>
      <c r="L7" s="880" t="s">
        <v>771</v>
      </c>
      <c r="M7" s="881"/>
      <c r="N7" s="622"/>
    </row>
    <row r="8" spans="1:14" ht="6.75" customHeight="1">
      <c r="A8" s="467"/>
      <c r="B8" s="457"/>
      <c r="C8" s="457"/>
      <c r="D8" s="457"/>
      <c r="E8" s="457"/>
      <c r="F8" s="457"/>
      <c r="G8" s="457"/>
      <c r="H8" s="457"/>
      <c r="I8" s="457"/>
      <c r="J8" s="457"/>
      <c r="K8" s="468"/>
      <c r="L8" s="469"/>
      <c r="M8" s="470"/>
      <c r="N8" s="631"/>
    </row>
    <row r="9" spans="1:14" ht="12" customHeight="1">
      <c r="A9" s="471"/>
      <c r="B9" s="472" t="s">
        <v>611</v>
      </c>
      <c r="C9" s="473" t="s">
        <v>702</v>
      </c>
      <c r="D9" s="474"/>
      <c r="E9" s="474"/>
      <c r="F9" s="474"/>
      <c r="G9" s="474"/>
      <c r="H9" s="474"/>
      <c r="I9" s="474"/>
      <c r="J9" s="474"/>
      <c r="K9" s="475"/>
      <c r="L9" s="471"/>
      <c r="M9" s="474"/>
      <c r="N9" s="631"/>
    </row>
    <row r="10" spans="1:14" ht="12" customHeight="1">
      <c r="A10" s="471"/>
      <c r="B10" s="472" t="s">
        <v>612</v>
      </c>
      <c r="C10" s="476" t="s">
        <v>703</v>
      </c>
      <c r="D10" s="471"/>
      <c r="E10" s="471"/>
      <c r="F10" s="471"/>
      <c r="G10" s="471"/>
      <c r="H10" s="471"/>
      <c r="I10" s="471"/>
      <c r="J10" s="471"/>
      <c r="K10" s="471"/>
      <c r="L10" s="471"/>
      <c r="M10" s="471"/>
      <c r="N10" s="638"/>
    </row>
    <row r="11" spans="1:14" ht="6.75" customHeight="1" thickBot="1">
      <c r="A11" s="469"/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638"/>
    </row>
    <row r="12" spans="1:14" ht="20.100000000000001" customHeight="1" thickBot="1">
      <c r="A12" s="477" t="s">
        <v>613</v>
      </c>
      <c r="B12" s="478"/>
      <c r="C12" s="478"/>
      <c r="D12" s="478"/>
      <c r="E12" s="478"/>
      <c r="F12" s="478"/>
      <c r="G12" s="478"/>
      <c r="H12" s="478"/>
      <c r="I12" s="478"/>
      <c r="J12" s="478"/>
      <c r="K12" s="478"/>
      <c r="L12" s="478"/>
      <c r="M12" s="479"/>
      <c r="N12" s="622"/>
    </row>
    <row r="13" spans="1:14" ht="12.95" customHeight="1" thickTop="1">
      <c r="A13" s="480"/>
      <c r="B13" s="472" t="s">
        <v>614</v>
      </c>
      <c r="C13" s="481">
        <v>400</v>
      </c>
      <c r="D13" s="471"/>
      <c r="E13" s="472" t="s">
        <v>615</v>
      </c>
      <c r="F13" s="481">
        <v>4000</v>
      </c>
      <c r="G13" s="471"/>
      <c r="H13" s="472" t="s">
        <v>616</v>
      </c>
      <c r="I13" s="481" t="s">
        <v>701</v>
      </c>
      <c r="J13" s="471"/>
      <c r="K13" s="471"/>
      <c r="L13" s="472" t="s">
        <v>617</v>
      </c>
      <c r="M13" s="482">
        <v>3600</v>
      </c>
      <c r="N13" s="622"/>
    </row>
    <row r="14" spans="1:14" ht="12.95" customHeight="1">
      <c r="A14" s="480"/>
      <c r="B14" s="472" t="s">
        <v>618</v>
      </c>
      <c r="C14" s="481" t="s">
        <v>704</v>
      </c>
      <c r="D14" s="471"/>
      <c r="E14" s="472" t="s">
        <v>619</v>
      </c>
      <c r="F14" s="483" t="s">
        <v>660</v>
      </c>
      <c r="G14" s="471"/>
      <c r="H14" s="472" t="s">
        <v>620</v>
      </c>
      <c r="I14" s="481">
        <v>52</v>
      </c>
      <c r="J14" s="471"/>
      <c r="K14" s="471"/>
      <c r="L14" s="472" t="s">
        <v>575</v>
      </c>
      <c r="M14" s="482">
        <v>3575</v>
      </c>
      <c r="N14" s="622"/>
    </row>
    <row r="15" spans="1:14" ht="12.95" customHeight="1">
      <c r="A15" s="480"/>
      <c r="B15" s="472" t="s">
        <v>621</v>
      </c>
      <c r="C15" s="481" t="s">
        <v>193</v>
      </c>
      <c r="D15" s="471"/>
      <c r="E15" s="472" t="s">
        <v>622</v>
      </c>
      <c r="F15" s="484" t="s">
        <v>705</v>
      </c>
      <c r="G15" s="471"/>
      <c r="H15" s="472" t="s">
        <v>623</v>
      </c>
      <c r="I15" s="483" t="s">
        <v>318</v>
      </c>
      <c r="J15" s="471"/>
      <c r="K15" s="471"/>
      <c r="L15" s="472" t="s">
        <v>624</v>
      </c>
      <c r="M15" s="482" t="s">
        <v>361</v>
      </c>
      <c r="N15" s="622"/>
    </row>
    <row r="16" spans="1:14" ht="12.95" customHeight="1">
      <c r="A16" s="480"/>
      <c r="B16" s="472" t="s">
        <v>625</v>
      </c>
      <c r="C16" s="481" t="s">
        <v>700</v>
      </c>
      <c r="D16" s="471"/>
      <c r="E16" s="472" t="s">
        <v>626</v>
      </c>
      <c r="F16" s="481" t="s">
        <v>436</v>
      </c>
      <c r="G16" s="471"/>
      <c r="H16" s="485" t="s">
        <v>627</v>
      </c>
      <c r="I16" s="486" t="s">
        <v>381</v>
      </c>
      <c r="J16" s="471"/>
      <c r="K16" s="471"/>
      <c r="L16" s="472" t="s">
        <v>628</v>
      </c>
      <c r="M16" s="482" t="s">
        <v>629</v>
      </c>
      <c r="N16" s="622"/>
    </row>
    <row r="17" spans="1:20" ht="12.95" customHeight="1">
      <c r="A17" s="480"/>
      <c r="B17" s="472" t="s">
        <v>630</v>
      </c>
      <c r="C17" s="473" t="s">
        <v>706</v>
      </c>
      <c r="D17" s="471"/>
      <c r="E17" s="472"/>
      <c r="F17" s="483"/>
      <c r="G17" s="471"/>
      <c r="H17" s="472" t="s">
        <v>631</v>
      </c>
      <c r="I17" s="486" t="s">
        <v>175</v>
      </c>
      <c r="J17" s="471"/>
      <c r="K17" s="471"/>
      <c r="L17" s="472"/>
      <c r="M17" s="487"/>
      <c r="N17" s="622"/>
    </row>
    <row r="18" spans="1:20" ht="12.95" customHeight="1" thickBot="1">
      <c r="A18" s="488"/>
      <c r="B18" s="489" t="s">
        <v>632</v>
      </c>
      <c r="C18" s="490" t="s">
        <v>175</v>
      </c>
      <c r="D18" s="491"/>
      <c r="E18" s="489" t="s">
        <v>633</v>
      </c>
      <c r="F18" s="490" t="s">
        <v>175</v>
      </c>
      <c r="G18" s="492"/>
      <c r="H18" s="489" t="s">
        <v>634</v>
      </c>
      <c r="I18" s="490" t="s">
        <v>175</v>
      </c>
      <c r="J18" s="491"/>
      <c r="K18" s="491"/>
      <c r="L18" s="491"/>
      <c r="M18" s="493"/>
      <c r="N18" s="622"/>
    </row>
    <row r="19" spans="1:20" ht="16.5" thickBot="1"/>
    <row r="20" spans="1:20" ht="16.5" thickBot="1">
      <c r="A20" s="882" t="s">
        <v>772</v>
      </c>
      <c r="B20" s="883"/>
      <c r="C20" s="883"/>
      <c r="D20" s="883"/>
      <c r="E20" s="883"/>
      <c r="F20" s="883"/>
      <c r="G20" s="883"/>
      <c r="H20" s="883"/>
      <c r="I20" s="883"/>
      <c r="J20" s="883"/>
      <c r="K20" s="883"/>
      <c r="L20" s="883"/>
      <c r="M20" s="884"/>
    </row>
    <row r="21" spans="1:20" ht="16.5" thickTop="1">
      <c r="A21" s="639"/>
      <c r="B21" s="640"/>
      <c r="C21" s="641"/>
      <c r="D21" s="642" t="s">
        <v>773</v>
      </c>
      <c r="E21" s="643" t="s">
        <v>827</v>
      </c>
      <c r="F21" s="644"/>
      <c r="G21" s="641"/>
      <c r="H21" s="641"/>
      <c r="I21" s="645" t="s">
        <v>774</v>
      </c>
      <c r="J21" s="646">
        <v>26.8</v>
      </c>
      <c r="K21" s="644"/>
      <c r="L21" s="644"/>
      <c r="M21" s="647"/>
    </row>
    <row r="22" spans="1:20" ht="16.5" thickBot="1">
      <c r="A22" s="648"/>
      <c r="B22" s="649"/>
      <c r="C22" s="649"/>
      <c r="D22" s="650" t="s">
        <v>775</v>
      </c>
      <c r="E22" s="651" t="s">
        <v>828</v>
      </c>
      <c r="F22" s="652"/>
      <c r="G22" s="649"/>
      <c r="H22" s="649"/>
      <c r="I22" s="649"/>
      <c r="J22" s="649"/>
      <c r="K22" s="649"/>
      <c r="L22" s="649"/>
      <c r="M22" s="653"/>
    </row>
    <row r="23" spans="1:20" ht="16.5" thickBot="1"/>
    <row r="24" spans="1:20" ht="16.5" thickBot="1">
      <c r="A24" s="882" t="s">
        <v>776</v>
      </c>
      <c r="B24" s="883"/>
      <c r="C24" s="883"/>
      <c r="D24" s="883"/>
      <c r="E24" s="883"/>
      <c r="F24" s="884"/>
      <c r="G24" s="654"/>
      <c r="H24" s="882" t="s">
        <v>777</v>
      </c>
      <c r="I24" s="883"/>
      <c r="J24" s="883"/>
      <c r="K24" s="883"/>
      <c r="L24" s="883"/>
      <c r="M24" s="884"/>
    </row>
    <row r="25" spans="1:20" ht="17.25" thickTop="1" thickBot="1">
      <c r="A25" s="655"/>
      <c r="B25" s="641"/>
      <c r="C25" s="645"/>
      <c r="D25" s="645"/>
      <c r="E25" s="645" t="s">
        <v>778</v>
      </c>
      <c r="F25" s="656">
        <v>588</v>
      </c>
      <c r="G25" s="657"/>
      <c r="H25" s="641"/>
      <c r="I25" s="641"/>
      <c r="J25" s="658" t="s">
        <v>779</v>
      </c>
      <c r="K25" s="870" t="s">
        <v>377</v>
      </c>
      <c r="L25" s="871"/>
      <c r="M25" s="872"/>
    </row>
    <row r="26" spans="1:20" ht="17.25" thickTop="1" thickBot="1">
      <c r="A26" s="659"/>
      <c r="D26" s="660"/>
      <c r="E26" s="660" t="s">
        <v>780</v>
      </c>
      <c r="F26" s="661">
        <v>185</v>
      </c>
      <c r="G26" s="662"/>
      <c r="J26" s="663" t="s">
        <v>781</v>
      </c>
      <c r="K26" s="870" t="s">
        <v>377</v>
      </c>
      <c r="L26" s="871"/>
      <c r="M26" s="872"/>
    </row>
    <row r="27" spans="1:20" ht="16.5" thickTop="1">
      <c r="A27" s="659"/>
      <c r="D27" s="660"/>
      <c r="E27" s="660" t="s">
        <v>782</v>
      </c>
      <c r="F27" s="661">
        <v>150</v>
      </c>
      <c r="G27" s="662"/>
      <c r="J27" s="663" t="s">
        <v>783</v>
      </c>
      <c r="K27" s="870" t="s">
        <v>377</v>
      </c>
      <c r="L27" s="871"/>
      <c r="M27" s="872"/>
    </row>
    <row r="28" spans="1:20" ht="16.5" thickBot="1">
      <c r="A28" s="648"/>
      <c r="B28" s="649"/>
      <c r="C28" s="649"/>
      <c r="D28" s="650"/>
      <c r="E28" s="650" t="s">
        <v>784</v>
      </c>
      <c r="F28" s="664">
        <v>235</v>
      </c>
      <c r="G28" s="662"/>
      <c r="H28" s="649"/>
      <c r="I28" s="649"/>
      <c r="J28" s="665"/>
      <c r="K28" s="885"/>
      <c r="L28" s="885"/>
      <c r="M28" s="886"/>
    </row>
    <row r="29" spans="1:20" ht="16.5" thickBot="1"/>
    <row r="30" spans="1:20" ht="16.5" thickBot="1">
      <c r="A30" s="887" t="s">
        <v>785</v>
      </c>
      <c r="B30" s="888"/>
      <c r="C30" s="888"/>
      <c r="D30" s="888"/>
      <c r="E30" s="888"/>
      <c r="F30" s="888"/>
      <c r="G30" s="888"/>
      <c r="H30" s="888"/>
      <c r="I30" s="888"/>
      <c r="J30" s="888"/>
      <c r="K30" s="888"/>
      <c r="L30" s="888"/>
      <c r="M30" s="889"/>
    </row>
    <row r="31" spans="1:20" ht="16.5" thickTop="1">
      <c r="A31" s="890" t="s">
        <v>786</v>
      </c>
      <c r="B31" s="891"/>
      <c r="C31" s="891"/>
      <c r="D31" s="891"/>
      <c r="E31" s="891"/>
      <c r="F31" s="892"/>
      <c r="G31" s="666"/>
      <c r="H31" s="893" t="s">
        <v>787</v>
      </c>
      <c r="I31" s="891"/>
      <c r="J31" s="891"/>
      <c r="K31" s="891"/>
      <c r="L31" s="891"/>
      <c r="M31" s="894"/>
    </row>
    <row r="32" spans="1:20">
      <c r="A32" s="659"/>
      <c r="B32" s="667"/>
      <c r="C32" s="660" t="s">
        <v>788</v>
      </c>
      <c r="D32" s="895" t="s">
        <v>819</v>
      </c>
      <c r="E32" s="895"/>
      <c r="F32" s="896"/>
      <c r="G32" s="668"/>
      <c r="J32" s="660" t="s">
        <v>788</v>
      </c>
      <c r="K32" s="895" t="s">
        <v>823</v>
      </c>
      <c r="L32" s="895"/>
      <c r="M32" s="897"/>
      <c r="R32" s="382"/>
      <c r="S32" s="382"/>
      <c r="T32" s="382"/>
    </row>
    <row r="33" spans="1:23">
      <c r="A33" s="659"/>
      <c r="B33" s="667"/>
      <c r="C33" s="660" t="s">
        <v>789</v>
      </c>
      <c r="D33" s="901" t="s">
        <v>820</v>
      </c>
      <c r="E33" s="901"/>
      <c r="F33" s="902"/>
      <c r="G33" s="668"/>
      <c r="J33" s="660" t="s">
        <v>789</v>
      </c>
      <c r="K33" s="901" t="s">
        <v>826</v>
      </c>
      <c r="L33" s="901"/>
      <c r="M33" s="903"/>
      <c r="R33" s="382"/>
      <c r="S33" s="382"/>
      <c r="T33" s="382"/>
      <c r="U33" s="382"/>
      <c r="V33" s="382"/>
      <c r="W33" s="382"/>
    </row>
    <row r="34" spans="1:23">
      <c r="A34" s="659"/>
      <c r="B34" s="667"/>
      <c r="C34" s="660" t="s">
        <v>790</v>
      </c>
      <c r="D34" s="901" t="s">
        <v>821</v>
      </c>
      <c r="E34" s="901"/>
      <c r="F34" s="902"/>
      <c r="G34" s="668"/>
      <c r="J34" s="660" t="s">
        <v>790</v>
      </c>
      <c r="K34" s="901" t="s">
        <v>824</v>
      </c>
      <c r="L34" s="901"/>
      <c r="M34" s="903"/>
      <c r="P34" s="382"/>
      <c r="Q34" s="382"/>
      <c r="R34" s="382"/>
      <c r="S34" s="382"/>
      <c r="T34" s="382"/>
      <c r="U34" s="382"/>
      <c r="V34" s="382"/>
      <c r="W34" s="382"/>
    </row>
    <row r="35" spans="1:23" ht="16.5" thickBot="1">
      <c r="A35" s="648"/>
      <c r="B35" s="669"/>
      <c r="C35" s="650" t="s">
        <v>791</v>
      </c>
      <c r="D35" s="904" t="s">
        <v>822</v>
      </c>
      <c r="E35" s="904"/>
      <c r="F35" s="905"/>
      <c r="G35" s="668"/>
      <c r="H35" s="649"/>
      <c r="I35" s="649"/>
      <c r="J35" s="650" t="s">
        <v>791</v>
      </c>
      <c r="K35" s="904" t="s">
        <v>825</v>
      </c>
      <c r="L35" s="904"/>
      <c r="M35" s="906"/>
      <c r="P35" s="382"/>
      <c r="Q35" s="382"/>
      <c r="R35" s="382"/>
      <c r="S35" s="382"/>
      <c r="T35" s="382"/>
      <c r="U35" s="382"/>
      <c r="V35" s="382"/>
      <c r="W35" s="382"/>
    </row>
    <row r="36" spans="1:23" ht="16.5" thickBot="1">
      <c r="P36" s="382"/>
      <c r="Q36" s="382"/>
      <c r="R36" s="382"/>
      <c r="S36" s="382"/>
      <c r="T36" s="382"/>
      <c r="U36" s="382"/>
      <c r="V36" s="382"/>
      <c r="W36" s="382"/>
    </row>
    <row r="37" spans="1:23" ht="16.5" thickBot="1">
      <c r="A37" s="887" t="s">
        <v>792</v>
      </c>
      <c r="B37" s="888"/>
      <c r="C37" s="888"/>
      <c r="D37" s="888"/>
      <c r="E37" s="888"/>
      <c r="F37" s="888"/>
      <c r="G37" s="888"/>
      <c r="H37" s="888"/>
      <c r="I37" s="888"/>
      <c r="J37" s="888"/>
      <c r="K37" s="888"/>
      <c r="L37" s="888"/>
      <c r="M37" s="889"/>
      <c r="P37" s="382"/>
      <c r="Q37" s="382"/>
      <c r="R37" s="382"/>
      <c r="S37" s="382"/>
      <c r="T37" s="382"/>
      <c r="U37" s="382"/>
      <c r="V37" s="382"/>
      <c r="W37" s="382"/>
    </row>
    <row r="38" spans="1:23" ht="16.5" thickTop="1">
      <c r="A38" s="655"/>
      <c r="B38" s="656"/>
      <c r="C38" s="658" t="s">
        <v>793</v>
      </c>
      <c r="D38" s="907" t="s">
        <v>794</v>
      </c>
      <c r="E38" s="907"/>
      <c r="F38" s="907"/>
      <c r="G38" s="907"/>
      <c r="H38" s="641"/>
      <c r="I38" s="641"/>
      <c r="J38" s="645" t="s">
        <v>795</v>
      </c>
      <c r="K38" s="908" t="s">
        <v>796</v>
      </c>
      <c r="L38" s="908"/>
      <c r="M38" s="909"/>
      <c r="P38" s="382"/>
      <c r="Q38" s="382"/>
      <c r="R38" s="382"/>
      <c r="S38" s="382"/>
      <c r="T38" s="382"/>
      <c r="U38" s="382"/>
      <c r="V38" s="382"/>
      <c r="W38" s="382"/>
    </row>
    <row r="39" spans="1:23" ht="16.5" thickBot="1">
      <c r="A39" s="648"/>
      <c r="B39" s="649"/>
      <c r="C39" s="664" t="s">
        <v>797</v>
      </c>
      <c r="D39" s="910" t="s">
        <v>798</v>
      </c>
      <c r="E39" s="910"/>
      <c r="F39" s="910"/>
      <c r="G39" s="910"/>
      <c r="H39" s="649"/>
      <c r="I39" s="649"/>
      <c r="J39" s="650" t="s">
        <v>799</v>
      </c>
      <c r="K39" s="911" t="s">
        <v>829</v>
      </c>
      <c r="L39" s="911"/>
      <c r="M39" s="912"/>
      <c r="O39" s="670"/>
      <c r="P39" s="382"/>
      <c r="Q39" s="382"/>
      <c r="R39" s="382"/>
      <c r="S39" s="382"/>
      <c r="T39" s="382"/>
      <c r="U39" s="382"/>
      <c r="V39" s="382"/>
      <c r="W39" s="382"/>
    </row>
    <row r="40" spans="1:23" ht="16.5" thickBot="1">
      <c r="A40" s="671"/>
      <c r="B40" s="671"/>
      <c r="C40" s="671"/>
      <c r="D40" s="898" t="s">
        <v>800</v>
      </c>
      <c r="E40" s="899"/>
      <c r="F40" s="899"/>
      <c r="G40" s="899"/>
      <c r="H40" s="899"/>
      <c r="I40" s="899"/>
      <c r="J40" s="900"/>
      <c r="K40" s="671"/>
      <c r="L40" s="671"/>
      <c r="M40" s="671"/>
      <c r="O40" s="670"/>
      <c r="P40" s="382"/>
      <c r="Q40" s="382"/>
      <c r="R40" s="382"/>
      <c r="S40" s="382"/>
      <c r="T40" s="382"/>
      <c r="U40" s="382"/>
      <c r="V40" s="382"/>
      <c r="W40" s="382"/>
    </row>
    <row r="41" spans="1:23">
      <c r="D41" s="915" t="s">
        <v>801</v>
      </c>
      <c r="E41" s="916"/>
      <c r="F41" s="917"/>
      <c r="G41" s="672" t="s">
        <v>802</v>
      </c>
      <c r="H41" s="673" t="s">
        <v>803</v>
      </c>
      <c r="I41" s="674" t="s">
        <v>804</v>
      </c>
      <c r="J41" s="675">
        <v>1.1499999999999999</v>
      </c>
      <c r="O41" s="670"/>
      <c r="P41" s="382"/>
      <c r="Q41" s="382"/>
      <c r="R41" s="382"/>
      <c r="S41" s="382"/>
      <c r="T41" s="382"/>
      <c r="U41" s="382"/>
      <c r="V41" s="382"/>
      <c r="W41" s="382"/>
    </row>
    <row r="42" spans="1:23">
      <c r="D42" s="918" t="s">
        <v>805</v>
      </c>
      <c r="E42" s="919"/>
      <c r="F42" s="920"/>
      <c r="G42" s="676">
        <v>29.4</v>
      </c>
      <c r="H42" s="677">
        <v>40.299999999999997</v>
      </c>
      <c r="I42" s="677">
        <v>52</v>
      </c>
      <c r="J42" s="678"/>
      <c r="O42" s="670"/>
      <c r="P42" s="382"/>
      <c r="Q42" s="382"/>
      <c r="R42" s="382"/>
      <c r="S42" s="382"/>
      <c r="T42" s="382"/>
      <c r="U42" s="382"/>
      <c r="V42" s="382"/>
      <c r="W42" s="382"/>
    </row>
    <row r="43" spans="1:23">
      <c r="D43" s="918" t="s">
        <v>806</v>
      </c>
      <c r="E43" s="919"/>
      <c r="F43" s="920"/>
      <c r="G43" s="676">
        <v>91.2</v>
      </c>
      <c r="H43" s="677">
        <v>93.4</v>
      </c>
      <c r="I43" s="677">
        <v>94.3</v>
      </c>
      <c r="J43" s="678"/>
      <c r="O43" s="670"/>
      <c r="P43" s="382"/>
      <c r="Q43" s="382"/>
      <c r="R43" s="382"/>
      <c r="S43" s="382"/>
      <c r="T43" s="382"/>
      <c r="U43" s="382"/>
      <c r="V43" s="382"/>
      <c r="W43" s="382"/>
    </row>
    <row r="44" spans="1:23">
      <c r="D44" s="918" t="s">
        <v>807</v>
      </c>
      <c r="E44" s="919"/>
      <c r="F44" s="920"/>
      <c r="G44" s="676">
        <v>80.2</v>
      </c>
      <c r="H44" s="677">
        <v>85.8</v>
      </c>
      <c r="I44" s="677">
        <v>87.4</v>
      </c>
      <c r="J44" s="678"/>
      <c r="O44" s="670"/>
      <c r="P44" s="382"/>
      <c r="Q44" s="382"/>
      <c r="R44" s="382"/>
      <c r="S44" s="382"/>
      <c r="T44" s="382"/>
      <c r="U44" s="382"/>
      <c r="V44" s="382"/>
    </row>
    <row r="45" spans="1:23" ht="16.5" thickBot="1">
      <c r="D45" s="921" t="s">
        <v>808</v>
      </c>
      <c r="E45" s="922"/>
      <c r="F45" s="923"/>
      <c r="G45" s="679" t="s">
        <v>175</v>
      </c>
      <c r="H45" s="680" t="s">
        <v>175</v>
      </c>
      <c r="I45" s="680" t="s">
        <v>175</v>
      </c>
      <c r="J45" s="681" t="s">
        <v>175</v>
      </c>
      <c r="O45" s="670"/>
      <c r="P45" s="670"/>
      <c r="Q45" s="670"/>
      <c r="R45" s="670"/>
      <c r="S45" s="670"/>
      <c r="T45" s="670"/>
      <c r="U45" s="670"/>
      <c r="V45" s="670"/>
    </row>
    <row r="46" spans="1:23">
      <c r="A46" s="924" t="s">
        <v>809</v>
      </c>
      <c r="B46" s="924"/>
      <c r="C46" s="924"/>
      <c r="D46" s="924"/>
      <c r="E46" s="924"/>
      <c r="F46" s="924"/>
      <c r="G46" s="924"/>
      <c r="H46" s="924"/>
      <c r="I46" s="924"/>
      <c r="J46" s="924"/>
      <c r="K46" s="924"/>
      <c r="L46" s="924"/>
      <c r="M46" s="924"/>
      <c r="O46" s="670"/>
      <c r="P46" s="670"/>
      <c r="Q46" s="670"/>
      <c r="R46" s="670"/>
      <c r="S46" s="670"/>
      <c r="T46" s="670"/>
      <c r="U46" s="670"/>
      <c r="V46" s="670"/>
    </row>
    <row r="47" spans="1:23">
      <c r="O47" s="670"/>
      <c r="P47" s="670"/>
      <c r="Q47" s="670"/>
      <c r="R47" s="670"/>
      <c r="S47" s="670"/>
      <c r="T47" s="670"/>
      <c r="U47" s="670"/>
      <c r="V47" s="670"/>
    </row>
    <row r="48" spans="1:23">
      <c r="J48" s="682" t="s">
        <v>656</v>
      </c>
      <c r="K48" s="913" t="s">
        <v>810</v>
      </c>
      <c r="L48" s="913"/>
      <c r="M48" s="913"/>
      <c r="O48" s="670"/>
      <c r="P48" s="670"/>
      <c r="Q48" s="670"/>
      <c r="R48" s="670"/>
      <c r="S48" s="670"/>
      <c r="T48" s="670"/>
      <c r="U48" s="670"/>
      <c r="V48" s="670"/>
    </row>
    <row r="49" spans="1:22">
      <c r="K49" s="683"/>
      <c r="L49" s="683"/>
      <c r="M49" s="683"/>
      <c r="O49" s="670"/>
      <c r="P49" s="670"/>
      <c r="Q49" s="670"/>
      <c r="R49" s="670"/>
      <c r="S49" s="670"/>
      <c r="T49" s="670"/>
      <c r="U49" s="670"/>
      <c r="V49" s="670"/>
    </row>
    <row r="50" spans="1:22">
      <c r="J50" s="682" t="s">
        <v>658</v>
      </c>
      <c r="K50" s="914">
        <v>45012</v>
      </c>
      <c r="L50" s="914"/>
      <c r="M50" s="914"/>
      <c r="O50" s="670"/>
      <c r="P50" s="670"/>
      <c r="Q50" s="670"/>
    </row>
    <row r="52" spans="1:22">
      <c r="A52" s="684"/>
    </row>
    <row r="53" spans="1:22">
      <c r="A53" s="685" t="s">
        <v>811</v>
      </c>
    </row>
    <row r="54" spans="1:22">
      <c r="A54" s="686"/>
    </row>
  </sheetData>
  <mergeCells count="38">
    <mergeCell ref="K48:M48"/>
    <mergeCell ref="K50:M50"/>
    <mergeCell ref="D41:F41"/>
    <mergeCell ref="D42:F42"/>
    <mergeCell ref="D43:F43"/>
    <mergeCell ref="D44:F44"/>
    <mergeCell ref="D45:F45"/>
    <mergeCell ref="A46:M46"/>
    <mergeCell ref="D40:J40"/>
    <mergeCell ref="D33:F33"/>
    <mergeCell ref="K33:M33"/>
    <mergeCell ref="D34:F34"/>
    <mergeCell ref="K34:M34"/>
    <mergeCell ref="D35:F35"/>
    <mergeCell ref="K35:M35"/>
    <mergeCell ref="A37:M37"/>
    <mergeCell ref="D38:G38"/>
    <mergeCell ref="K38:M38"/>
    <mergeCell ref="D39:G39"/>
    <mergeCell ref="K39:M39"/>
    <mergeCell ref="K28:M28"/>
    <mergeCell ref="A30:M30"/>
    <mergeCell ref="A31:F31"/>
    <mergeCell ref="H31:M31"/>
    <mergeCell ref="D32:F32"/>
    <mergeCell ref="K32:M32"/>
    <mergeCell ref="K27:M27"/>
    <mergeCell ref="L1:M1"/>
    <mergeCell ref="L3:M3"/>
    <mergeCell ref="L4:M4"/>
    <mergeCell ref="L5:M5"/>
    <mergeCell ref="L6:M6"/>
    <mergeCell ref="L7:M7"/>
    <mergeCell ref="A20:M20"/>
    <mergeCell ref="A24:F24"/>
    <mergeCell ref="H24:M24"/>
    <mergeCell ref="K25:M25"/>
    <mergeCell ref="K26:M26"/>
  </mergeCells>
  <printOptions horizontalCentered="1" gridLinesSet="0"/>
  <pageMargins left="0.5" right="0.5" top="0.5" bottom="0.5" header="0.5" footer="0.5"/>
  <pageSetup scale="8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15</vt:i4>
      </vt:variant>
    </vt:vector>
  </HeadingPairs>
  <TitlesOfParts>
    <vt:vector size="27" baseType="lpstr">
      <vt:lpstr>DesignSheet</vt:lpstr>
      <vt:lpstr>Data Sheet</vt:lpstr>
      <vt:lpstr>LoginSheet</vt:lpstr>
      <vt:lpstr>StallTime</vt:lpstr>
      <vt:lpstr>Form</vt:lpstr>
      <vt:lpstr>Performance Data Sheet</vt:lpstr>
      <vt:lpstr>STCurve</vt:lpstr>
      <vt:lpstr>Thermdam</vt:lpstr>
      <vt:lpstr>Performance 4000V</vt:lpstr>
      <vt:lpstr>Performance 2300v</vt:lpstr>
      <vt:lpstr>Rev. 1</vt:lpstr>
      <vt:lpstr>PERFORMANCE SPEC</vt:lpstr>
      <vt:lpstr>'Data Sheet'!Print_Area</vt:lpstr>
      <vt:lpstr>DesignSheet!Print_Area</vt:lpstr>
      <vt:lpstr>Form!Print_Area</vt:lpstr>
      <vt:lpstr>LoginSheet!Print_Area</vt:lpstr>
      <vt:lpstr>'Performance 2300v'!Print_Area</vt:lpstr>
      <vt:lpstr>'Performance 4000V'!Print_Area</vt:lpstr>
      <vt:lpstr>'Performance Data Sheet'!Print_Area</vt:lpstr>
      <vt:lpstr>'PERFORMANCE SPEC'!Print_Area</vt:lpstr>
      <vt:lpstr>'Rev. 1'!Print_Area</vt:lpstr>
      <vt:lpstr>StallTime!Print_Area</vt:lpstr>
      <vt:lpstr>STCurve!Print_Area</vt:lpstr>
      <vt:lpstr>Thermdam!Print_Area</vt:lpstr>
      <vt:lpstr>'PERFORMANCE SPEC'!Print_Area_MI</vt:lpstr>
      <vt:lpstr>'Rev. 1'!Print_Area_MI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Guerrettaz, Andrew (TIC)</cp:lastModifiedBy>
  <cp:lastPrinted>2017-05-22T14:20:14Z</cp:lastPrinted>
  <dcterms:created xsi:type="dcterms:W3CDTF">1997-10-03T20:37:30Z</dcterms:created>
  <dcterms:modified xsi:type="dcterms:W3CDTF">2026-10-08T19:53:16Z</dcterms:modified>
</cp:coreProperties>
</file>