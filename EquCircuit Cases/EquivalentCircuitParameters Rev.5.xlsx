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xie\Desktop\"/>
    </mc:Choice>
  </mc:AlternateContent>
  <bookViews>
    <workbookView xWindow="120" yWindow="120" windowWidth="15180" windowHeight="8835"/>
  </bookViews>
  <sheets>
    <sheet name="EqCircut" sheetId="1" r:id="rId1"/>
  </sheets>
  <externalReferences>
    <externalReference r:id="rId2"/>
  </externalReferences>
  <definedNames>
    <definedName name="_xlnm.Print_Area" localSheetId="0">EqCircut!$A$9:$K$32</definedName>
  </definedNames>
  <calcPr calcId="162913"/>
</workbook>
</file>

<file path=xl/calcChain.xml><?xml version="1.0" encoding="utf-8"?>
<calcChain xmlns="http://schemas.openxmlformats.org/spreadsheetml/2006/main">
  <c r="G41" i="1" l="1"/>
  <c r="B47" i="1" s="1"/>
  <c r="B58" i="1" s="1"/>
  <c r="E41" i="1"/>
  <c r="C41" i="1"/>
  <c r="B51" i="1" s="1"/>
  <c r="J8" i="1"/>
  <c r="J7" i="1"/>
  <c r="J6" i="1"/>
  <c r="J5" i="1"/>
  <c r="J4" i="1"/>
  <c r="J3" i="1"/>
  <c r="J2" i="1"/>
  <c r="B45" i="1" l="1"/>
  <c r="B54" i="1" s="1"/>
  <c r="B46" i="1"/>
  <c r="B55" i="1" s="1"/>
  <c r="B50" i="1"/>
  <c r="B52" i="1" s="1"/>
  <c r="D7" i="1" l="1"/>
  <c r="B49" i="1" s="1"/>
  <c r="D5" i="1"/>
  <c r="B61" i="1" s="1"/>
  <c r="E3" i="1"/>
  <c r="E2" i="1"/>
  <c r="D13" i="1" l="1"/>
  <c r="F13" i="1" s="1"/>
  <c r="D20" i="1"/>
  <c r="F20" i="1" s="1"/>
  <c r="C43" i="1"/>
  <c r="B53" i="1" s="1"/>
  <c r="D15" i="1" l="1"/>
  <c r="F15" i="1" s="1"/>
  <c r="D14" i="1"/>
  <c r="F14" i="1" s="1"/>
  <c r="D16" i="1" l="1"/>
  <c r="B57" i="1"/>
  <c r="B48" i="1"/>
  <c r="B59" i="1" s="1"/>
  <c r="B60" i="1" s="1"/>
  <c r="D18" i="1" l="1"/>
  <c r="F18" i="1" s="1"/>
  <c r="B68" i="1"/>
  <c r="D30" i="1" s="1"/>
  <c r="F30" i="1" s="1"/>
  <c r="B66" i="1"/>
  <c r="D26" i="1" s="1"/>
  <c r="F26" i="1" s="1"/>
  <c r="F16" i="1"/>
  <c r="D19" i="1"/>
  <c r="F19" i="1" s="1"/>
  <c r="B69" i="1"/>
  <c r="D31" i="1" s="1"/>
  <c r="F31" i="1" s="1"/>
  <c r="B56" i="1"/>
  <c r="B64" i="1" s="1"/>
  <c r="B67" i="1" l="1"/>
  <c r="D29" i="1" s="1"/>
  <c r="F29" i="1" s="1"/>
  <c r="B63" i="1"/>
  <c r="D23" i="1" s="1"/>
  <c r="F23" i="1" s="1"/>
  <c r="D24" i="1"/>
  <c r="F24" i="1" s="1"/>
  <c r="L3" i="1"/>
  <c r="B65" i="1"/>
  <c r="D25" i="1" s="1"/>
  <c r="F25" i="1" s="1"/>
  <c r="B62" i="1"/>
  <c r="D17" i="1"/>
  <c r="D22" i="1" l="1"/>
  <c r="F22" i="1" s="1"/>
  <c r="B72" i="1"/>
  <c r="F17" i="1"/>
</calcChain>
</file>

<file path=xl/sharedStrings.xml><?xml version="1.0" encoding="utf-8"?>
<sst xmlns="http://schemas.openxmlformats.org/spreadsheetml/2006/main" count="102" uniqueCount="99">
  <si>
    <t xml:space="preserve">What is the % BDT before Correlation ? </t>
  </si>
  <si>
    <t>Voltage :</t>
  </si>
  <si>
    <t xml:space="preserve">What is the % BDT after Correlation ? </t>
  </si>
  <si>
    <t>Frequency :</t>
  </si>
  <si>
    <t>No-Load Current:</t>
  </si>
  <si>
    <t xml:space="preserve">what are the No Load Amps? </t>
  </si>
  <si>
    <t>Full Load Current:</t>
  </si>
  <si>
    <t>Breakdown Torque:</t>
  </si>
  <si>
    <t>What are the Full load Amps?</t>
  </si>
  <si>
    <t>Wc:</t>
  </si>
  <si>
    <t>Wf:</t>
  </si>
  <si>
    <t xml:space="preserve">TOSHIBA INTERNATIONAL CORPORATION </t>
  </si>
  <si>
    <t>VALUE (OHMS)</t>
  </si>
  <si>
    <t xml:space="preserve">PER UNIT </t>
  </si>
  <si>
    <t>BASE IMPEDANCE PER UNIT</t>
  </si>
  <si>
    <t>PRIMARY REISTANCE (R1)</t>
  </si>
  <si>
    <t>SECONDARY RESISTANCE (R2)</t>
  </si>
  <si>
    <t>STARTING RESISTANCE (R3)</t>
  </si>
  <si>
    <t>PRIMARY REACTANCE (X1)</t>
  </si>
  <si>
    <t>SECONDARY REACTANCE (X2)</t>
  </si>
  <si>
    <t>STARTING REACTANCE (X3)</t>
  </si>
  <si>
    <t>MAGNETIZING REACTANCE (XM)</t>
  </si>
  <si>
    <t>SHORT CIRCUIT TIME CONSTANT</t>
  </si>
  <si>
    <t>SUB TRANSIENT TIME CONSTANT</t>
  </si>
  <si>
    <t>OPEN CIRCUIT TIME CONSTANT</t>
  </si>
  <si>
    <t>INDUCTANCES (HENRIES)</t>
  </si>
  <si>
    <t>STATOR INDUCTANCE (L1)</t>
  </si>
  <si>
    <t>ROTOR INDUCTANCE (L2)</t>
  </si>
  <si>
    <t>STARTING INDUCTANCE (L3)</t>
  </si>
  <si>
    <t>Jcon  =</t>
  </si>
  <si>
    <t xml:space="preserve">Wo = </t>
  </si>
  <si>
    <t xml:space="preserve">Xcorr = </t>
  </si>
  <si>
    <t xml:space="preserve">X BDT = </t>
  </si>
  <si>
    <t xml:space="preserve">pacop = </t>
  </si>
  <si>
    <t>pacop2=</t>
  </si>
  <si>
    <t xml:space="preserve">pac11p = </t>
  </si>
  <si>
    <t xml:space="preserve">pac12p = </t>
  </si>
  <si>
    <t xml:space="preserve">base = </t>
  </si>
  <si>
    <t xml:space="preserve">r1 = </t>
  </si>
  <si>
    <t xml:space="preserve">r2 = </t>
  </si>
  <si>
    <t xml:space="preserve">r3 = </t>
  </si>
  <si>
    <t xml:space="preserve">xs = </t>
  </si>
  <si>
    <t xml:space="preserve">x1r = </t>
  </si>
  <si>
    <t xml:space="preserve">x2r = </t>
  </si>
  <si>
    <t xml:space="preserve">x1 = </t>
  </si>
  <si>
    <t xml:space="preserve">x2 = </t>
  </si>
  <si>
    <t xml:space="preserve">x1s = </t>
  </si>
  <si>
    <t xml:space="preserve">x2s = </t>
  </si>
  <si>
    <t xml:space="preserve">x3 = </t>
  </si>
  <si>
    <t xml:space="preserve">xm= </t>
  </si>
  <si>
    <t xml:space="preserve">tx = </t>
  </si>
  <si>
    <t xml:space="preserve">stx = </t>
  </si>
  <si>
    <t xml:space="preserve">sctc = </t>
  </si>
  <si>
    <t xml:space="preserve">sttc = </t>
  </si>
  <si>
    <t xml:space="preserve">octo = </t>
  </si>
  <si>
    <t xml:space="preserve">l1 = </t>
  </si>
  <si>
    <t>l2 =</t>
  </si>
  <si>
    <t>l3 =</t>
  </si>
  <si>
    <t>TRANSIENT REACTANCE (Xd')</t>
  </si>
  <si>
    <t>SUB TRANSIENT REACTANCE (Xd")</t>
  </si>
  <si>
    <t>ALL VALUES ARE IN EQULIVALENT Y</t>
  </si>
  <si>
    <t>.</t>
  </si>
  <si>
    <t>First Cycle Inrush</t>
  </si>
  <si>
    <t>Project or Lab:</t>
  </si>
  <si>
    <t>Stator Slot Reactance + 1/2 Zigzag Reactance + 1/2 Belt Leakage Reactance + Xcorr * Coil End Reactance</t>
  </si>
  <si>
    <t>Rotor Slot Reactance + 1/2 Zigzag Reactance + 1/2 Belt Leakage Reactance + (1-Xcorr) * Coil End Reactance</t>
  </si>
  <si>
    <t>Xcorr * Coil End Reactance</t>
  </si>
  <si>
    <t>(1-Xcorr) * Coil End Reactance</t>
  </si>
  <si>
    <t>Primary Resistance</t>
  </si>
  <si>
    <t>Seconadry Resistance</t>
  </si>
  <si>
    <t>Starting Secondary Resistance</t>
  </si>
  <si>
    <t>Secondary Reactance</t>
  </si>
  <si>
    <t>[Starting Stator Slot Reactance + 1/2 Starting Zigzag Reactance + Xcorr * Coil End Reactance] / Jconn</t>
  </si>
  <si>
    <t>[Starting Rotor Slot Reactance + 1/2 Starting Zigzag Reactance + (1-Xcorr) * Coil End Reactance] / Jconn</t>
  </si>
  <si>
    <t>Magnetizing Reactance</t>
  </si>
  <si>
    <t>Primary Reactance</t>
  </si>
  <si>
    <t>Transient Reactance = Primary Reactance + Secondary Reactance // Magnetizing Reactance</t>
  </si>
  <si>
    <t>Starting Rotor Reactance</t>
  </si>
  <si>
    <t>Sub Transient Reactance = Primary Reactance + Secondary Reactance // Magnetizing Reactance // Starting Secondary Reactance</t>
  </si>
  <si>
    <t>???</t>
  </si>
  <si>
    <t>Impedance (not used)</t>
  </si>
  <si>
    <t>Total Reactance</t>
  </si>
  <si>
    <t>2*pi*f</t>
  </si>
  <si>
    <t>Primary Inductance</t>
  </si>
  <si>
    <t>Secondary Inductance</t>
  </si>
  <si>
    <t>Starting Rotor Inductance</t>
  </si>
  <si>
    <t>sub transient time constant = (X3 + X1//X2//Xm) / (2*pi*f * r3)</t>
  </si>
  <si>
    <t>open circuit time constant = (Xm + X2) / (2*pi*f * r2)</t>
  </si>
  <si>
    <t>Short circuit time constant = (X2 + X1//Xm) / (2*pi*f * r2)</t>
  </si>
  <si>
    <t>NEMA MG1 way of short circuit AC time constant</t>
  </si>
  <si>
    <t>Short circuit time constant = (X1 + X2//Xm) / (X1+Xm) * T''do</t>
  </si>
  <si>
    <t>Rev.2 Corrections to calculations &amp; added first cycle inrush      1/28/09 JR &amp; MDC</t>
  </si>
  <si>
    <t>Rev.3 Corrected Calculation for R3            MDC  12/9/09</t>
  </si>
  <si>
    <t xml:space="preserve">Rev.4 Correction to short circuit time constant. </t>
  </si>
  <si>
    <t>Rev.1 Added Starting Reactance. 11/18/04    MDC</t>
  </si>
  <si>
    <t>Used to be "=(B57+((B56*B61)/(B56 * B61))/(B51*E41))"</t>
  </si>
  <si>
    <t>Z.X 10/25/2019</t>
  </si>
  <si>
    <t>Rev.5 Correction to short circuit time contstant. Used to be "=(B57+((B56*B61)/(B56+B61))/(B51*E41))"   Z.X 12/14/2021</t>
  </si>
  <si>
    <t>RF2500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</si>
</sst>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"/>
    <numFmt numFmtId="166" formatCode="0.000"/>
  </numFmts>
  <fonts count="5" x14ac:knownFonts="1">
    <font>
      <sz val="10"/>
      <name val="Arial"/>
    </font>
    <font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shrinkToFit="1"/>
    </xf>
    <xf numFmtId="166" fontId="0" fillId="0" borderId="0" xfId="0" applyNumberFormat="1" applyBorder="1" applyAlignment="1">
      <alignment horizontal="center"/>
    </xf>
    <xf numFmtId="166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18" xfId="0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0" fontId="2" fillId="0" borderId="18" xfId="0" applyFon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2" borderId="20" xfId="0" applyNumberForma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10" xfId="0" applyBorder="1" applyAlignment="1">
      <alignment horizontal="right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 wrapText="1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142875</xdr:colOff>
      <xdr:row>64</xdr:row>
      <xdr:rowOff>85725</xdr:rowOff>
    </xdr:from>
    <xdr:to>
      <xdr:col>15</xdr:col>
      <xdr:colOff>466456</xdr:colOff>
      <xdr:row>77</xdr:row>
      <xdr:rowOff>104510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075" y="10525125"/>
          <a:ext cx="2152381" cy="21238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25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Sheet 2300V"/>
      <sheetName val="DesignSheet 4000V"/>
      <sheetName val="Data Sheet"/>
      <sheetName val="LoginSheet"/>
      <sheetName val="Performance Data Sheet"/>
      <sheetName val="STCurve"/>
      <sheetName val="Thermdam"/>
      <sheetName val="Performance 4000V"/>
      <sheetName val="Performance 2300V"/>
      <sheetName val="Rev. 1"/>
      <sheetName val="PERFORMANCE API"/>
      <sheetName val="StallTime"/>
      <sheetName val="RF2500"/>
      <sheetName val="DesignSheet"/>
    </sheetNames>
    <sheetDataSet>
      <sheetData sheetId="0"/>
      <sheetData sheetId="1">
        <row r="5">
          <cell r="A5">
            <v>2</v>
          </cell>
          <cell r="E5">
            <v>4000</v>
          </cell>
          <cell r="F5">
            <v>60</v>
          </cell>
        </row>
        <row r="17">
          <cell r="E17" t="str">
            <v>Wye</v>
          </cell>
        </row>
        <row r="20">
          <cell r="I20">
            <v>19.965795516967773</v>
          </cell>
          <cell r="J20">
            <v>19.965795516967773</v>
          </cell>
        </row>
        <row r="21">
          <cell r="E21">
            <v>0.21116657767324787</v>
          </cell>
          <cell r="F21">
            <v>0.15684717893600464</v>
          </cell>
          <cell r="G21">
            <v>5.4938393808728558E-2</v>
          </cell>
          <cell r="I21">
            <v>85.708648681640625</v>
          </cell>
          <cell r="J21">
            <v>42.740768432617188</v>
          </cell>
        </row>
        <row r="22">
          <cell r="I22">
            <v>6.3101744651794434</v>
          </cell>
          <cell r="J22">
            <v>6.2616958618164063</v>
          </cell>
        </row>
        <row r="23">
          <cell r="I23">
            <v>14.072531231806622</v>
          </cell>
        </row>
        <row r="24">
          <cell r="I24">
            <v>7.9292915013191498</v>
          </cell>
        </row>
        <row r="25">
          <cell r="J25">
            <v>1.6474097967147827</v>
          </cell>
        </row>
        <row r="26">
          <cell r="I26">
            <v>10.308845520019531</v>
          </cell>
          <cell r="J26">
            <v>6.9945030212402344</v>
          </cell>
        </row>
        <row r="34">
          <cell r="B34" t="str">
            <v>12.67 / 12.99</v>
          </cell>
        </row>
        <row r="37">
          <cell r="E37" t="str">
            <v>62.95 / 65.49</v>
          </cell>
          <cell r="J37" t="str">
            <v>7984.1 / 2779.8</v>
          </cell>
        </row>
        <row r="38">
          <cell r="H38" t="str">
            <v>6000.0 / 5171.6</v>
          </cell>
        </row>
        <row r="45">
          <cell r="H45" t="str">
            <v>191.5 / 262.5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/>
  <dimension ref="A1:S72"/>
  <sheetViews>
    <sheetView tabSelected="1" zoomScaleNormal="100" workbookViewId="0">
      <selection activeCell="N9" sqref="N9"/>
    </sheetView>
  </sheetViews>
  <sheetFormatPr defaultRowHeight="12.75" x14ac:dyDescent="0.2"/>
  <sheetData>
    <row r="1" spans="1:17" ht="13.5" thickBot="1" x14ac:dyDescent="0.25">
      <c r="B1" t="s">
        <v>61</v>
      </c>
    </row>
    <row r="2" spans="1:17" x14ac:dyDescent="0.2">
      <c r="A2" t="s">
        <v>0</v>
      </c>
      <c r="E2" s="1" t="str">
        <f>LEFT(J6,SEARCH("/",J6,1)-1)</f>
        <v xml:space="preserve">191.5 </v>
      </c>
      <c r="H2" s="33" t="s">
        <v>1</v>
      </c>
      <c r="I2" s="34"/>
      <c r="J2" s="35">
        <f>'[1]DesignSheet 4000V'!E5</f>
        <v>4000</v>
      </c>
      <c r="K2" s="36"/>
      <c r="L2" t="s">
        <v>62</v>
      </c>
    </row>
    <row r="3" spans="1:17" x14ac:dyDescent="0.2">
      <c r="A3" t="s">
        <v>2</v>
      </c>
      <c r="E3" s="2" t="str">
        <f>RIGHT(J6,SEARCH("/",J6,1)-2)</f>
        <v>262.5</v>
      </c>
      <c r="H3" s="37" t="s">
        <v>3</v>
      </c>
      <c r="I3" s="38"/>
      <c r="J3" s="39">
        <f>'[1]DesignSheet 4000V'!F5</f>
        <v>60</v>
      </c>
      <c r="K3" s="40"/>
      <c r="L3">
        <f>1.25*SQRT(2)*(1+EXP((-PI()*D16)/D19))</f>
        <v>2.3805513197843564</v>
      </c>
    </row>
    <row r="4" spans="1:17" x14ac:dyDescent="0.2">
      <c r="H4" s="37" t="s">
        <v>4</v>
      </c>
      <c r="I4" s="38"/>
      <c r="J4" s="39" t="str">
        <f>'[1]DesignSheet 4000V'!B34</f>
        <v>12.67 / 12.99</v>
      </c>
      <c r="K4" s="40"/>
    </row>
    <row r="5" spans="1:17" x14ac:dyDescent="0.2">
      <c r="A5" t="s">
        <v>5</v>
      </c>
      <c r="D5" s="2" t="str">
        <f>RIGHT(J4,SEARCH("/",J4,1)-2)</f>
        <v>12.99</v>
      </c>
      <c r="H5" s="37" t="s">
        <v>6</v>
      </c>
      <c r="I5" s="38"/>
      <c r="J5" s="39" t="str">
        <f>'[1]DesignSheet 4000V'!E37</f>
        <v>62.95 / 65.49</v>
      </c>
      <c r="K5" s="40"/>
    </row>
    <row r="6" spans="1:17" x14ac:dyDescent="0.2">
      <c r="H6" s="37" t="s">
        <v>7</v>
      </c>
      <c r="I6" s="38"/>
      <c r="J6" s="41" t="str">
        <f>'[1]DesignSheet 4000V'!H45</f>
        <v>191.5 / 262.5</v>
      </c>
      <c r="K6" s="42"/>
    </row>
    <row r="7" spans="1:17" x14ac:dyDescent="0.2">
      <c r="A7" t="s">
        <v>8</v>
      </c>
      <c r="D7" s="2" t="str">
        <f>RIGHT(J5,SEARCH("/",J5,1)-2)</f>
        <v>65.49</v>
      </c>
      <c r="H7" s="37" t="s">
        <v>9</v>
      </c>
      <c r="I7" s="38"/>
      <c r="J7" s="45" t="str">
        <f>'[1]DesignSheet 4000V'!J37</f>
        <v>7984.1 / 2779.8</v>
      </c>
      <c r="K7" s="46"/>
    </row>
    <row r="8" spans="1:17" ht="13.5" thickBot="1" x14ac:dyDescent="0.25">
      <c r="H8" s="43" t="s">
        <v>10</v>
      </c>
      <c r="I8" s="44"/>
      <c r="J8" s="47" t="str">
        <f>'[1]DesignSheet 4000V'!H38</f>
        <v>6000.0 / 5171.6</v>
      </c>
      <c r="K8" s="48"/>
    </row>
    <row r="9" spans="1:17" ht="12.75" customHeight="1" x14ac:dyDescent="0.2">
      <c r="A9" s="49" t="s">
        <v>11</v>
      </c>
      <c r="B9" s="49"/>
      <c r="C9" s="49"/>
      <c r="D9" s="49"/>
      <c r="E9" s="49"/>
      <c r="F9" s="49"/>
      <c r="G9" s="49"/>
      <c r="H9" s="49"/>
      <c r="I9" s="49"/>
      <c r="J9" s="3"/>
      <c r="K9" s="3"/>
    </row>
    <row r="10" spans="1:17" x14ac:dyDescent="0.2">
      <c r="A10" s="49" t="s">
        <v>60</v>
      </c>
      <c r="B10" s="49"/>
      <c r="C10" s="49"/>
      <c r="D10" s="49"/>
      <c r="E10" s="49"/>
      <c r="F10" s="49"/>
      <c r="G10" s="49"/>
      <c r="H10" s="49"/>
      <c r="I10" s="49"/>
      <c r="J10" s="3"/>
      <c r="K10" s="3"/>
    </row>
    <row r="11" spans="1:17" ht="13.5" thickBo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7" x14ac:dyDescent="0.2">
      <c r="A12" s="52"/>
      <c r="B12" s="53"/>
      <c r="C12" s="54"/>
      <c r="D12" s="50" t="s">
        <v>12</v>
      </c>
      <c r="E12" s="51"/>
      <c r="F12" s="55" t="s">
        <v>13</v>
      </c>
      <c r="G12" s="56"/>
    </row>
    <row r="13" spans="1:17" x14ac:dyDescent="0.2">
      <c r="A13" s="27" t="s">
        <v>14</v>
      </c>
      <c r="B13" s="28"/>
      <c r="C13" s="29"/>
      <c r="D13" s="21">
        <f>B49</f>
        <v>35.263415433783834</v>
      </c>
      <c r="E13" s="22"/>
      <c r="F13" s="21">
        <f>D13/B49</f>
        <v>1</v>
      </c>
      <c r="G13" s="22"/>
    </row>
    <row r="14" spans="1:17" x14ac:dyDescent="0.2">
      <c r="A14" s="27" t="s">
        <v>15</v>
      </c>
      <c r="B14" s="28"/>
      <c r="C14" s="29"/>
      <c r="D14" s="21">
        <f>B50</f>
        <v>0.21116657767324787</v>
      </c>
      <c r="E14" s="22"/>
      <c r="F14" s="21">
        <f>D14/B49</f>
        <v>5.9882621996660427E-3</v>
      </c>
      <c r="G14" s="22"/>
      <c r="I14" s="7"/>
      <c r="Q14" s="9"/>
    </row>
    <row r="15" spans="1:17" x14ac:dyDescent="0.2">
      <c r="A15" s="27" t="s">
        <v>16</v>
      </c>
      <c r="B15" s="28"/>
      <c r="C15" s="29"/>
      <c r="D15" s="21">
        <f>B51</f>
        <v>0.2117855727447332</v>
      </c>
      <c r="E15" s="22"/>
      <c r="F15" s="21">
        <f>D15/B49</f>
        <v>6.0058156630464592E-3</v>
      </c>
      <c r="G15" s="22"/>
      <c r="I15" t="s">
        <v>63</v>
      </c>
      <c r="L15" s="59"/>
      <c r="M15" s="59"/>
      <c r="N15" s="59"/>
      <c r="O15" s="59"/>
      <c r="Q15" s="9"/>
    </row>
    <row r="16" spans="1:17" x14ac:dyDescent="0.2">
      <c r="A16" s="27" t="s">
        <v>17</v>
      </c>
      <c r="B16" s="28"/>
      <c r="C16" s="29"/>
      <c r="D16" s="21">
        <f>B52</f>
        <v>1.4362432190415348</v>
      </c>
      <c r="E16" s="22"/>
      <c r="F16" s="21">
        <f>D16/B49</f>
        <v>4.0728987858208242E-2</v>
      </c>
      <c r="G16" s="22"/>
      <c r="I16" s="57" t="s">
        <v>98</v>
      </c>
      <c r="J16" s="58"/>
      <c r="L16" s="59"/>
      <c r="M16" s="59"/>
      <c r="N16" s="59"/>
      <c r="O16" s="59"/>
    </row>
    <row r="17" spans="1:15" x14ac:dyDescent="0.2">
      <c r="A17" s="27" t="s">
        <v>18</v>
      </c>
      <c r="B17" s="28"/>
      <c r="C17" s="29"/>
      <c r="D17" s="21">
        <f>B56</f>
        <v>2.0468747040740336</v>
      </c>
      <c r="E17" s="22"/>
      <c r="F17" s="21">
        <f>D17/B49</f>
        <v>5.8045276638548221E-2</v>
      </c>
      <c r="G17" s="22"/>
      <c r="L17" s="59"/>
      <c r="M17" s="59"/>
      <c r="N17" s="59"/>
      <c r="O17" s="59"/>
    </row>
    <row r="18" spans="1:15" x14ac:dyDescent="0.2">
      <c r="A18" s="27" t="s">
        <v>19</v>
      </c>
      <c r="B18" s="28"/>
      <c r="C18" s="29"/>
      <c r="D18" s="21">
        <f>B57</f>
        <v>5.4736735514830706</v>
      </c>
      <c r="E18" s="22"/>
      <c r="F18" s="21">
        <f>D18/B49</f>
        <v>0.15522244468240196</v>
      </c>
      <c r="G18" s="22"/>
      <c r="L18" s="59"/>
      <c r="M18" s="59"/>
      <c r="N18" s="59"/>
      <c r="O18" s="59"/>
    </row>
    <row r="19" spans="1:15" x14ac:dyDescent="0.2">
      <c r="A19" s="27" t="s">
        <v>20</v>
      </c>
      <c r="B19" s="28"/>
      <c r="C19" s="29"/>
      <c r="D19" s="21">
        <f>B60</f>
        <v>4.2588621271557683</v>
      </c>
      <c r="E19" s="22"/>
      <c r="F19" s="21">
        <f>D19/B49</f>
        <v>0.12077282006766706</v>
      </c>
      <c r="G19" s="22"/>
      <c r="L19" s="59"/>
      <c r="M19" s="59"/>
      <c r="N19" s="59"/>
      <c r="O19" s="59"/>
    </row>
    <row r="20" spans="1:15" ht="13.5" thickBot="1" x14ac:dyDescent="0.25">
      <c r="A20" s="30" t="s">
        <v>21</v>
      </c>
      <c r="B20" s="31"/>
      <c r="C20" s="32"/>
      <c r="D20" s="25">
        <f>B61</f>
        <v>177.78299282205566</v>
      </c>
      <c r="E20" s="26"/>
      <c r="F20" s="23">
        <f>D20/B49</f>
        <v>5.0415704387990754</v>
      </c>
      <c r="G20" s="24"/>
      <c r="L20" s="59"/>
      <c r="M20" s="59"/>
      <c r="N20" s="59"/>
      <c r="O20" s="59"/>
    </row>
    <row r="21" spans="1:15" ht="13.5" thickBot="1" x14ac:dyDescent="0.25">
      <c r="A21" s="4"/>
      <c r="B21" s="4"/>
      <c r="C21" s="4"/>
      <c r="D21" s="8"/>
      <c r="E21" s="8"/>
      <c r="F21" s="8"/>
      <c r="G21" s="8"/>
      <c r="L21" s="59"/>
      <c r="M21" s="59"/>
      <c r="N21" s="59"/>
      <c r="O21" s="59"/>
    </row>
    <row r="22" spans="1:15" x14ac:dyDescent="0.2">
      <c r="A22" s="19" t="s">
        <v>58</v>
      </c>
      <c r="B22" s="19"/>
      <c r="C22" s="19"/>
      <c r="D22" s="20">
        <f>B62</f>
        <v>7.3570556921426054</v>
      </c>
      <c r="E22" s="20"/>
      <c r="F22" s="20">
        <f>D22/B49</f>
        <v>0.20863139890568391</v>
      </c>
      <c r="G22" s="20"/>
      <c r="L22" s="59"/>
      <c r="M22" s="59"/>
      <c r="N22" s="59"/>
      <c r="O22" s="59"/>
    </row>
    <row r="23" spans="1:15" x14ac:dyDescent="0.2">
      <c r="A23" s="13" t="s">
        <v>59</v>
      </c>
      <c r="B23" s="13"/>
      <c r="C23" s="13"/>
      <c r="D23" s="17">
        <f>B63</f>
        <v>4.4102592584237641</v>
      </c>
      <c r="E23" s="17"/>
      <c r="F23" s="17">
        <f>D23/B49</f>
        <v>0.12506614019578349</v>
      </c>
      <c r="G23" s="17"/>
      <c r="L23" s="59"/>
      <c r="M23" s="59"/>
      <c r="N23" s="59"/>
      <c r="O23" s="59"/>
    </row>
    <row r="24" spans="1:15" x14ac:dyDescent="0.2">
      <c r="A24" s="13" t="s">
        <v>22</v>
      </c>
      <c r="B24" s="13"/>
      <c r="C24" s="13"/>
      <c r="D24" s="17">
        <f>B64</f>
        <v>9.3901928318396707E-2</v>
      </c>
      <c r="E24" s="17"/>
      <c r="F24" s="17">
        <f>D24/B49</f>
        <v>2.6628710566825786E-3</v>
      </c>
      <c r="G24" s="17"/>
      <c r="L24" s="59"/>
      <c r="M24" s="59"/>
      <c r="N24" s="59"/>
      <c r="O24" s="59"/>
    </row>
    <row r="25" spans="1:15" x14ac:dyDescent="0.2">
      <c r="A25" s="13" t="s">
        <v>23</v>
      </c>
      <c r="B25" s="13"/>
      <c r="C25" s="13"/>
      <c r="D25" s="17">
        <f>B65</f>
        <v>1.0594231973777504E-2</v>
      </c>
      <c r="E25" s="17"/>
      <c r="F25" s="17">
        <f>D25/B49</f>
        <v>3.0043124987909662E-4</v>
      </c>
      <c r="G25" s="17"/>
      <c r="L25" s="59"/>
      <c r="M25" s="59"/>
      <c r="N25" s="59"/>
      <c r="O25" s="59"/>
    </row>
    <row r="26" spans="1:15" ht="13.5" thickBot="1" x14ac:dyDescent="0.25">
      <c r="A26" s="14" t="s">
        <v>24</v>
      </c>
      <c r="B26" s="14"/>
      <c r="C26" s="14"/>
      <c r="D26" s="18">
        <f>B66</f>
        <v>2.2952621315589852</v>
      </c>
      <c r="E26" s="18"/>
      <c r="F26" s="18">
        <f>D26/B49</f>
        <v>6.5089047765918548E-2</v>
      </c>
      <c r="G26" s="18"/>
      <c r="L26" s="59"/>
      <c r="M26" s="59"/>
      <c r="N26" s="59"/>
      <c r="O26" s="59"/>
    </row>
    <row r="27" spans="1:15" ht="13.5" thickBot="1" x14ac:dyDescent="0.25">
      <c r="L27" s="59"/>
      <c r="M27" s="59"/>
      <c r="N27" s="59"/>
      <c r="O27" s="59"/>
    </row>
    <row r="28" spans="1:15" x14ac:dyDescent="0.2">
      <c r="A28" s="12" t="s">
        <v>25</v>
      </c>
      <c r="B28" s="12"/>
      <c r="C28" s="12"/>
      <c r="D28" s="12"/>
      <c r="E28" s="12"/>
      <c r="F28" s="12"/>
      <c r="G28" s="12"/>
      <c r="L28" s="59"/>
      <c r="M28" s="59"/>
      <c r="N28" s="59"/>
      <c r="O28" s="59"/>
    </row>
    <row r="29" spans="1:15" x14ac:dyDescent="0.2">
      <c r="A29" s="13" t="s">
        <v>26</v>
      </c>
      <c r="B29" s="13"/>
      <c r="C29" s="13"/>
      <c r="D29" s="15">
        <f>B67</f>
        <v>5.4295037840523825E-3</v>
      </c>
      <c r="E29" s="15"/>
      <c r="F29" s="15">
        <f>D29/B49</f>
        <v>1.5396987833602441E-4</v>
      </c>
      <c r="G29" s="15"/>
      <c r="L29" s="59"/>
      <c r="M29" s="59"/>
      <c r="N29" s="59"/>
      <c r="O29" s="59"/>
    </row>
    <row r="30" spans="1:15" x14ac:dyDescent="0.2">
      <c r="A30" s="13" t="s">
        <v>27</v>
      </c>
      <c r="B30" s="13"/>
      <c r="C30" s="13"/>
      <c r="D30" s="15">
        <f>B68</f>
        <v>1.4519370043165013E-2</v>
      </c>
      <c r="E30" s="15"/>
      <c r="F30" s="15">
        <f>D30/B49</f>
        <v>4.1174032250020928E-4</v>
      </c>
      <c r="G30" s="15"/>
      <c r="L30" s="59"/>
      <c r="M30" s="59"/>
      <c r="N30" s="59"/>
      <c r="O30" s="59"/>
    </row>
    <row r="31" spans="1:15" ht="13.5" thickBot="1" x14ac:dyDescent="0.25">
      <c r="A31" s="14" t="s">
        <v>28</v>
      </c>
      <c r="B31" s="14"/>
      <c r="C31" s="14"/>
      <c r="D31" s="16">
        <f>B69</f>
        <v>1.1296982658061745E-2</v>
      </c>
      <c r="E31" s="16"/>
      <c r="F31" s="16">
        <f>D31/B49</f>
        <v>3.2035985508195445E-4</v>
      </c>
      <c r="G31" s="16"/>
    </row>
    <row r="32" spans="1:15" x14ac:dyDescent="0.2">
      <c r="F32" s="5"/>
    </row>
    <row r="34" spans="1:12" x14ac:dyDescent="0.2">
      <c r="A34" t="s">
        <v>94</v>
      </c>
    </row>
    <row r="35" spans="1:12" x14ac:dyDescent="0.2">
      <c r="A35" t="s">
        <v>91</v>
      </c>
    </row>
    <row r="36" spans="1:12" x14ac:dyDescent="0.2">
      <c r="A36" t="s">
        <v>92</v>
      </c>
    </row>
    <row r="37" spans="1:12" x14ac:dyDescent="0.2">
      <c r="A37" t="s">
        <v>93</v>
      </c>
      <c r="F37" t="s">
        <v>95</v>
      </c>
      <c r="L37" t="s">
        <v>96</v>
      </c>
    </row>
    <row r="38" spans="1:12" x14ac:dyDescent="0.2">
      <c r="A38" t="s">
        <v>97</v>
      </c>
    </row>
    <row r="40" spans="1:12" x14ac:dyDescent="0.2">
      <c r="E40" t="s">
        <v>82</v>
      </c>
    </row>
    <row r="41" spans="1:12" x14ac:dyDescent="0.2">
      <c r="B41" s="60" t="s">
        <v>29</v>
      </c>
      <c r="C41" s="6" t="str">
        <f>IF('[1]DesignSheet 4000V'!E17= "Delta", "3", "1")</f>
        <v>1</v>
      </c>
      <c r="D41" s="60" t="s">
        <v>30</v>
      </c>
      <c r="E41" s="6">
        <f>2*PI()*'[1]DesignSheet 4000V'!F5</f>
        <v>376.99111843077515</v>
      </c>
      <c r="F41" s="60" t="s">
        <v>31</v>
      </c>
      <c r="G41" s="6" t="str">
        <f>IF('[1]DesignSheet 4000V'!A5&gt;4, ".5",".666666666666666666666666")</f>
        <v>.666666666666666666666666</v>
      </c>
    </row>
    <row r="43" spans="1:12" x14ac:dyDescent="0.2">
      <c r="B43" t="s">
        <v>32</v>
      </c>
      <c r="C43">
        <f>E3/E2</f>
        <v>1.370757180156658</v>
      </c>
    </row>
    <row r="45" spans="1:12" x14ac:dyDescent="0.2">
      <c r="A45" t="s">
        <v>33</v>
      </c>
      <c r="B45">
        <f>'[1]DesignSheet 4000V'!I23*EqCircut!G41</f>
        <v>9.381687487871071</v>
      </c>
      <c r="D45" t="s">
        <v>66</v>
      </c>
    </row>
    <row r="46" spans="1:12" x14ac:dyDescent="0.2">
      <c r="A46" t="s">
        <v>34</v>
      </c>
      <c r="B46">
        <f>'[1]DesignSheet 4000V'!I23*(1-EqCircut!G41)</f>
        <v>4.6908437439355506</v>
      </c>
      <c r="D46" t="s">
        <v>67</v>
      </c>
    </row>
    <row r="47" spans="1:12" x14ac:dyDescent="0.2">
      <c r="A47" t="s">
        <v>35</v>
      </c>
      <c r="B47">
        <f>'[1]DesignSheet 4000V'!I23*EqCircut!G41</f>
        <v>9.381687487871071</v>
      </c>
      <c r="D47" t="s">
        <v>66</v>
      </c>
    </row>
    <row r="48" spans="1:12" x14ac:dyDescent="0.2">
      <c r="A48" t="s">
        <v>36</v>
      </c>
      <c r="B48">
        <f>B46</f>
        <v>4.6908437439355506</v>
      </c>
      <c r="D48" t="s">
        <v>67</v>
      </c>
    </row>
    <row r="49" spans="1:16" x14ac:dyDescent="0.2">
      <c r="A49" t="s">
        <v>37</v>
      </c>
      <c r="B49">
        <f>'[1]DesignSheet 4000V'!E5/(SQRT(3)*EqCircut!D7)</f>
        <v>35.263415433783834</v>
      </c>
      <c r="D49" t="s">
        <v>80</v>
      </c>
    </row>
    <row r="50" spans="1:16" x14ac:dyDescent="0.2">
      <c r="A50" t="s">
        <v>38</v>
      </c>
      <c r="B50">
        <f>'[1]DesignSheet 4000V'!E21/C41</f>
        <v>0.21116657767324787</v>
      </c>
      <c r="D50" t="s">
        <v>68</v>
      </c>
    </row>
    <row r="51" spans="1:16" x14ac:dyDescent="0.2">
      <c r="A51" t="s">
        <v>39</v>
      </c>
      <c r="B51">
        <f>('[1]DesignSheet 4000V'!F21+'[1]DesignSheet 4000V'!G21)/C41</f>
        <v>0.2117855727447332</v>
      </c>
      <c r="D51" t="s">
        <v>69</v>
      </c>
    </row>
    <row r="52" spans="1:16" x14ac:dyDescent="0.2">
      <c r="A52" t="s">
        <v>40</v>
      </c>
      <c r="B52">
        <f>'[1]DesignSheet 4000V'!J25/EqCircut!C41-EqCircut!B50</f>
        <v>1.4362432190415348</v>
      </c>
      <c r="D52" t="s">
        <v>70</v>
      </c>
    </row>
    <row r="53" spans="1:16" x14ac:dyDescent="0.2">
      <c r="A53" t="s">
        <v>41</v>
      </c>
      <c r="B53">
        <f>'[1]DesignSheet 4000V'!I26/EqCircut!C43</f>
        <v>7.520548255557105</v>
      </c>
      <c r="D53" t="s">
        <v>81</v>
      </c>
    </row>
    <row r="54" spans="1:16" x14ac:dyDescent="0.2">
      <c r="A54" t="s">
        <v>42</v>
      </c>
      <c r="B54">
        <f>('[1]DesignSheet 4000V'!I20+'[1]DesignSheet 4000V'!I22/2+'[1]DesignSheet 4000V'!I24/2+EqCircut!B45)</f>
        <v>36.467215988088142</v>
      </c>
      <c r="D54" t="s">
        <v>64</v>
      </c>
    </row>
    <row r="55" spans="1:16" x14ac:dyDescent="0.2">
      <c r="A55" t="s">
        <v>43</v>
      </c>
      <c r="B55">
        <f>('[1]DesignSheet 4000V'!I21+'[1]DesignSheet 4000V'!I22/2+'[1]DesignSheet 4000V'!I24/2+EqCircut!B46)</f>
        <v>97.519225408825463</v>
      </c>
      <c r="D55" t="s">
        <v>65</v>
      </c>
    </row>
    <row r="56" spans="1:16" x14ac:dyDescent="0.2">
      <c r="A56" t="s">
        <v>44</v>
      </c>
      <c r="B56">
        <f>(B53*(B54/(B54+B55)))/C41</f>
        <v>2.0468747040740336</v>
      </c>
      <c r="D56" t="s">
        <v>75</v>
      </c>
    </row>
    <row r="57" spans="1:16" x14ac:dyDescent="0.2">
      <c r="A57" t="s">
        <v>45</v>
      </c>
      <c r="B57">
        <f>(B53*(B55/(B54+B55)))/C41</f>
        <v>5.4736735514830706</v>
      </c>
      <c r="D57" t="s">
        <v>71</v>
      </c>
    </row>
    <row r="58" spans="1:16" x14ac:dyDescent="0.2">
      <c r="A58" t="s">
        <v>46</v>
      </c>
      <c r="B58">
        <f>('[1]DesignSheet 4000V'!J20+'[1]DesignSheet 4000V'!J22/2+EqCircut!B47)/C41</f>
        <v>32.478330935747046</v>
      </c>
      <c r="D58" t="s">
        <v>72</v>
      </c>
    </row>
    <row r="59" spans="1:16" x14ac:dyDescent="0.2">
      <c r="A59" t="s">
        <v>47</v>
      </c>
      <c r="B59">
        <f>('[1]DesignSheet 4000V'!J21+'[1]DesignSheet 4000V'!J22/2+EqCircut!B48)/C41</f>
        <v>50.562460107460943</v>
      </c>
      <c r="D59" t="s">
        <v>73</v>
      </c>
    </row>
    <row r="60" spans="1:16" x14ac:dyDescent="0.2">
      <c r="A60" t="s">
        <v>48</v>
      </c>
      <c r="B60">
        <f>('[1]DesignSheet 4000V'!J26*(EqCircut!B59/(EqCircut!B58+EqCircut!B59)))/C41</f>
        <v>4.2588621271557683</v>
      </c>
      <c r="D60" t="s">
        <v>77</v>
      </c>
    </row>
    <row r="61" spans="1:16" x14ac:dyDescent="0.2">
      <c r="A61" t="s">
        <v>49</v>
      </c>
      <c r="B61">
        <f>('[1]DesignSheet 4000V'!E5/(SQRT(3)*EqCircut!D5))</f>
        <v>177.78299282205566</v>
      </c>
      <c r="D61" t="s">
        <v>74</v>
      </c>
    </row>
    <row r="62" spans="1:16" x14ac:dyDescent="0.2">
      <c r="A62" t="s">
        <v>50</v>
      </c>
      <c r="B62">
        <f>B56+((B61*B57)/(B61+B57))</f>
        <v>7.3570556921426054</v>
      </c>
      <c r="D62" t="s">
        <v>76</v>
      </c>
    </row>
    <row r="63" spans="1:16" x14ac:dyDescent="0.2">
      <c r="A63" t="s">
        <v>51</v>
      </c>
      <c r="B63">
        <f>B56+((B61*B57*B60)/((B61*B57)+(B57*B60)+(B60*B61)))</f>
        <v>4.4102592584237641</v>
      </c>
      <c r="D63" t="s">
        <v>78</v>
      </c>
      <c r="P63" t="s">
        <v>79</v>
      </c>
    </row>
    <row r="64" spans="1:16" x14ac:dyDescent="0.2">
      <c r="A64" t="s">
        <v>52</v>
      </c>
      <c r="B64">
        <f>(B57+(B56*B61)/(B56+B61))/(B51*E41)</f>
        <v>9.3901928318396707E-2</v>
      </c>
      <c r="D64" s="10" t="s">
        <v>88</v>
      </c>
    </row>
    <row r="65" spans="1:19" x14ac:dyDescent="0.2">
      <c r="A65" t="s">
        <v>53</v>
      </c>
      <c r="B65">
        <f>(B60+((B56*B57*B61)/((B56*B57)+(B57*B61)+(B61*B56))))/(B52*E41)</f>
        <v>1.0594231973777504E-2</v>
      </c>
      <c r="D65" s="10" t="s">
        <v>86</v>
      </c>
      <c r="S65" s="10"/>
    </row>
    <row r="66" spans="1:19" x14ac:dyDescent="0.2">
      <c r="A66" t="s">
        <v>54</v>
      </c>
      <c r="B66">
        <f>(B57+B61)/(B51*E41)</f>
        <v>2.2952621315589852</v>
      </c>
      <c r="D66" s="10" t="s">
        <v>87</v>
      </c>
    </row>
    <row r="67" spans="1:19" x14ac:dyDescent="0.2">
      <c r="A67" t="s">
        <v>55</v>
      </c>
      <c r="B67">
        <f>B56/E41</f>
        <v>5.4295037840523825E-3</v>
      </c>
      <c r="D67" t="s">
        <v>83</v>
      </c>
    </row>
    <row r="68" spans="1:19" x14ac:dyDescent="0.2">
      <c r="A68" t="s">
        <v>56</v>
      </c>
      <c r="B68">
        <f>B57/E41</f>
        <v>1.4519370043165013E-2</v>
      </c>
      <c r="D68" t="s">
        <v>84</v>
      </c>
    </row>
    <row r="69" spans="1:19" x14ac:dyDescent="0.2">
      <c r="A69" t="s">
        <v>57</v>
      </c>
      <c r="B69">
        <f>B60/E41</f>
        <v>1.1296982658061745E-2</v>
      </c>
      <c r="D69" t="s">
        <v>85</v>
      </c>
    </row>
    <row r="71" spans="1:19" x14ac:dyDescent="0.2">
      <c r="A71" s="10" t="s">
        <v>89</v>
      </c>
      <c r="H71" s="11"/>
    </row>
    <row r="72" spans="1:19" x14ac:dyDescent="0.2">
      <c r="A72" t="s">
        <v>52</v>
      </c>
      <c r="B72">
        <f>B62/(B56+B61)*B66</f>
        <v>9.390192831839668E-2</v>
      </c>
      <c r="D72" s="10" t="s">
        <v>90</v>
      </c>
    </row>
  </sheetData>
  <mergeCells count="69">
    <mergeCell ref="I16:J16"/>
    <mergeCell ref="A19:C19"/>
    <mergeCell ref="D19:E19"/>
    <mergeCell ref="F19:G19"/>
    <mergeCell ref="A16:C16"/>
    <mergeCell ref="F16:G16"/>
    <mergeCell ref="A17:C17"/>
    <mergeCell ref="D16:E16"/>
    <mergeCell ref="D17:E17"/>
    <mergeCell ref="F17:G17"/>
    <mergeCell ref="F13:G13"/>
    <mergeCell ref="A9:I9"/>
    <mergeCell ref="A10:I10"/>
    <mergeCell ref="D12:E12"/>
    <mergeCell ref="A12:C12"/>
    <mergeCell ref="F12:G12"/>
    <mergeCell ref="A13:C13"/>
    <mergeCell ref="D13:E13"/>
    <mergeCell ref="H5:I5"/>
    <mergeCell ref="J5:K5"/>
    <mergeCell ref="J6:K6"/>
    <mergeCell ref="H7:I7"/>
    <mergeCell ref="H8:I8"/>
    <mergeCell ref="J7:K7"/>
    <mergeCell ref="J8:K8"/>
    <mergeCell ref="H6:I6"/>
    <mergeCell ref="H2:I2"/>
    <mergeCell ref="J2:K2"/>
    <mergeCell ref="H3:I3"/>
    <mergeCell ref="J3:K3"/>
    <mergeCell ref="H4:I4"/>
    <mergeCell ref="J4:K4"/>
    <mergeCell ref="A14:C14"/>
    <mergeCell ref="D14:E14"/>
    <mergeCell ref="F14:G14"/>
    <mergeCell ref="A15:C15"/>
    <mergeCell ref="F15:G15"/>
    <mergeCell ref="D15:E15"/>
    <mergeCell ref="A22:C22"/>
    <mergeCell ref="D22:E22"/>
    <mergeCell ref="F22:G22"/>
    <mergeCell ref="F18:G18"/>
    <mergeCell ref="F20:G20"/>
    <mergeCell ref="D18:E18"/>
    <mergeCell ref="D20:E20"/>
    <mergeCell ref="A18:C18"/>
    <mergeCell ref="A20:C20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8:G28"/>
    <mergeCell ref="A29:C29"/>
    <mergeCell ref="A30:C30"/>
    <mergeCell ref="A31:C31"/>
    <mergeCell ref="D29:E29"/>
    <mergeCell ref="F29:G29"/>
    <mergeCell ref="D30:E30"/>
    <mergeCell ref="F30:G30"/>
    <mergeCell ref="F31:G31"/>
    <mergeCell ref="D31:E31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EqCircut</vt:lpstr>
      <vt:lpstr>EqCircut!Print_Area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Campbell</dc:creator>
  <cp:lastModifiedBy>Xie, Zichao</cp:lastModifiedBy>
  <cp:lastPrinted>2018-01-24T14:49:32Z</cp:lastPrinted>
  <dcterms:created xsi:type="dcterms:W3CDTF">2005-08-09T16:28:41Z</dcterms:created>
  <dcterms:modified xsi:type="dcterms:W3CDTF">2021-12-14T16:42:32Z</dcterms:modified>
</cp:coreProperties>
</file>